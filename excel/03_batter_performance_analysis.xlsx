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ables/table2.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D:\DA project\ipl\excel\"/>
    </mc:Choice>
  </mc:AlternateContent>
  <xr:revisionPtr revIDLastSave="0" documentId="13_ncr:1_{E3C0131D-AA15-4F16-AF7A-1608338572CD}" xr6:coauthVersionLast="47" xr6:coauthVersionMax="47" xr10:uidLastSave="{00000000-0000-0000-0000-000000000000}"/>
  <bookViews>
    <workbookView xWindow="-108" yWindow="-108" windowWidth="23256" windowHeight="12456" xr2:uid="{00000000-000D-0000-FFFF-FFFF00000000}"/>
  </bookViews>
  <sheets>
    <sheet name="batter_summary" sheetId="1" r:id="rId1"/>
    <sheet name="pivot_analysis" sheetId="2" r:id="rId2"/>
    <sheet name="dim_teams" sheetId="3" r:id="rId3"/>
  </sheets>
  <definedNames>
    <definedName name="ExternalData_1" localSheetId="2" hidden="1">dim_teams!$A$1:$B$20</definedName>
    <definedName name="Slicer_batter">#N/A</definedName>
  </definedNames>
  <calcPr calcId="191029"/>
  <pivotCaches>
    <pivotCache cacheId="0"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2" i="1" l="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L447" i="1"/>
  <c r="L448" i="1"/>
  <c r="L449" i="1"/>
  <c r="L450" i="1"/>
  <c r="L451" i="1"/>
  <c r="L452" i="1"/>
  <c r="L453" i="1"/>
  <c r="L454" i="1"/>
  <c r="L455" i="1"/>
  <c r="L456" i="1"/>
  <c r="L457" i="1"/>
  <c r="L458" i="1"/>
  <c r="L459" i="1"/>
  <c r="L460" i="1"/>
  <c r="L461" i="1"/>
  <c r="L462" i="1"/>
  <c r="L463" i="1"/>
  <c r="L464" i="1"/>
  <c r="L465" i="1"/>
  <c r="L466" i="1"/>
  <c r="L467" i="1"/>
  <c r="L468" i="1"/>
  <c r="L469" i="1"/>
  <c r="L470" i="1"/>
  <c r="L471" i="1"/>
  <c r="L472" i="1"/>
  <c r="L473" i="1"/>
  <c r="L474" i="1"/>
  <c r="L475" i="1"/>
  <c r="L476" i="1"/>
  <c r="L477" i="1"/>
  <c r="L478" i="1"/>
  <c r="L479" i="1"/>
  <c r="L480" i="1"/>
  <c r="L481" i="1"/>
  <c r="L482" i="1"/>
  <c r="L483" i="1"/>
  <c r="L484" i="1"/>
  <c r="L485" i="1"/>
  <c r="L486" i="1"/>
  <c r="L487" i="1"/>
  <c r="L488" i="1"/>
  <c r="L489" i="1"/>
  <c r="L490" i="1"/>
  <c r="L491" i="1"/>
  <c r="L492" i="1"/>
  <c r="L493" i="1"/>
  <c r="L494" i="1"/>
  <c r="L495" i="1"/>
  <c r="L496" i="1"/>
  <c r="L497" i="1"/>
  <c r="L498" i="1"/>
  <c r="L499" i="1"/>
  <c r="L500" i="1"/>
  <c r="L501" i="1"/>
  <c r="L502" i="1"/>
  <c r="L503" i="1"/>
  <c r="L504" i="1"/>
  <c r="L505" i="1"/>
  <c r="L506" i="1"/>
  <c r="L507" i="1"/>
  <c r="L508" i="1"/>
  <c r="L509" i="1"/>
  <c r="L510" i="1"/>
  <c r="L511" i="1"/>
  <c r="L512" i="1"/>
  <c r="L513" i="1"/>
  <c r="L514" i="1"/>
  <c r="L515" i="1"/>
  <c r="L516" i="1"/>
  <c r="L517" i="1"/>
  <c r="L518" i="1"/>
  <c r="L519" i="1"/>
  <c r="L520" i="1"/>
  <c r="L521" i="1"/>
  <c r="L522" i="1"/>
  <c r="L523" i="1"/>
  <c r="L524" i="1"/>
  <c r="L525" i="1"/>
  <c r="L526" i="1"/>
  <c r="L527" i="1"/>
  <c r="L528" i="1"/>
  <c r="L529" i="1"/>
  <c r="L530" i="1"/>
  <c r="L531" i="1"/>
  <c r="L532" i="1"/>
  <c r="L533" i="1"/>
  <c r="L534" i="1"/>
  <c r="L535" i="1"/>
  <c r="L536" i="1"/>
  <c r="L537" i="1"/>
  <c r="L538" i="1"/>
  <c r="L539" i="1"/>
  <c r="L540" i="1"/>
  <c r="L541" i="1"/>
  <c r="L542" i="1"/>
  <c r="L543" i="1"/>
  <c r="L544" i="1"/>
  <c r="L545" i="1"/>
  <c r="L546" i="1"/>
  <c r="L547" i="1"/>
  <c r="L548" i="1"/>
  <c r="L549" i="1"/>
  <c r="L550" i="1"/>
  <c r="L551" i="1"/>
  <c r="L552" i="1"/>
  <c r="L553" i="1"/>
  <c r="L554" i="1"/>
  <c r="L555" i="1"/>
  <c r="L556" i="1"/>
  <c r="L557" i="1"/>
  <c r="L558" i="1"/>
  <c r="L559" i="1"/>
  <c r="L560" i="1"/>
  <c r="L561" i="1"/>
  <c r="L562" i="1"/>
  <c r="L563" i="1"/>
  <c r="L564" i="1"/>
  <c r="L565" i="1"/>
  <c r="L566" i="1"/>
  <c r="L567" i="1"/>
  <c r="L568" i="1"/>
  <c r="L569" i="1"/>
  <c r="L570" i="1"/>
  <c r="L571" i="1"/>
  <c r="L572" i="1"/>
  <c r="L573" i="1"/>
  <c r="L574" i="1"/>
  <c r="L575" i="1"/>
  <c r="L576" i="1"/>
  <c r="L577" i="1"/>
  <c r="L578" i="1"/>
  <c r="L579" i="1"/>
  <c r="L580" i="1"/>
  <c r="L581" i="1"/>
  <c r="L582" i="1"/>
  <c r="L583" i="1"/>
  <c r="L584" i="1"/>
  <c r="L585" i="1"/>
  <c r="L586" i="1"/>
  <c r="L587" i="1"/>
  <c r="L588" i="1"/>
  <c r="L589" i="1"/>
  <c r="L590" i="1"/>
  <c r="L591" i="1"/>
  <c r="L592" i="1"/>
  <c r="L593" i="1"/>
  <c r="L594" i="1"/>
  <c r="L595" i="1"/>
  <c r="L596" i="1"/>
  <c r="L597" i="1"/>
  <c r="L598" i="1"/>
  <c r="L599" i="1"/>
  <c r="L600" i="1"/>
  <c r="L601" i="1"/>
  <c r="L602" i="1"/>
  <c r="L603" i="1"/>
  <c r="L604" i="1"/>
  <c r="L605" i="1"/>
  <c r="L606" i="1"/>
  <c r="L607" i="1"/>
  <c r="L608" i="1"/>
  <c r="L609" i="1"/>
  <c r="L610" i="1"/>
  <c r="L611" i="1"/>
  <c r="L612" i="1"/>
  <c r="L613" i="1"/>
  <c r="L614" i="1"/>
  <c r="L615" i="1"/>
  <c r="L616" i="1"/>
  <c r="L617" i="1"/>
  <c r="L618" i="1"/>
  <c r="L619" i="1"/>
  <c r="L620" i="1"/>
  <c r="L621" i="1"/>
  <c r="L622" i="1"/>
  <c r="L623" i="1"/>
  <c r="L624" i="1"/>
  <c r="L625" i="1"/>
  <c r="L626" i="1"/>
  <c r="L627" i="1"/>
  <c r="L628" i="1"/>
  <c r="L629" i="1"/>
  <c r="L630" i="1"/>
  <c r="L631" i="1"/>
  <c r="L632" i="1"/>
  <c r="L633" i="1"/>
  <c r="L634" i="1"/>
  <c r="L635" i="1"/>
  <c r="L636" i="1"/>
  <c r="L637" i="1"/>
  <c r="L638" i="1"/>
  <c r="L639" i="1"/>
  <c r="L640" i="1"/>
  <c r="L641" i="1"/>
  <c r="L642" i="1"/>
  <c r="L643" i="1"/>
  <c r="L644" i="1"/>
  <c r="L645" i="1"/>
  <c r="L646" i="1"/>
  <c r="L647" i="1"/>
  <c r="L648" i="1"/>
  <c r="L649" i="1"/>
  <c r="L650" i="1"/>
  <c r="L651" i="1"/>
  <c r="L652" i="1"/>
  <c r="L653" i="1"/>
  <c r="L654" i="1"/>
  <c r="L655" i="1"/>
  <c r="L656" i="1"/>
  <c r="L657" i="1"/>
  <c r="L658" i="1"/>
  <c r="L659" i="1"/>
  <c r="L660" i="1"/>
  <c r="L661" i="1"/>
  <c r="L662" i="1"/>
  <c r="L663" i="1"/>
  <c r="L664" i="1"/>
  <c r="L665" i="1"/>
  <c r="L666" i="1"/>
  <c r="L667" i="1"/>
  <c r="L668" i="1"/>
  <c r="L669" i="1"/>
  <c r="L670" i="1"/>
  <c r="L671" i="1"/>
  <c r="L672" i="1"/>
  <c r="L673" i="1"/>
  <c r="L674" i="1"/>
  <c r="L675" i="1"/>
  <c r="L676" i="1"/>
  <c r="L677" i="1"/>
  <c r="L678" i="1"/>
  <c r="L679" i="1"/>
  <c r="L680" i="1"/>
  <c r="L681" i="1"/>
  <c r="L682" i="1"/>
  <c r="L683" i="1"/>
  <c r="L684" i="1"/>
  <c r="L685" i="1"/>
  <c r="L686" i="1"/>
  <c r="L687" i="1"/>
  <c r="L688" i="1"/>
  <c r="L689" i="1"/>
  <c r="L690" i="1"/>
  <c r="L691" i="1"/>
  <c r="L692" i="1"/>
  <c r="L693" i="1"/>
  <c r="L694" i="1"/>
  <c r="L695" i="1"/>
  <c r="L696" i="1"/>
  <c r="L697" i="1"/>
  <c r="L698" i="1"/>
  <c r="L699" i="1"/>
  <c r="L700" i="1"/>
  <c r="L701" i="1"/>
  <c r="L702" i="1"/>
  <c r="L703" i="1"/>
  <c r="L704" i="1"/>
  <c r="L705" i="1"/>
  <c r="L706" i="1"/>
  <c r="L707" i="1"/>
  <c r="L708" i="1"/>
  <c r="L709" i="1"/>
  <c r="L710" i="1"/>
  <c r="L711" i="1"/>
  <c r="L712" i="1"/>
  <c r="L713" i="1"/>
  <c r="L714" i="1"/>
  <c r="L715" i="1"/>
  <c r="L716" i="1"/>
  <c r="L717" i="1"/>
  <c r="L718" i="1"/>
  <c r="L719" i="1"/>
  <c r="L720" i="1"/>
  <c r="L721" i="1"/>
  <c r="L722" i="1"/>
  <c r="L723" i="1"/>
  <c r="L724" i="1"/>
  <c r="L725" i="1"/>
  <c r="L726" i="1"/>
  <c r="L727" i="1"/>
  <c r="L728" i="1"/>
  <c r="L729" i="1"/>
  <c r="L730" i="1"/>
  <c r="L731" i="1"/>
  <c r="L732" i="1"/>
  <c r="L733" i="1"/>
  <c r="L734" i="1"/>
  <c r="L735" i="1"/>
  <c r="L736" i="1"/>
  <c r="L737" i="1"/>
  <c r="L738" i="1"/>
  <c r="L739" i="1"/>
  <c r="L740" i="1"/>
  <c r="L741" i="1"/>
  <c r="L742" i="1"/>
  <c r="L743" i="1"/>
  <c r="L744" i="1"/>
  <c r="L745" i="1"/>
  <c r="L746" i="1"/>
  <c r="L747" i="1"/>
  <c r="L748" i="1"/>
  <c r="L749" i="1"/>
  <c r="L750" i="1"/>
  <c r="L751" i="1"/>
  <c r="L752" i="1"/>
  <c r="L753" i="1"/>
  <c r="L754" i="1"/>
  <c r="L755" i="1"/>
  <c r="L756" i="1"/>
  <c r="L757" i="1"/>
  <c r="L758" i="1"/>
  <c r="L759" i="1"/>
  <c r="L760" i="1"/>
  <c r="L761" i="1"/>
  <c r="L762" i="1"/>
  <c r="L763" i="1"/>
  <c r="L764" i="1"/>
  <c r="L765" i="1"/>
  <c r="L766" i="1"/>
  <c r="L767" i="1"/>
  <c r="L768" i="1"/>
  <c r="L769" i="1"/>
  <c r="L770" i="1"/>
  <c r="L771" i="1"/>
  <c r="L772" i="1"/>
  <c r="L773" i="1"/>
  <c r="L774" i="1"/>
  <c r="L775" i="1"/>
  <c r="L776" i="1"/>
  <c r="L777" i="1"/>
  <c r="L778" i="1"/>
  <c r="L779" i="1"/>
  <c r="L780" i="1"/>
  <c r="L781" i="1"/>
  <c r="L782" i="1"/>
  <c r="L783" i="1"/>
  <c r="L784" i="1"/>
  <c r="L785" i="1"/>
  <c r="L786" i="1"/>
  <c r="L787" i="1"/>
  <c r="L788" i="1"/>
  <c r="L789" i="1"/>
  <c r="L790" i="1"/>
  <c r="L791" i="1"/>
  <c r="L792" i="1"/>
  <c r="L793" i="1"/>
  <c r="L794" i="1"/>
  <c r="L795" i="1"/>
  <c r="L796" i="1"/>
  <c r="L797" i="1"/>
  <c r="L798" i="1"/>
  <c r="L799" i="1"/>
  <c r="L800" i="1"/>
  <c r="L801" i="1"/>
  <c r="L802" i="1"/>
  <c r="L803" i="1"/>
  <c r="L804" i="1"/>
  <c r="L805" i="1"/>
  <c r="L806" i="1"/>
  <c r="L807" i="1"/>
  <c r="L808" i="1"/>
  <c r="L809" i="1"/>
  <c r="L810" i="1"/>
  <c r="L811" i="1"/>
  <c r="L812" i="1"/>
  <c r="L813" i="1"/>
  <c r="L814" i="1"/>
  <c r="L815" i="1"/>
  <c r="L816" i="1"/>
  <c r="L817" i="1"/>
  <c r="L818" i="1"/>
  <c r="L819" i="1"/>
  <c r="L820" i="1"/>
  <c r="L821" i="1"/>
  <c r="L822" i="1"/>
  <c r="L823" i="1"/>
  <c r="L824" i="1"/>
  <c r="L825" i="1"/>
  <c r="L826" i="1"/>
  <c r="L827" i="1"/>
  <c r="L828" i="1"/>
  <c r="L829" i="1"/>
  <c r="L830" i="1"/>
  <c r="L831" i="1"/>
  <c r="L832" i="1"/>
  <c r="L833" i="1"/>
  <c r="L834" i="1"/>
  <c r="L835" i="1"/>
  <c r="L836" i="1"/>
  <c r="L837" i="1"/>
  <c r="L838" i="1"/>
  <c r="L839" i="1"/>
  <c r="L840" i="1"/>
  <c r="L841" i="1"/>
  <c r="L842" i="1"/>
  <c r="L843" i="1"/>
  <c r="L844" i="1"/>
  <c r="L845" i="1"/>
  <c r="L846" i="1"/>
  <c r="L847" i="1"/>
  <c r="L848" i="1"/>
  <c r="L849" i="1"/>
  <c r="L850" i="1"/>
  <c r="L851" i="1"/>
  <c r="L852" i="1"/>
  <c r="L853" i="1"/>
  <c r="L854" i="1"/>
  <c r="L855" i="1"/>
  <c r="L856" i="1"/>
  <c r="L857" i="1"/>
  <c r="L858" i="1"/>
  <c r="L859" i="1"/>
  <c r="L860" i="1"/>
  <c r="L861" i="1"/>
  <c r="L862" i="1"/>
  <c r="L863" i="1"/>
  <c r="L864" i="1"/>
  <c r="L865" i="1"/>
  <c r="L866" i="1"/>
  <c r="L867" i="1"/>
  <c r="L868" i="1"/>
  <c r="L869" i="1"/>
  <c r="L870" i="1"/>
  <c r="L871" i="1"/>
  <c r="L872" i="1"/>
  <c r="L873" i="1"/>
  <c r="L874" i="1"/>
  <c r="L875" i="1"/>
  <c r="L876" i="1"/>
  <c r="L877" i="1"/>
  <c r="L878" i="1"/>
  <c r="L879" i="1"/>
  <c r="L880" i="1"/>
  <c r="L881" i="1"/>
  <c r="L882" i="1"/>
  <c r="L883" i="1"/>
  <c r="L884" i="1"/>
  <c r="L885" i="1"/>
  <c r="L886" i="1"/>
  <c r="L887" i="1"/>
  <c r="L888" i="1"/>
  <c r="L889" i="1"/>
  <c r="L890" i="1"/>
  <c r="L891" i="1"/>
  <c r="L892" i="1"/>
  <c r="L893" i="1"/>
  <c r="L894" i="1"/>
  <c r="L895" i="1"/>
  <c r="L896" i="1"/>
  <c r="L897" i="1"/>
  <c r="L898" i="1"/>
  <c r="L899" i="1"/>
  <c r="L900" i="1"/>
  <c r="L901" i="1"/>
  <c r="L902" i="1"/>
  <c r="L903" i="1"/>
  <c r="L904" i="1"/>
  <c r="L905" i="1"/>
  <c r="L906" i="1"/>
  <c r="L907" i="1"/>
  <c r="L908" i="1"/>
  <c r="L909" i="1"/>
  <c r="L910" i="1"/>
  <c r="L911" i="1"/>
  <c r="L912" i="1"/>
  <c r="L913" i="1"/>
  <c r="L914" i="1"/>
  <c r="L915" i="1"/>
  <c r="L916" i="1"/>
  <c r="L917" i="1"/>
  <c r="L918" i="1"/>
  <c r="L919" i="1"/>
  <c r="L920" i="1"/>
  <c r="L921" i="1"/>
  <c r="L922" i="1"/>
  <c r="L923" i="1"/>
  <c r="L924" i="1"/>
  <c r="L925" i="1"/>
  <c r="L926" i="1"/>
  <c r="L927" i="1"/>
  <c r="L928" i="1"/>
  <c r="L929" i="1"/>
  <c r="L930" i="1"/>
  <c r="L931" i="1"/>
  <c r="L932" i="1"/>
  <c r="L933" i="1"/>
  <c r="L934" i="1"/>
  <c r="L935" i="1"/>
  <c r="L936" i="1"/>
  <c r="L937" i="1"/>
  <c r="L938" i="1"/>
  <c r="L939" i="1"/>
  <c r="L940" i="1"/>
  <c r="L941" i="1"/>
  <c r="L942" i="1"/>
  <c r="L943" i="1"/>
  <c r="L944" i="1"/>
  <c r="L945" i="1"/>
  <c r="L946" i="1"/>
  <c r="L947" i="1"/>
  <c r="L948" i="1"/>
  <c r="L949" i="1"/>
  <c r="L950" i="1"/>
  <c r="L951" i="1"/>
  <c r="L952" i="1"/>
  <c r="L953" i="1"/>
  <c r="L954" i="1"/>
  <c r="L955" i="1"/>
  <c r="L956" i="1"/>
  <c r="L957" i="1"/>
  <c r="L958" i="1"/>
  <c r="L959" i="1"/>
  <c r="L960" i="1"/>
  <c r="L961" i="1"/>
  <c r="L962" i="1"/>
  <c r="L963" i="1"/>
  <c r="L964" i="1"/>
  <c r="L965" i="1"/>
  <c r="L966" i="1"/>
  <c r="L967" i="1"/>
  <c r="L968" i="1"/>
  <c r="L969" i="1"/>
  <c r="L970" i="1"/>
  <c r="L971" i="1"/>
  <c r="L972" i="1"/>
  <c r="L973" i="1"/>
  <c r="L974" i="1"/>
  <c r="L975" i="1"/>
  <c r="L976" i="1"/>
  <c r="L977" i="1"/>
  <c r="L978" i="1"/>
  <c r="L979" i="1"/>
  <c r="L980" i="1"/>
  <c r="L981" i="1"/>
  <c r="L982" i="1"/>
  <c r="L983" i="1"/>
  <c r="L984" i="1"/>
  <c r="L985" i="1"/>
  <c r="L986" i="1"/>
  <c r="L987" i="1"/>
  <c r="L988" i="1"/>
  <c r="L989" i="1"/>
  <c r="L990" i="1"/>
  <c r="L991" i="1"/>
  <c r="L992" i="1"/>
  <c r="L993" i="1"/>
  <c r="L994" i="1"/>
  <c r="L995" i="1"/>
  <c r="L996" i="1"/>
  <c r="L997" i="1"/>
  <c r="L998" i="1"/>
  <c r="L999" i="1"/>
  <c r="L1000" i="1"/>
  <c r="L1001" i="1"/>
  <c r="L1002" i="1"/>
  <c r="L1003" i="1"/>
  <c r="L1004" i="1"/>
  <c r="L1005" i="1"/>
  <c r="L1006" i="1"/>
  <c r="L1007" i="1"/>
  <c r="L1008" i="1"/>
  <c r="L1009" i="1"/>
  <c r="L1010" i="1"/>
  <c r="L1011" i="1"/>
  <c r="L1012" i="1"/>
  <c r="L1013" i="1"/>
  <c r="L1014" i="1"/>
  <c r="L1015" i="1"/>
  <c r="L1016" i="1"/>
  <c r="L1017" i="1"/>
  <c r="L1018" i="1"/>
  <c r="L1019" i="1"/>
  <c r="L1020" i="1"/>
  <c r="L1021" i="1"/>
  <c r="L1022" i="1"/>
  <c r="L1023" i="1"/>
  <c r="L1024" i="1"/>
  <c r="L1025" i="1"/>
  <c r="L1026" i="1"/>
  <c r="L1027" i="1"/>
  <c r="L1028" i="1"/>
  <c r="L1029" i="1"/>
  <c r="L1030" i="1"/>
  <c r="L1031" i="1"/>
  <c r="L1032" i="1"/>
  <c r="L1033" i="1"/>
  <c r="L1034" i="1"/>
  <c r="L1035" i="1"/>
  <c r="L1036" i="1"/>
  <c r="L1037" i="1"/>
  <c r="L1038" i="1"/>
  <c r="L1039" i="1"/>
  <c r="L1040" i="1"/>
  <c r="L1041" i="1"/>
  <c r="L1042" i="1"/>
  <c r="L1043" i="1"/>
  <c r="L1044" i="1"/>
  <c r="L1045" i="1"/>
  <c r="L1046" i="1"/>
  <c r="L1047" i="1"/>
  <c r="L1048" i="1"/>
  <c r="L1049" i="1"/>
  <c r="L1050" i="1"/>
  <c r="L1051" i="1"/>
  <c r="L1052" i="1"/>
  <c r="L1053" i="1"/>
  <c r="L1054" i="1"/>
  <c r="L1055" i="1"/>
  <c r="L1056" i="1"/>
  <c r="L1057" i="1"/>
  <c r="L1058" i="1"/>
  <c r="L1059" i="1"/>
  <c r="L1060" i="1"/>
  <c r="L1061" i="1"/>
  <c r="L1062" i="1"/>
  <c r="L1063" i="1"/>
  <c r="L1064" i="1"/>
  <c r="L1065" i="1"/>
  <c r="L1066" i="1"/>
  <c r="L1067" i="1"/>
  <c r="L1068" i="1"/>
  <c r="L1069" i="1"/>
  <c r="L1070" i="1"/>
  <c r="L1071" i="1"/>
  <c r="L1072" i="1"/>
  <c r="L1073" i="1"/>
  <c r="L1074" i="1"/>
  <c r="L1075" i="1"/>
  <c r="L1076" i="1"/>
  <c r="L1077" i="1"/>
  <c r="L1078" i="1"/>
  <c r="L1079" i="1"/>
  <c r="L1080" i="1"/>
  <c r="L1081" i="1"/>
  <c r="L1082" i="1"/>
  <c r="L1083" i="1"/>
  <c r="L1084" i="1"/>
  <c r="L1085" i="1"/>
  <c r="L1086" i="1"/>
  <c r="L1087" i="1"/>
  <c r="L1088" i="1"/>
  <c r="L1089" i="1"/>
  <c r="L1090" i="1"/>
  <c r="L1091" i="1"/>
  <c r="L1092" i="1"/>
  <c r="L1093" i="1"/>
  <c r="L1094" i="1"/>
  <c r="L1095" i="1"/>
  <c r="L1096" i="1"/>
  <c r="L1097" i="1"/>
  <c r="L1098" i="1"/>
  <c r="L1099" i="1"/>
  <c r="L1100" i="1"/>
  <c r="L1101" i="1"/>
  <c r="L1102" i="1"/>
  <c r="L1103" i="1"/>
  <c r="L1104" i="1"/>
  <c r="L1105" i="1"/>
  <c r="L1106" i="1"/>
  <c r="L1107" i="1"/>
  <c r="L1108" i="1"/>
  <c r="L1109" i="1"/>
  <c r="L1110" i="1"/>
  <c r="L1111" i="1"/>
  <c r="L1112" i="1"/>
  <c r="L1113" i="1"/>
  <c r="L1114" i="1"/>
  <c r="L1115" i="1"/>
  <c r="L1116" i="1"/>
  <c r="L1117" i="1"/>
  <c r="L1118" i="1"/>
  <c r="L1119" i="1"/>
  <c r="L1120" i="1"/>
  <c r="L1121" i="1"/>
  <c r="L1122" i="1"/>
  <c r="L1123" i="1"/>
  <c r="L1124" i="1"/>
  <c r="L1125" i="1"/>
  <c r="L1126" i="1"/>
  <c r="L1127" i="1"/>
  <c r="L1128" i="1"/>
  <c r="L1129" i="1"/>
  <c r="L1130" i="1"/>
  <c r="L1131" i="1"/>
  <c r="L1132" i="1"/>
  <c r="L1133" i="1"/>
  <c r="L1134" i="1"/>
  <c r="L1135" i="1"/>
  <c r="L1136" i="1"/>
  <c r="L1137" i="1"/>
  <c r="L1138" i="1"/>
  <c r="L1139" i="1"/>
  <c r="L1140" i="1"/>
  <c r="L1141" i="1"/>
  <c r="L1142" i="1"/>
  <c r="L1143" i="1"/>
  <c r="L1144" i="1"/>
  <c r="L1145" i="1"/>
  <c r="L1146" i="1"/>
  <c r="L1147" i="1"/>
  <c r="L1148" i="1"/>
  <c r="L1149" i="1"/>
  <c r="L1150" i="1"/>
  <c r="L1151" i="1"/>
  <c r="L1152" i="1"/>
  <c r="L1153" i="1"/>
  <c r="L1154" i="1"/>
  <c r="L1155" i="1"/>
  <c r="L1156" i="1"/>
  <c r="L1157" i="1"/>
  <c r="L1158" i="1"/>
  <c r="L1159" i="1"/>
  <c r="L1160" i="1"/>
  <c r="L1161" i="1"/>
  <c r="L1162" i="1"/>
  <c r="L1163" i="1"/>
  <c r="L1164" i="1"/>
  <c r="L1165" i="1"/>
  <c r="L1166" i="1"/>
  <c r="L1167" i="1"/>
  <c r="L1168" i="1"/>
  <c r="L1169" i="1"/>
  <c r="L1170" i="1"/>
  <c r="L1171" i="1"/>
  <c r="L1172" i="1"/>
  <c r="L1173" i="1"/>
  <c r="L1174" i="1"/>
  <c r="L1175" i="1"/>
  <c r="L1176" i="1"/>
  <c r="L1177" i="1"/>
  <c r="L1178" i="1"/>
  <c r="L1179" i="1"/>
  <c r="L1180" i="1"/>
  <c r="L1181" i="1"/>
  <c r="L1182" i="1"/>
  <c r="L1183" i="1"/>
  <c r="L1184" i="1"/>
  <c r="L1185" i="1"/>
  <c r="L1186" i="1"/>
  <c r="L1187" i="1"/>
  <c r="L1188" i="1"/>
  <c r="L1189" i="1"/>
  <c r="L1190" i="1"/>
  <c r="L1191" i="1"/>
  <c r="L1192" i="1"/>
  <c r="L1193" i="1"/>
  <c r="L1194" i="1"/>
  <c r="L1195" i="1"/>
  <c r="L1196" i="1"/>
  <c r="L1197" i="1"/>
  <c r="L1198" i="1"/>
  <c r="L1199" i="1"/>
  <c r="L1200" i="1"/>
  <c r="L1201" i="1"/>
  <c r="L1202" i="1"/>
  <c r="L1203" i="1"/>
  <c r="L1204" i="1"/>
  <c r="L1205" i="1"/>
  <c r="L1206" i="1"/>
  <c r="L1207" i="1"/>
  <c r="L1208" i="1"/>
  <c r="L1209" i="1"/>
  <c r="L1210" i="1"/>
  <c r="L1211" i="1"/>
  <c r="L1212" i="1"/>
  <c r="L1213" i="1"/>
  <c r="L1214" i="1"/>
  <c r="L1215" i="1"/>
  <c r="L1216" i="1"/>
  <c r="L1217" i="1"/>
  <c r="L1218" i="1"/>
  <c r="L1219" i="1"/>
  <c r="L1220" i="1"/>
  <c r="L1221" i="1"/>
  <c r="L1222" i="1"/>
  <c r="L1223" i="1"/>
  <c r="L1224" i="1"/>
  <c r="L1225" i="1"/>
  <c r="L1226" i="1"/>
  <c r="L1227" i="1"/>
  <c r="L1228" i="1"/>
  <c r="L1229" i="1"/>
  <c r="L1230" i="1"/>
  <c r="L1231" i="1"/>
  <c r="L1232" i="1"/>
  <c r="L1233" i="1"/>
  <c r="L1234" i="1"/>
  <c r="L1235" i="1"/>
  <c r="L1236" i="1"/>
  <c r="L1237" i="1"/>
  <c r="L1238" i="1"/>
  <c r="L1239" i="1"/>
  <c r="L1240" i="1"/>
  <c r="L1241" i="1"/>
  <c r="L1242" i="1"/>
  <c r="L1243" i="1"/>
  <c r="L1244" i="1"/>
  <c r="L1245" i="1"/>
  <c r="L1246" i="1"/>
  <c r="L1247" i="1"/>
  <c r="L1248" i="1"/>
  <c r="L1249" i="1"/>
  <c r="L1250" i="1"/>
  <c r="L1251" i="1"/>
  <c r="L1252" i="1"/>
  <c r="L1253" i="1"/>
  <c r="L1254" i="1"/>
  <c r="L1255" i="1"/>
  <c r="L1256" i="1"/>
  <c r="L1257" i="1"/>
  <c r="L1258" i="1"/>
  <c r="L1259" i="1"/>
  <c r="L1260" i="1"/>
  <c r="L1261" i="1"/>
  <c r="L1262" i="1"/>
  <c r="L1263" i="1"/>
  <c r="L1264" i="1"/>
  <c r="L1265" i="1"/>
  <c r="L1266" i="1"/>
  <c r="L1267" i="1"/>
  <c r="L1268" i="1"/>
  <c r="L1269" i="1"/>
  <c r="L1270" i="1"/>
  <c r="L1271" i="1"/>
  <c r="L1272" i="1"/>
  <c r="L1273" i="1"/>
  <c r="L1274" i="1"/>
  <c r="L1275" i="1"/>
  <c r="L1276" i="1"/>
  <c r="L1277" i="1"/>
  <c r="L1278" i="1"/>
  <c r="L1279" i="1"/>
  <c r="L1280" i="1"/>
  <c r="L1281" i="1"/>
  <c r="L1282" i="1"/>
  <c r="L1283" i="1"/>
  <c r="L1284" i="1"/>
  <c r="L1285" i="1"/>
  <c r="L1286" i="1"/>
  <c r="L1287" i="1"/>
  <c r="L1288" i="1"/>
  <c r="L1289" i="1"/>
  <c r="L1290" i="1"/>
  <c r="L1291" i="1"/>
  <c r="L1292" i="1"/>
  <c r="L1293" i="1"/>
  <c r="L1294" i="1"/>
  <c r="L1295" i="1"/>
  <c r="L1296" i="1"/>
  <c r="L1297" i="1"/>
  <c r="L1298" i="1"/>
  <c r="L1299" i="1"/>
  <c r="L1300" i="1"/>
  <c r="L1301" i="1"/>
  <c r="L1302" i="1"/>
  <c r="L1303" i="1"/>
  <c r="L1304" i="1"/>
  <c r="L1305" i="1"/>
  <c r="L1306" i="1"/>
  <c r="L1307" i="1"/>
  <c r="L1308" i="1"/>
  <c r="L1309" i="1"/>
  <c r="L1310" i="1"/>
  <c r="L1311" i="1"/>
  <c r="L1312" i="1"/>
  <c r="L1313" i="1"/>
  <c r="L1314" i="1"/>
  <c r="L1315" i="1"/>
  <c r="L1316" i="1"/>
  <c r="L1317" i="1"/>
  <c r="L1318" i="1"/>
  <c r="L1319" i="1"/>
  <c r="L1320" i="1"/>
  <c r="L1321" i="1"/>
  <c r="L1322" i="1"/>
  <c r="L1323" i="1"/>
  <c r="L1324" i="1"/>
  <c r="L1325" i="1"/>
  <c r="L1326" i="1"/>
  <c r="L1327" i="1"/>
  <c r="L1328" i="1"/>
  <c r="L1329" i="1"/>
  <c r="L1330" i="1"/>
  <c r="L1331" i="1"/>
  <c r="L1332" i="1"/>
  <c r="L1333" i="1"/>
  <c r="L1334" i="1"/>
  <c r="L1335" i="1"/>
  <c r="L1336" i="1"/>
  <c r="L1337" i="1"/>
  <c r="L1338" i="1"/>
  <c r="L1339" i="1"/>
  <c r="L1340" i="1"/>
  <c r="L1341" i="1"/>
  <c r="L1342" i="1"/>
  <c r="L1343" i="1"/>
  <c r="L1344" i="1"/>
  <c r="L1345" i="1"/>
  <c r="L1346" i="1"/>
  <c r="L1347" i="1"/>
  <c r="L1348" i="1"/>
  <c r="L1349" i="1"/>
  <c r="L1350" i="1"/>
  <c r="L1351" i="1"/>
  <c r="L1352" i="1"/>
  <c r="L1353" i="1"/>
  <c r="L1354" i="1"/>
  <c r="L1355" i="1"/>
  <c r="L1356" i="1"/>
  <c r="L1357" i="1"/>
  <c r="L1358" i="1"/>
  <c r="L1359" i="1"/>
  <c r="L1360" i="1"/>
  <c r="L1361" i="1"/>
  <c r="L1362" i="1"/>
  <c r="L1363" i="1"/>
  <c r="L1364" i="1"/>
  <c r="L1365" i="1"/>
  <c r="L1366" i="1"/>
  <c r="L1367" i="1"/>
  <c r="L1368" i="1"/>
  <c r="L1369" i="1"/>
  <c r="L1370" i="1"/>
  <c r="L1371" i="1"/>
  <c r="L1372" i="1"/>
  <c r="L1373" i="1"/>
  <c r="L1374" i="1"/>
  <c r="L1375" i="1"/>
  <c r="L1376" i="1"/>
  <c r="L1377" i="1"/>
  <c r="L1378" i="1"/>
  <c r="L1379" i="1"/>
  <c r="L1380" i="1"/>
  <c r="L1381" i="1"/>
  <c r="L1382" i="1"/>
  <c r="L1383" i="1"/>
  <c r="L1384" i="1"/>
  <c r="L1385" i="1"/>
  <c r="L1386" i="1"/>
  <c r="L1387" i="1"/>
  <c r="L1388" i="1"/>
  <c r="L1389" i="1"/>
  <c r="L1390" i="1"/>
  <c r="L1391" i="1"/>
  <c r="L1392" i="1"/>
  <c r="L1393" i="1"/>
  <c r="L1394" i="1"/>
  <c r="L1395" i="1"/>
  <c r="L1396" i="1"/>
  <c r="L1397" i="1"/>
  <c r="L1398" i="1"/>
  <c r="L1399" i="1"/>
  <c r="L1400" i="1"/>
  <c r="L1401" i="1"/>
  <c r="L1402" i="1"/>
  <c r="L1403" i="1"/>
  <c r="L1404" i="1"/>
  <c r="L1405" i="1"/>
  <c r="L1406" i="1"/>
  <c r="L1407" i="1"/>
  <c r="L1408" i="1"/>
  <c r="L1409" i="1"/>
  <c r="L1410" i="1"/>
  <c r="L1411" i="1"/>
  <c r="L1412" i="1"/>
  <c r="L1413" i="1"/>
  <c r="L1414" i="1"/>
  <c r="L1415" i="1"/>
  <c r="L1416" i="1"/>
  <c r="L1417" i="1"/>
  <c r="L1418" i="1"/>
  <c r="L1419" i="1"/>
  <c r="L1420" i="1"/>
  <c r="L1421" i="1"/>
  <c r="L1422" i="1"/>
  <c r="L1423" i="1"/>
  <c r="L1424" i="1"/>
  <c r="L1425" i="1"/>
  <c r="L1426" i="1"/>
  <c r="L1427" i="1"/>
  <c r="L1428" i="1"/>
  <c r="L1429" i="1"/>
  <c r="L1430" i="1"/>
  <c r="L1431" i="1"/>
  <c r="L1432" i="1"/>
  <c r="L1433" i="1"/>
  <c r="L1434" i="1"/>
  <c r="L1435" i="1"/>
  <c r="L1436" i="1"/>
  <c r="L1437" i="1"/>
  <c r="L1438" i="1"/>
  <c r="L1439" i="1"/>
  <c r="L1440" i="1"/>
  <c r="L1441" i="1"/>
  <c r="L1442" i="1"/>
  <c r="L1443" i="1"/>
  <c r="L1444" i="1"/>
  <c r="L1445" i="1"/>
  <c r="L1446" i="1"/>
  <c r="L1447" i="1"/>
  <c r="L1448" i="1"/>
  <c r="L1449" i="1"/>
  <c r="L1450" i="1"/>
  <c r="L1451" i="1"/>
  <c r="L1452" i="1"/>
  <c r="L1453" i="1"/>
  <c r="L1454" i="1"/>
  <c r="L1455" i="1"/>
  <c r="L1456" i="1"/>
  <c r="L1457" i="1"/>
  <c r="L1458" i="1"/>
  <c r="L1459" i="1"/>
  <c r="L1460" i="1"/>
  <c r="L1461" i="1"/>
  <c r="L1462" i="1"/>
  <c r="L1463" i="1"/>
  <c r="L1464" i="1"/>
  <c r="L1465" i="1"/>
  <c r="L1466" i="1"/>
  <c r="L1467" i="1"/>
  <c r="L1468" i="1"/>
  <c r="L1469" i="1"/>
  <c r="L1470" i="1"/>
  <c r="L1471" i="1"/>
  <c r="L1472" i="1"/>
  <c r="L1473" i="1"/>
  <c r="L1474" i="1"/>
  <c r="L1475" i="1"/>
  <c r="L1476" i="1"/>
  <c r="L1477" i="1"/>
  <c r="L1478" i="1"/>
  <c r="L1479" i="1"/>
  <c r="L1480" i="1"/>
  <c r="L1481" i="1"/>
  <c r="L1482" i="1"/>
  <c r="L1483" i="1"/>
  <c r="L1484" i="1"/>
  <c r="L1485" i="1"/>
  <c r="L1486" i="1"/>
  <c r="L1487" i="1"/>
  <c r="L1488" i="1"/>
  <c r="L1489" i="1"/>
  <c r="L1490" i="1"/>
  <c r="L1491" i="1"/>
  <c r="L1492" i="1"/>
  <c r="L1493" i="1"/>
  <c r="L1494" i="1"/>
  <c r="L1495" i="1"/>
  <c r="L1496" i="1"/>
  <c r="L1497" i="1"/>
  <c r="L1498" i="1"/>
  <c r="L1499" i="1"/>
  <c r="L1500" i="1"/>
  <c r="L1501" i="1"/>
  <c r="L1502" i="1"/>
  <c r="L1503" i="1"/>
  <c r="L1504" i="1"/>
  <c r="L1505" i="1"/>
  <c r="L1506" i="1"/>
  <c r="L1507" i="1"/>
  <c r="L1508" i="1"/>
  <c r="L1509" i="1"/>
  <c r="L1510" i="1"/>
  <c r="L1511" i="1"/>
  <c r="L1512" i="1"/>
  <c r="L1513" i="1"/>
  <c r="L1514" i="1"/>
  <c r="L1515" i="1"/>
  <c r="L1516" i="1"/>
  <c r="L1517" i="1"/>
  <c r="L1518" i="1"/>
  <c r="L1519" i="1"/>
  <c r="L1520" i="1"/>
  <c r="L1521" i="1"/>
  <c r="L1522" i="1"/>
  <c r="L1523" i="1"/>
  <c r="L1524" i="1"/>
  <c r="L1525" i="1"/>
  <c r="L1526" i="1"/>
  <c r="L1527" i="1"/>
  <c r="L1528" i="1"/>
  <c r="L1529" i="1"/>
  <c r="L1530" i="1"/>
  <c r="L1531" i="1"/>
  <c r="L1532" i="1"/>
  <c r="L1533" i="1"/>
  <c r="L1534" i="1"/>
  <c r="L1535" i="1"/>
  <c r="L1536" i="1"/>
  <c r="L1537" i="1"/>
  <c r="L1538" i="1"/>
  <c r="L1539" i="1"/>
  <c r="L1540" i="1"/>
  <c r="L1541" i="1"/>
  <c r="L1542" i="1"/>
  <c r="L1543" i="1"/>
  <c r="L1544" i="1"/>
  <c r="L1545" i="1"/>
  <c r="L1546" i="1"/>
  <c r="L1547" i="1"/>
  <c r="L1548" i="1"/>
  <c r="L1549" i="1"/>
  <c r="L1550" i="1"/>
  <c r="L1551" i="1"/>
  <c r="L1552" i="1"/>
  <c r="L1553" i="1"/>
  <c r="L1554" i="1"/>
  <c r="L1555" i="1"/>
  <c r="L1556" i="1"/>
  <c r="L1557" i="1"/>
  <c r="L1558" i="1"/>
  <c r="L1559" i="1"/>
  <c r="L1560" i="1"/>
  <c r="L1561" i="1"/>
  <c r="L1562" i="1"/>
  <c r="L1563" i="1"/>
  <c r="L1564" i="1"/>
  <c r="L1565" i="1"/>
  <c r="L1566" i="1"/>
  <c r="L1567" i="1"/>
  <c r="L1568" i="1"/>
  <c r="L1569" i="1"/>
  <c r="L1570" i="1"/>
  <c r="L1571" i="1"/>
  <c r="L1572" i="1"/>
  <c r="L1573" i="1"/>
  <c r="L1574" i="1"/>
  <c r="L1575" i="1"/>
  <c r="L1576" i="1"/>
  <c r="L1577" i="1"/>
  <c r="L1578" i="1"/>
  <c r="L1579" i="1"/>
  <c r="L1580" i="1"/>
  <c r="L1581" i="1"/>
  <c r="L1582" i="1"/>
  <c r="L1583" i="1"/>
  <c r="L1584" i="1"/>
  <c r="L1585" i="1"/>
  <c r="L1586" i="1"/>
  <c r="L1587" i="1"/>
  <c r="L1588" i="1"/>
  <c r="L1589" i="1"/>
  <c r="L1590" i="1"/>
  <c r="L1591" i="1"/>
  <c r="L1592" i="1"/>
  <c r="L1593" i="1"/>
  <c r="L1594" i="1"/>
  <c r="L1595" i="1"/>
  <c r="L1596" i="1"/>
  <c r="L1597" i="1"/>
  <c r="L1598" i="1"/>
  <c r="L1599" i="1"/>
  <c r="L1600" i="1"/>
  <c r="L1601" i="1"/>
  <c r="L1602" i="1"/>
  <c r="L1603" i="1"/>
  <c r="L1604" i="1"/>
  <c r="L1605" i="1"/>
  <c r="L1606" i="1"/>
  <c r="L1607" i="1"/>
  <c r="L1608" i="1"/>
  <c r="L1609" i="1"/>
  <c r="L1610" i="1"/>
  <c r="L1611" i="1"/>
  <c r="L1612" i="1"/>
  <c r="L1613" i="1"/>
  <c r="L1614" i="1"/>
  <c r="L1615" i="1"/>
  <c r="L1616" i="1"/>
  <c r="L1617" i="1"/>
  <c r="L1618" i="1"/>
  <c r="L1619" i="1"/>
  <c r="L1620" i="1"/>
  <c r="L1621" i="1"/>
  <c r="L1622" i="1"/>
  <c r="L1623" i="1"/>
  <c r="L1624" i="1"/>
  <c r="L1625" i="1"/>
  <c r="L1626" i="1"/>
  <c r="L1627" i="1"/>
  <c r="L1628" i="1"/>
  <c r="L1629" i="1"/>
  <c r="L1630" i="1"/>
  <c r="L1631" i="1"/>
  <c r="L1632" i="1"/>
  <c r="L1633" i="1"/>
  <c r="L1634" i="1"/>
  <c r="L1635" i="1"/>
  <c r="L1636" i="1"/>
  <c r="L1637" i="1"/>
  <c r="L1638" i="1"/>
  <c r="L1639" i="1"/>
  <c r="L1640" i="1"/>
  <c r="L1641" i="1"/>
  <c r="L1642" i="1"/>
  <c r="L1643" i="1"/>
  <c r="L1644" i="1"/>
  <c r="L1645" i="1"/>
  <c r="L1646" i="1"/>
  <c r="L1647" i="1"/>
  <c r="L1648" i="1"/>
  <c r="L1649" i="1"/>
  <c r="L1650" i="1"/>
  <c r="L1651" i="1"/>
  <c r="L1652" i="1"/>
  <c r="L1653" i="1"/>
  <c r="L1654" i="1"/>
  <c r="L1655" i="1"/>
  <c r="L1656" i="1"/>
  <c r="L1657" i="1"/>
  <c r="L1658" i="1"/>
  <c r="L1659" i="1"/>
  <c r="L1660" i="1"/>
  <c r="L1661" i="1"/>
  <c r="L1662" i="1"/>
  <c r="L1663" i="1"/>
  <c r="L1664" i="1"/>
  <c r="L1665" i="1"/>
  <c r="L1666" i="1"/>
  <c r="L1667" i="1"/>
  <c r="L1668" i="1"/>
  <c r="L1669" i="1"/>
  <c r="L1670" i="1"/>
  <c r="L1671" i="1"/>
  <c r="L1672" i="1"/>
  <c r="L1673" i="1"/>
  <c r="L1674" i="1"/>
  <c r="L1675" i="1"/>
  <c r="L1676" i="1"/>
  <c r="L1677" i="1"/>
  <c r="L1678" i="1"/>
  <c r="L1679" i="1"/>
  <c r="L1680" i="1"/>
  <c r="L1681" i="1"/>
  <c r="L1682" i="1"/>
  <c r="L1683" i="1"/>
  <c r="L1684" i="1"/>
  <c r="L1685" i="1"/>
  <c r="L1686" i="1"/>
  <c r="L1687" i="1"/>
  <c r="L1688" i="1"/>
  <c r="L1689" i="1"/>
  <c r="L1690" i="1"/>
  <c r="L1691" i="1"/>
  <c r="L1692" i="1"/>
  <c r="L1693" i="1"/>
  <c r="L1694" i="1"/>
  <c r="L1695" i="1"/>
  <c r="L1696" i="1"/>
  <c r="L1697" i="1"/>
  <c r="L1698" i="1"/>
  <c r="L1699" i="1"/>
  <c r="L1700" i="1"/>
  <c r="L1701" i="1"/>
  <c r="L1702" i="1"/>
  <c r="L1703" i="1"/>
  <c r="L1704" i="1"/>
  <c r="L1705" i="1"/>
  <c r="L1706" i="1"/>
  <c r="L1707" i="1"/>
  <c r="L1708" i="1"/>
  <c r="L1709" i="1"/>
  <c r="L1710" i="1"/>
  <c r="L1711" i="1"/>
  <c r="L1712" i="1"/>
  <c r="L1713" i="1"/>
  <c r="L1714" i="1"/>
  <c r="L1715" i="1"/>
  <c r="L1716" i="1"/>
  <c r="L1717" i="1"/>
  <c r="L1718" i="1"/>
  <c r="L1719" i="1"/>
  <c r="L1720" i="1"/>
  <c r="L1721" i="1"/>
  <c r="L1722" i="1"/>
  <c r="L1723" i="1"/>
  <c r="L1724" i="1"/>
  <c r="L1725" i="1"/>
  <c r="L1726" i="1"/>
  <c r="L1727" i="1"/>
  <c r="L1728" i="1"/>
  <c r="L1729" i="1"/>
  <c r="L1730" i="1"/>
  <c r="L1731" i="1"/>
  <c r="L1732" i="1"/>
  <c r="L1733" i="1"/>
  <c r="L1734" i="1"/>
  <c r="L1735" i="1"/>
  <c r="L1736" i="1"/>
  <c r="L1737" i="1"/>
  <c r="L1738" i="1"/>
  <c r="L1739" i="1"/>
  <c r="L1740" i="1"/>
  <c r="L1741" i="1"/>
  <c r="L1742" i="1"/>
  <c r="L1743" i="1"/>
  <c r="L1744" i="1"/>
  <c r="L1745" i="1"/>
  <c r="L1746" i="1"/>
  <c r="L1747" i="1"/>
  <c r="L1748" i="1"/>
  <c r="L1749" i="1"/>
  <c r="L1750" i="1"/>
  <c r="L1751" i="1"/>
  <c r="L1752" i="1"/>
  <c r="L1753" i="1"/>
  <c r="L1754" i="1"/>
  <c r="L1755" i="1"/>
  <c r="L1756" i="1"/>
  <c r="L1757" i="1"/>
  <c r="L1758" i="1"/>
  <c r="L1759" i="1"/>
  <c r="L1760" i="1"/>
  <c r="L1761" i="1"/>
  <c r="L1762" i="1"/>
  <c r="L1763" i="1"/>
  <c r="L1764" i="1"/>
  <c r="L1765" i="1"/>
  <c r="L1766" i="1"/>
  <c r="L1767" i="1"/>
  <c r="L1768" i="1"/>
  <c r="L1769" i="1"/>
  <c r="L1770" i="1"/>
  <c r="L1771" i="1"/>
  <c r="L1772" i="1"/>
  <c r="L1773" i="1"/>
  <c r="L1774" i="1"/>
  <c r="L1775" i="1"/>
  <c r="L1776" i="1"/>
  <c r="L1777" i="1"/>
  <c r="L1778" i="1"/>
  <c r="L1779" i="1"/>
  <c r="L1780" i="1"/>
  <c r="L1781" i="1"/>
  <c r="L1782" i="1"/>
  <c r="L1783" i="1"/>
  <c r="L1784" i="1"/>
  <c r="L1785" i="1"/>
  <c r="L1786" i="1"/>
  <c r="L1787" i="1"/>
  <c r="L1788" i="1"/>
  <c r="L1789" i="1"/>
  <c r="L1790" i="1"/>
  <c r="L1791" i="1"/>
  <c r="L1792" i="1"/>
  <c r="L1793" i="1"/>
  <c r="L1794" i="1"/>
  <c r="L1795" i="1"/>
  <c r="L1796" i="1"/>
  <c r="L1797" i="1"/>
  <c r="L1798" i="1"/>
  <c r="L1799" i="1"/>
  <c r="L1800" i="1"/>
  <c r="L1801" i="1"/>
  <c r="L1802" i="1"/>
  <c r="L1803" i="1"/>
  <c r="L1804" i="1"/>
  <c r="L1805" i="1"/>
  <c r="L1806" i="1"/>
  <c r="L1807" i="1"/>
  <c r="L1808" i="1"/>
  <c r="L1809" i="1"/>
  <c r="L1810" i="1"/>
  <c r="L1811" i="1"/>
  <c r="L1812" i="1"/>
  <c r="L1813" i="1"/>
  <c r="L1814" i="1"/>
  <c r="L1815" i="1"/>
  <c r="L1816" i="1"/>
  <c r="L1817" i="1"/>
  <c r="L1818" i="1"/>
  <c r="L1819" i="1"/>
  <c r="L1820" i="1"/>
  <c r="L1821" i="1"/>
  <c r="L1822" i="1"/>
  <c r="L1823" i="1"/>
  <c r="L1824" i="1"/>
  <c r="L1825" i="1"/>
  <c r="L1826" i="1"/>
  <c r="L1827" i="1"/>
  <c r="L1828" i="1"/>
  <c r="L1829" i="1"/>
  <c r="L1830" i="1"/>
  <c r="L1831" i="1"/>
  <c r="L1832" i="1"/>
  <c r="L1833" i="1"/>
  <c r="L1834" i="1"/>
  <c r="L1835" i="1"/>
  <c r="L1836" i="1"/>
  <c r="L1837" i="1"/>
  <c r="L1838" i="1"/>
  <c r="L1839" i="1"/>
  <c r="L1840" i="1"/>
  <c r="L1841" i="1"/>
  <c r="L1842" i="1"/>
  <c r="L1843" i="1"/>
  <c r="L1844" i="1"/>
  <c r="L1845" i="1"/>
  <c r="L1846" i="1"/>
  <c r="L1847" i="1"/>
  <c r="L1848" i="1"/>
  <c r="L1849" i="1"/>
  <c r="L1850" i="1"/>
  <c r="L1851" i="1"/>
  <c r="L1852" i="1"/>
  <c r="L1853" i="1"/>
  <c r="L1854" i="1"/>
  <c r="L1855" i="1"/>
  <c r="L1856" i="1"/>
  <c r="L1857" i="1"/>
  <c r="L1858" i="1"/>
  <c r="L1859" i="1"/>
  <c r="L1860" i="1"/>
  <c r="L1861" i="1"/>
  <c r="L1862" i="1"/>
  <c r="L1863" i="1"/>
  <c r="L1864" i="1"/>
  <c r="L1865" i="1"/>
  <c r="L1866" i="1"/>
  <c r="L1867" i="1"/>
  <c r="L1868" i="1"/>
  <c r="L1869" i="1"/>
  <c r="L1870" i="1"/>
  <c r="L1871" i="1"/>
  <c r="L1872" i="1"/>
  <c r="L1873" i="1"/>
  <c r="L1874" i="1"/>
  <c r="L1875" i="1"/>
  <c r="L1876" i="1"/>
  <c r="L1877" i="1"/>
  <c r="L1878" i="1"/>
  <c r="L1879" i="1"/>
  <c r="L1880" i="1"/>
  <c r="L1881" i="1"/>
  <c r="L1882" i="1"/>
  <c r="L1883" i="1"/>
  <c r="L1884" i="1"/>
  <c r="L1885" i="1"/>
  <c r="L1886" i="1"/>
  <c r="L1887" i="1"/>
  <c r="L1888" i="1"/>
  <c r="L1889" i="1"/>
  <c r="L1890" i="1"/>
  <c r="L1891" i="1"/>
  <c r="L1892" i="1"/>
  <c r="L1893" i="1"/>
  <c r="L1894" i="1"/>
  <c r="L1895" i="1"/>
  <c r="L1896" i="1"/>
  <c r="L1897" i="1"/>
  <c r="L1898" i="1"/>
  <c r="L1899" i="1"/>
  <c r="L1900" i="1"/>
  <c r="L1901" i="1"/>
  <c r="L1902" i="1"/>
  <c r="L1903" i="1"/>
  <c r="L1904" i="1"/>
  <c r="L1905" i="1"/>
  <c r="L1906" i="1"/>
  <c r="L1907" i="1"/>
  <c r="L1908" i="1"/>
  <c r="L1909" i="1"/>
  <c r="L1910" i="1"/>
  <c r="L1911" i="1"/>
  <c r="L1912" i="1"/>
  <c r="L1913" i="1"/>
  <c r="L1914" i="1"/>
  <c r="L1915" i="1"/>
  <c r="L1916" i="1"/>
  <c r="L1917" i="1"/>
  <c r="L1918" i="1"/>
  <c r="L1919" i="1"/>
  <c r="L1920" i="1"/>
  <c r="L1921" i="1"/>
  <c r="L1922" i="1"/>
  <c r="L1923" i="1"/>
  <c r="L1924" i="1"/>
  <c r="L1925" i="1"/>
  <c r="L1926" i="1"/>
  <c r="L1927" i="1"/>
  <c r="L1928" i="1"/>
  <c r="L1929" i="1"/>
  <c r="L1930" i="1"/>
  <c r="L1931" i="1"/>
  <c r="L1932" i="1"/>
  <c r="L1933" i="1"/>
  <c r="L1934" i="1"/>
  <c r="L1935" i="1"/>
  <c r="L1936" i="1"/>
  <c r="L1937" i="1"/>
  <c r="L1938" i="1"/>
  <c r="L1939" i="1"/>
  <c r="L1940" i="1"/>
  <c r="L1941" i="1"/>
  <c r="L1942" i="1"/>
  <c r="L1943" i="1"/>
  <c r="L1944" i="1"/>
  <c r="L1945" i="1"/>
  <c r="L1946" i="1"/>
  <c r="L1947" i="1"/>
  <c r="L1948" i="1"/>
  <c r="L1949" i="1"/>
  <c r="L1950" i="1"/>
  <c r="L1951" i="1"/>
  <c r="L1952" i="1"/>
  <c r="L1953" i="1"/>
  <c r="L1954" i="1"/>
  <c r="L1955" i="1"/>
  <c r="L1956" i="1"/>
  <c r="L1957" i="1"/>
  <c r="L1958" i="1"/>
  <c r="L1959" i="1"/>
  <c r="L1960" i="1"/>
  <c r="L1961" i="1"/>
  <c r="L1962" i="1"/>
  <c r="L1963" i="1"/>
  <c r="L1964" i="1"/>
  <c r="L1965" i="1"/>
  <c r="L1966" i="1"/>
  <c r="L1967" i="1"/>
  <c r="L1968" i="1"/>
  <c r="L1969" i="1"/>
  <c r="L1970" i="1"/>
  <c r="L1971" i="1"/>
  <c r="L1972" i="1"/>
  <c r="L1973" i="1"/>
  <c r="L1974" i="1"/>
  <c r="L1975" i="1"/>
  <c r="L1976" i="1"/>
  <c r="L1977" i="1"/>
  <c r="L1978" i="1"/>
  <c r="L1979" i="1"/>
  <c r="L1980" i="1"/>
  <c r="L1981" i="1"/>
  <c r="L1982" i="1"/>
  <c r="L1983" i="1"/>
  <c r="L1984" i="1"/>
  <c r="L1985" i="1"/>
  <c r="L1986" i="1"/>
  <c r="L1987" i="1"/>
  <c r="L1988" i="1"/>
  <c r="L1989" i="1"/>
  <c r="L1990" i="1"/>
  <c r="L1991" i="1"/>
  <c r="L1992" i="1"/>
  <c r="L1993" i="1"/>
  <c r="L1994" i="1"/>
  <c r="L1995" i="1"/>
  <c r="L1996" i="1"/>
  <c r="L1997" i="1"/>
  <c r="L1998" i="1"/>
  <c r="L1999" i="1"/>
  <c r="L2000" i="1"/>
  <c r="L2001" i="1"/>
  <c r="L2002" i="1"/>
  <c r="L2003" i="1"/>
  <c r="L2004" i="1"/>
  <c r="L2005" i="1"/>
  <c r="L2006" i="1"/>
  <c r="L2007" i="1"/>
  <c r="L2008" i="1"/>
  <c r="L2009" i="1"/>
  <c r="L2010" i="1"/>
  <c r="L2011" i="1"/>
  <c r="L2012" i="1"/>
  <c r="L2013" i="1"/>
  <c r="L2014" i="1"/>
  <c r="L2015" i="1"/>
  <c r="L2016" i="1"/>
  <c r="L2017" i="1"/>
  <c r="L2018" i="1"/>
  <c r="L2019" i="1"/>
  <c r="L2020" i="1"/>
  <c r="L2021" i="1"/>
  <c r="L2022" i="1"/>
  <c r="L2023" i="1"/>
  <c r="L2024" i="1"/>
  <c r="L2025" i="1"/>
  <c r="L2026" i="1"/>
  <c r="L2027" i="1"/>
  <c r="L2028" i="1"/>
  <c r="L2029" i="1"/>
  <c r="L2030" i="1"/>
  <c r="L2031" i="1"/>
  <c r="L2032" i="1"/>
  <c r="L2033" i="1"/>
  <c r="L2034" i="1"/>
  <c r="L2035" i="1"/>
  <c r="L2036" i="1"/>
  <c r="L2037" i="1"/>
  <c r="L2038" i="1"/>
  <c r="L2039" i="1"/>
  <c r="L2040" i="1"/>
  <c r="L2041" i="1"/>
  <c r="L2042" i="1"/>
  <c r="L2043" i="1"/>
  <c r="L2044" i="1"/>
  <c r="L2045" i="1"/>
  <c r="L2046" i="1"/>
  <c r="L2047" i="1"/>
  <c r="L2048" i="1"/>
  <c r="L2049" i="1"/>
  <c r="L2050" i="1"/>
  <c r="L2051" i="1"/>
  <c r="L2052" i="1"/>
  <c r="L2053" i="1"/>
  <c r="L2054" i="1"/>
  <c r="L2055" i="1"/>
  <c r="L2056" i="1"/>
  <c r="L2057" i="1"/>
  <c r="L2058" i="1"/>
  <c r="L2059" i="1"/>
  <c r="L2060" i="1"/>
  <c r="L2061" i="1"/>
  <c r="L2062" i="1"/>
  <c r="L2063" i="1"/>
  <c r="L2064" i="1"/>
  <c r="L2065" i="1"/>
  <c r="L2066" i="1"/>
  <c r="L2067" i="1"/>
  <c r="L2068" i="1"/>
  <c r="L2069" i="1"/>
  <c r="L2070" i="1"/>
  <c r="L2071" i="1"/>
  <c r="L2072" i="1"/>
  <c r="L2073" i="1"/>
  <c r="L2074" i="1"/>
  <c r="L2075" i="1"/>
  <c r="L2076" i="1"/>
  <c r="L2077" i="1"/>
  <c r="L2078" i="1"/>
  <c r="L2079" i="1"/>
  <c r="L2080" i="1"/>
  <c r="L2081" i="1"/>
  <c r="L2082" i="1"/>
  <c r="L2083" i="1"/>
  <c r="L2084" i="1"/>
  <c r="L2085" i="1"/>
  <c r="L2086" i="1"/>
  <c r="L2087" i="1"/>
  <c r="L2088" i="1"/>
  <c r="L2089" i="1"/>
  <c r="L2090" i="1"/>
  <c r="L2091" i="1"/>
  <c r="L2092" i="1"/>
  <c r="L2093" i="1"/>
  <c r="L2094" i="1"/>
  <c r="L2095" i="1"/>
  <c r="L2096" i="1"/>
  <c r="L2097" i="1"/>
  <c r="L2098" i="1"/>
  <c r="L2099" i="1"/>
  <c r="L2100" i="1"/>
  <c r="L2101" i="1"/>
  <c r="L2102" i="1"/>
  <c r="L2103" i="1"/>
  <c r="L2104" i="1"/>
  <c r="L2105" i="1"/>
  <c r="L2106" i="1"/>
  <c r="L2107" i="1"/>
  <c r="L2108" i="1"/>
  <c r="L2109" i="1"/>
  <c r="L2110" i="1"/>
  <c r="L2111" i="1"/>
  <c r="L2112" i="1"/>
  <c r="L2113" i="1"/>
  <c r="L2114" i="1"/>
  <c r="L2115" i="1"/>
  <c r="L2116" i="1"/>
  <c r="L2117" i="1"/>
  <c r="L2118" i="1"/>
  <c r="L2119" i="1"/>
  <c r="L2120" i="1"/>
  <c r="L2121" i="1"/>
  <c r="L2122" i="1"/>
  <c r="L2123" i="1"/>
  <c r="L2124" i="1"/>
  <c r="L2125" i="1"/>
  <c r="L2126" i="1"/>
  <c r="L2127" i="1"/>
  <c r="L2128" i="1"/>
  <c r="L2129" i="1"/>
  <c r="L2130" i="1"/>
  <c r="L2131" i="1"/>
  <c r="L2132" i="1"/>
  <c r="L2133" i="1"/>
  <c r="L2134" i="1"/>
  <c r="L2135" i="1"/>
  <c r="L2136" i="1"/>
  <c r="L2137" i="1"/>
  <c r="L2138" i="1"/>
  <c r="L2139" i="1"/>
  <c r="L2140" i="1"/>
  <c r="L2141" i="1"/>
  <c r="L2142" i="1"/>
  <c r="L2143" i="1"/>
  <c r="L2144" i="1"/>
  <c r="L2145" i="1"/>
  <c r="L2146" i="1"/>
  <c r="L2147" i="1"/>
  <c r="L2148" i="1"/>
  <c r="L2149" i="1"/>
  <c r="L2150" i="1"/>
  <c r="L2151" i="1"/>
  <c r="L2152" i="1"/>
  <c r="L2153" i="1"/>
  <c r="L2154" i="1"/>
  <c r="L2155" i="1"/>
  <c r="L2156" i="1"/>
  <c r="L2157" i="1"/>
  <c r="L2158" i="1"/>
  <c r="L2159" i="1"/>
  <c r="L2160" i="1"/>
  <c r="L2161" i="1"/>
  <c r="L2162" i="1"/>
  <c r="L2163" i="1"/>
  <c r="L2164" i="1"/>
  <c r="L2165" i="1"/>
  <c r="L2166" i="1"/>
  <c r="L2167" i="1"/>
  <c r="L2168" i="1"/>
  <c r="L2169" i="1"/>
  <c r="L2170" i="1"/>
  <c r="L2171" i="1"/>
  <c r="L2172" i="1"/>
  <c r="L2173" i="1"/>
  <c r="L2174" i="1"/>
  <c r="L2175" i="1"/>
  <c r="L2176" i="1"/>
  <c r="L2177" i="1"/>
  <c r="L2178" i="1"/>
  <c r="L2179" i="1"/>
  <c r="L2180" i="1"/>
  <c r="L2181" i="1"/>
  <c r="L2182" i="1"/>
  <c r="L2183" i="1"/>
  <c r="L2184" i="1"/>
  <c r="L2185" i="1"/>
  <c r="L2186" i="1"/>
  <c r="L2187" i="1"/>
  <c r="L2188" i="1"/>
  <c r="L2189" i="1"/>
  <c r="L2190" i="1"/>
  <c r="L2191" i="1"/>
  <c r="L2192" i="1"/>
  <c r="L2193" i="1"/>
  <c r="L2194" i="1"/>
  <c r="L2195" i="1"/>
  <c r="L2196" i="1"/>
  <c r="L2197" i="1"/>
  <c r="L2198" i="1"/>
  <c r="L2199" i="1"/>
  <c r="L2200" i="1"/>
  <c r="L2201" i="1"/>
  <c r="L2202" i="1"/>
  <c r="L2203" i="1"/>
  <c r="L2204" i="1"/>
  <c r="L2205" i="1"/>
  <c r="L2206" i="1"/>
  <c r="L2207" i="1"/>
  <c r="L2208" i="1"/>
  <c r="L2209" i="1"/>
  <c r="L2210" i="1"/>
  <c r="L2211" i="1"/>
  <c r="L2212" i="1"/>
  <c r="L2213" i="1"/>
  <c r="L2214" i="1"/>
  <c r="L2215" i="1"/>
  <c r="L2216" i="1"/>
  <c r="L2217" i="1"/>
  <c r="L2218" i="1"/>
  <c r="L2219" i="1"/>
  <c r="L2220" i="1"/>
  <c r="L2221" i="1"/>
  <c r="L2222" i="1"/>
  <c r="L2223" i="1"/>
  <c r="L2224" i="1"/>
  <c r="L2225" i="1"/>
  <c r="L2226" i="1"/>
  <c r="L2227" i="1"/>
  <c r="L2228" i="1"/>
  <c r="L2229" i="1"/>
  <c r="L2230" i="1"/>
  <c r="L2231" i="1"/>
  <c r="L2232" i="1"/>
  <c r="L2233" i="1"/>
  <c r="L2234" i="1"/>
  <c r="L2235" i="1"/>
  <c r="L2236" i="1"/>
  <c r="L2237" i="1"/>
  <c r="L2238" i="1"/>
  <c r="L2239" i="1"/>
  <c r="L2240" i="1"/>
  <c r="L2241" i="1"/>
  <c r="L2242" i="1"/>
  <c r="L2243" i="1"/>
  <c r="L2244" i="1"/>
  <c r="L2245" i="1"/>
  <c r="L2246" i="1"/>
  <c r="L2247" i="1"/>
  <c r="L2248" i="1"/>
  <c r="L2249" i="1"/>
  <c r="L2250" i="1"/>
  <c r="L2251" i="1"/>
  <c r="L2252" i="1"/>
  <c r="L2253" i="1"/>
  <c r="L2254" i="1"/>
  <c r="L2255" i="1"/>
  <c r="L2256" i="1"/>
  <c r="L2257" i="1"/>
  <c r="L2258" i="1"/>
  <c r="L2259" i="1"/>
  <c r="L2260" i="1"/>
  <c r="L2261" i="1"/>
  <c r="L2262" i="1"/>
  <c r="L2263" i="1"/>
  <c r="L2264" i="1"/>
  <c r="L2265" i="1"/>
  <c r="L2266" i="1"/>
  <c r="L2267" i="1"/>
  <c r="L2268" i="1"/>
  <c r="L2269" i="1"/>
  <c r="L2270" i="1"/>
  <c r="L2271" i="1"/>
  <c r="L2272" i="1"/>
  <c r="L2273" i="1"/>
  <c r="L2274" i="1"/>
  <c r="L2275" i="1"/>
  <c r="L2276" i="1"/>
  <c r="L2277" i="1"/>
  <c r="L2278" i="1"/>
  <c r="L2279" i="1"/>
  <c r="L2280" i="1"/>
  <c r="L2281" i="1"/>
  <c r="L2282" i="1"/>
  <c r="L2283" i="1"/>
  <c r="L2284" i="1"/>
  <c r="L2285" i="1"/>
  <c r="L2286" i="1"/>
  <c r="L2287" i="1"/>
  <c r="L2288" i="1"/>
  <c r="L2289" i="1"/>
  <c r="L2290" i="1"/>
  <c r="L2291" i="1"/>
  <c r="L2292" i="1"/>
  <c r="L2293" i="1"/>
  <c r="L2294" i="1"/>
  <c r="L2295" i="1"/>
  <c r="L2296" i="1"/>
  <c r="L2297" i="1"/>
  <c r="L2298" i="1"/>
  <c r="L2299" i="1"/>
  <c r="L2300" i="1"/>
  <c r="L2301" i="1"/>
  <c r="L2302" i="1"/>
  <c r="L2303" i="1"/>
  <c r="L2304" i="1"/>
  <c r="L2305" i="1"/>
  <c r="L2306" i="1"/>
  <c r="L2307" i="1"/>
  <c r="L2308" i="1"/>
  <c r="L2309" i="1"/>
  <c r="L2310" i="1"/>
  <c r="L2311" i="1"/>
  <c r="L2312" i="1"/>
  <c r="L2313" i="1"/>
  <c r="L2314" i="1"/>
  <c r="L2315" i="1"/>
  <c r="L2316" i="1"/>
  <c r="L2317" i="1"/>
  <c r="L2318" i="1"/>
  <c r="L2319" i="1"/>
  <c r="L2320" i="1"/>
  <c r="L2321" i="1"/>
  <c r="L2322" i="1"/>
  <c r="L2323" i="1"/>
  <c r="L2324" i="1"/>
  <c r="L2325" i="1"/>
  <c r="L2326" i="1"/>
  <c r="L2327" i="1"/>
  <c r="L2328" i="1"/>
  <c r="L2329" i="1"/>
  <c r="L2330" i="1"/>
  <c r="L2331" i="1"/>
  <c r="L2332" i="1"/>
  <c r="L2333" i="1"/>
  <c r="L2334" i="1"/>
  <c r="L2335" i="1"/>
  <c r="L2336" i="1"/>
  <c r="L2337" i="1"/>
  <c r="L2338" i="1"/>
  <c r="L2339" i="1"/>
  <c r="L2340" i="1"/>
  <c r="L2341" i="1"/>
  <c r="L2342" i="1"/>
  <c r="L2343" i="1"/>
  <c r="L2344" i="1"/>
  <c r="L2345" i="1"/>
  <c r="L2346" i="1"/>
  <c r="L2347" i="1"/>
  <c r="L2348" i="1"/>
  <c r="L2349" i="1"/>
  <c r="L2350" i="1"/>
  <c r="L2351" i="1"/>
  <c r="L2352" i="1"/>
  <c r="L2353" i="1"/>
  <c r="L2354" i="1"/>
  <c r="L2355" i="1"/>
  <c r="L2356" i="1"/>
  <c r="L2357" i="1"/>
  <c r="L2358" i="1"/>
  <c r="L2359" i="1"/>
  <c r="L2360" i="1"/>
  <c r="L2361" i="1"/>
  <c r="L2362" i="1"/>
  <c r="L2363" i="1"/>
  <c r="L2364" i="1"/>
  <c r="L2365" i="1"/>
  <c r="L2366" i="1"/>
  <c r="L2367" i="1"/>
  <c r="L2368" i="1"/>
  <c r="L2369" i="1"/>
  <c r="L2370" i="1"/>
  <c r="L2371" i="1"/>
  <c r="L2372" i="1"/>
  <c r="L2373" i="1"/>
  <c r="L2374" i="1"/>
  <c r="L2375" i="1"/>
  <c r="L2376" i="1"/>
  <c r="L2377" i="1"/>
  <c r="L2378" i="1"/>
  <c r="L2379" i="1"/>
  <c r="L2380" i="1"/>
  <c r="L2381" i="1"/>
  <c r="L2382" i="1"/>
  <c r="L2383" i="1"/>
  <c r="L2384" i="1"/>
  <c r="L2385" i="1"/>
  <c r="L2386" i="1"/>
  <c r="L2387" i="1"/>
  <c r="L2388" i="1"/>
  <c r="L2389" i="1"/>
  <c r="L2390" i="1"/>
  <c r="L2391" i="1"/>
  <c r="L2392" i="1"/>
  <c r="L2393" i="1"/>
  <c r="L2394" i="1"/>
  <c r="L2395" i="1"/>
  <c r="L2396" i="1"/>
  <c r="L2397" i="1"/>
  <c r="L2398" i="1"/>
  <c r="L2399" i="1"/>
  <c r="L2400" i="1"/>
  <c r="L2401" i="1"/>
  <c r="L2402" i="1"/>
  <c r="L2403" i="1"/>
  <c r="L2404" i="1"/>
  <c r="L2405" i="1"/>
  <c r="L2406" i="1"/>
  <c r="L2407" i="1"/>
  <c r="L2408" i="1"/>
  <c r="L2409" i="1"/>
  <c r="L2410" i="1"/>
  <c r="L2411" i="1"/>
  <c r="L2412" i="1"/>
  <c r="L2413" i="1"/>
  <c r="L2414" i="1"/>
  <c r="L2415" i="1"/>
  <c r="L2416" i="1"/>
  <c r="L2417" i="1"/>
  <c r="L2418" i="1"/>
  <c r="L2419" i="1"/>
  <c r="L2420" i="1"/>
  <c r="L2421" i="1"/>
  <c r="L2422" i="1"/>
  <c r="L2423" i="1"/>
  <c r="L2424" i="1"/>
  <c r="L2425" i="1"/>
  <c r="L2426" i="1"/>
  <c r="L2427" i="1"/>
  <c r="L2428" i="1"/>
  <c r="L2429" i="1"/>
  <c r="L2430" i="1"/>
  <c r="L2431" i="1"/>
  <c r="L2432" i="1"/>
  <c r="L2433" i="1"/>
  <c r="L2434" i="1"/>
  <c r="L2435" i="1"/>
  <c r="L2436" i="1"/>
  <c r="L2437" i="1"/>
  <c r="L2438" i="1"/>
  <c r="L2439" i="1"/>
  <c r="L2440" i="1"/>
  <c r="L2441" i="1"/>
  <c r="L2442" i="1"/>
  <c r="L2443" i="1"/>
  <c r="L2444" i="1"/>
  <c r="L2445" i="1"/>
  <c r="L2446" i="1"/>
  <c r="L2447" i="1"/>
  <c r="L2448" i="1"/>
  <c r="L2449" i="1"/>
  <c r="L2450" i="1"/>
  <c r="L2451" i="1"/>
  <c r="L2452" i="1"/>
  <c r="L2453" i="1"/>
  <c r="L2454" i="1"/>
  <c r="L2455" i="1"/>
  <c r="L2456" i="1"/>
  <c r="L2457" i="1"/>
  <c r="L2458" i="1"/>
  <c r="L2459" i="1"/>
  <c r="L2460" i="1"/>
  <c r="L2461" i="1"/>
  <c r="L2462" i="1"/>
  <c r="L2463" i="1"/>
  <c r="L2464" i="1"/>
  <c r="L2465" i="1"/>
  <c r="L2466" i="1"/>
  <c r="L2467" i="1"/>
  <c r="L2468" i="1"/>
  <c r="L2469" i="1"/>
  <c r="L2470" i="1"/>
  <c r="L2471" i="1"/>
  <c r="L2472" i="1"/>
  <c r="L2473" i="1"/>
  <c r="L2474" i="1"/>
  <c r="L2475" i="1"/>
  <c r="L2476" i="1"/>
  <c r="L2477" i="1"/>
  <c r="L2478" i="1"/>
  <c r="L2479" i="1"/>
  <c r="L2480" i="1"/>
  <c r="L2481" i="1"/>
  <c r="L2482" i="1"/>
  <c r="L2483" i="1"/>
  <c r="L2484" i="1"/>
  <c r="L2485" i="1"/>
  <c r="L2486" i="1"/>
  <c r="L2487" i="1"/>
  <c r="L2488" i="1"/>
  <c r="L2489" i="1"/>
  <c r="L2490" i="1"/>
  <c r="L2491" i="1"/>
  <c r="L2492" i="1"/>
  <c r="L2493" i="1"/>
  <c r="L2494" i="1"/>
  <c r="L2495" i="1"/>
  <c r="L2496" i="1"/>
  <c r="L2497" i="1"/>
  <c r="L2498" i="1"/>
  <c r="L2499" i="1"/>
  <c r="L2500" i="1"/>
  <c r="L2501" i="1"/>
  <c r="L2502" i="1"/>
  <c r="L2503" i="1"/>
  <c r="L2504" i="1"/>
  <c r="L2505" i="1"/>
  <c r="L2506" i="1"/>
  <c r="L2507" i="1"/>
  <c r="L2508" i="1"/>
  <c r="L2509" i="1"/>
  <c r="L2510" i="1"/>
  <c r="L2511" i="1"/>
  <c r="L2512" i="1"/>
  <c r="L2513" i="1"/>
  <c r="L2514" i="1"/>
  <c r="L2515" i="1"/>
  <c r="L2516" i="1"/>
  <c r="L2517" i="1"/>
  <c r="L2518" i="1"/>
  <c r="L2519" i="1"/>
  <c r="L2520" i="1"/>
  <c r="L2521" i="1"/>
  <c r="L2522" i="1"/>
  <c r="L2523" i="1"/>
  <c r="L2524" i="1"/>
  <c r="L2525" i="1"/>
  <c r="L2526" i="1"/>
  <c r="L2527" i="1"/>
  <c r="L2528" i="1"/>
  <c r="L2529" i="1"/>
  <c r="L2530" i="1"/>
  <c r="L2531" i="1"/>
  <c r="L2532" i="1"/>
  <c r="L2533" i="1"/>
  <c r="L2534" i="1"/>
  <c r="L2535" i="1"/>
  <c r="L2536" i="1"/>
  <c r="L2537" i="1"/>
  <c r="L2538" i="1"/>
  <c r="L2539" i="1"/>
  <c r="L2540" i="1"/>
  <c r="L2541" i="1"/>
  <c r="L2542" i="1"/>
  <c r="L2543" i="1"/>
  <c r="L2544" i="1"/>
  <c r="L2545" i="1"/>
  <c r="L2546" i="1"/>
  <c r="L2547" i="1"/>
  <c r="L2548" i="1"/>
  <c r="L2549" i="1"/>
  <c r="L2550" i="1"/>
  <c r="L2551" i="1"/>
  <c r="L2552" i="1"/>
  <c r="L2553" i="1"/>
  <c r="L2554" i="1"/>
  <c r="L2555" i="1"/>
  <c r="L2556" i="1"/>
  <c r="L2557" i="1"/>
  <c r="L2558" i="1"/>
  <c r="L2559" i="1"/>
  <c r="L2560" i="1"/>
  <c r="L2561" i="1"/>
  <c r="L2562" i="1"/>
  <c r="L2563" i="1"/>
  <c r="L2564" i="1"/>
  <c r="L2565" i="1"/>
  <c r="L2566" i="1"/>
  <c r="L2567" i="1"/>
  <c r="L2568" i="1"/>
  <c r="L2569" i="1"/>
  <c r="L2570" i="1"/>
  <c r="L2571" i="1"/>
  <c r="L2572" i="1"/>
  <c r="L2573" i="1"/>
  <c r="L2574" i="1"/>
  <c r="L2575" i="1"/>
  <c r="L2576" i="1"/>
  <c r="L2577" i="1"/>
  <c r="L2578" i="1"/>
  <c r="L2579" i="1"/>
  <c r="L2580" i="1"/>
  <c r="L2581" i="1"/>
  <c r="L2582" i="1"/>
  <c r="L2583" i="1"/>
  <c r="L2584" i="1"/>
  <c r="L2585" i="1"/>
  <c r="L2586" i="1"/>
  <c r="L2587" i="1"/>
  <c r="L2588" i="1"/>
  <c r="L2589" i="1"/>
  <c r="L2590" i="1"/>
  <c r="L2591" i="1"/>
  <c r="L2592" i="1"/>
  <c r="L2593" i="1"/>
  <c r="L2594" i="1"/>
  <c r="L2595" i="1"/>
  <c r="L2596" i="1"/>
  <c r="L2597" i="1"/>
  <c r="L2598" i="1"/>
  <c r="L2599" i="1"/>
  <c r="L2600" i="1"/>
  <c r="L2601" i="1"/>
  <c r="L2602" i="1"/>
  <c r="L2603" i="1"/>
  <c r="L2604" i="1"/>
  <c r="L2605" i="1"/>
  <c r="L2606" i="1"/>
  <c r="L2607" i="1"/>
  <c r="L2608" i="1"/>
  <c r="L2609" i="1"/>
  <c r="L2610" i="1"/>
  <c r="L2611" i="1"/>
  <c r="L2612" i="1"/>
  <c r="L2613" i="1"/>
  <c r="L2614" i="1"/>
  <c r="L2615" i="1"/>
  <c r="L2616" i="1"/>
  <c r="L2617" i="1"/>
  <c r="L2618" i="1"/>
  <c r="L2619" i="1"/>
  <c r="L2620" i="1"/>
  <c r="L2621" i="1"/>
  <c r="L2622" i="1"/>
  <c r="L2623" i="1"/>
  <c r="L2624" i="1"/>
  <c r="L2625" i="1"/>
  <c r="L2626" i="1"/>
  <c r="L2627" i="1"/>
  <c r="L2628" i="1"/>
  <c r="L2629" i="1"/>
  <c r="L2630" i="1"/>
  <c r="L2631" i="1"/>
  <c r="L2632" i="1"/>
  <c r="L2633" i="1"/>
  <c r="L2634" i="1"/>
  <c r="L2635" i="1"/>
  <c r="L2636" i="1"/>
  <c r="L2637" i="1"/>
  <c r="L2638" i="1"/>
  <c r="L2639" i="1"/>
  <c r="L2640" i="1"/>
  <c r="L2641" i="1"/>
  <c r="L2642" i="1"/>
  <c r="L2643" i="1"/>
  <c r="L2644" i="1"/>
  <c r="L2645" i="1"/>
  <c r="L2646" i="1"/>
  <c r="L2647" i="1"/>
  <c r="L2648" i="1"/>
  <c r="L2649" i="1"/>
  <c r="L2650" i="1"/>
  <c r="L2651" i="1"/>
  <c r="L2652" i="1"/>
  <c r="L2653" i="1"/>
  <c r="L2654" i="1"/>
  <c r="L2655" i="1"/>
  <c r="L2656" i="1"/>
  <c r="L2657" i="1"/>
  <c r="L2658" i="1"/>
  <c r="L2659" i="1"/>
  <c r="L2660" i="1"/>
  <c r="L2661" i="1"/>
  <c r="L2662" i="1"/>
  <c r="L2663" i="1"/>
  <c r="L2664" i="1"/>
  <c r="L2665" i="1"/>
  <c r="L2666" i="1"/>
  <c r="L2667" i="1"/>
  <c r="L2668" i="1"/>
  <c r="L2669" i="1"/>
  <c r="L2670" i="1"/>
  <c r="L2671" i="1"/>
  <c r="L2672" i="1"/>
  <c r="L2673" i="1"/>
  <c r="L2674" i="1"/>
  <c r="L2675" i="1"/>
  <c r="L2676" i="1"/>
  <c r="L2677" i="1"/>
  <c r="L2678" i="1"/>
  <c r="L2679" i="1"/>
  <c r="L2680" i="1"/>
  <c r="L2681" i="1"/>
  <c r="L2682" i="1"/>
  <c r="L2683" i="1"/>
  <c r="L2684" i="1"/>
  <c r="L2685" i="1"/>
  <c r="L2686" i="1"/>
  <c r="L2687" i="1"/>
  <c r="L2688" i="1"/>
  <c r="L2689" i="1"/>
  <c r="L2690" i="1"/>
  <c r="L2691" i="1"/>
  <c r="L2692" i="1"/>
  <c r="L2693" i="1"/>
  <c r="L2694" i="1"/>
  <c r="L2695" i="1"/>
  <c r="L2696" i="1"/>
  <c r="L2697" i="1"/>
  <c r="L2698" i="1"/>
  <c r="L2699" i="1"/>
  <c r="L2700" i="1"/>
  <c r="L2701" i="1"/>
  <c r="L2702" i="1"/>
  <c r="L2703" i="1"/>
  <c r="L2704" i="1"/>
  <c r="L2705" i="1"/>
  <c r="L2706" i="1"/>
  <c r="L2707" i="1"/>
  <c r="L2708" i="1"/>
  <c r="L2709" i="1"/>
  <c r="L2710" i="1"/>
  <c r="L2711" i="1"/>
  <c r="L2712" i="1"/>
  <c r="L2713" i="1"/>
  <c r="L2714" i="1"/>
  <c r="L2715" i="1"/>
  <c r="L2716" i="1"/>
  <c r="L2717" i="1"/>
  <c r="L2718" i="1"/>
  <c r="L2719" i="1"/>
  <c r="L2720" i="1"/>
  <c r="L2721" i="1"/>
  <c r="L2722" i="1"/>
  <c r="L2723" i="1"/>
  <c r="L2724" i="1"/>
  <c r="L2725" i="1"/>
  <c r="L2726" i="1"/>
  <c r="L2727" i="1"/>
  <c r="L2728" i="1"/>
  <c r="L2729" i="1"/>
  <c r="L2730" i="1"/>
  <c r="L2731" i="1"/>
  <c r="L2732" i="1"/>
  <c r="L2733" i="1"/>
  <c r="L2734" i="1"/>
  <c r="L2735" i="1"/>
  <c r="L2736" i="1"/>
  <c r="L2737" i="1"/>
  <c r="L2738" i="1"/>
  <c r="L2739" i="1"/>
  <c r="L2740" i="1"/>
  <c r="L2741" i="1"/>
  <c r="L2742" i="1"/>
  <c r="L2743" i="1"/>
  <c r="L2744" i="1"/>
  <c r="L2745" i="1"/>
  <c r="L2746" i="1"/>
  <c r="L2747" i="1"/>
  <c r="L2748" i="1"/>
  <c r="L2749" i="1"/>
  <c r="L2750" i="1"/>
  <c r="L2751" i="1"/>
  <c r="L2752" i="1"/>
  <c r="L2753" i="1"/>
  <c r="L2754" i="1"/>
  <c r="L2755" i="1"/>
  <c r="L2756" i="1"/>
  <c r="L2757" i="1"/>
  <c r="L2758" i="1"/>
  <c r="L2759" i="1"/>
  <c r="L2760" i="1"/>
  <c r="L2761" i="1"/>
  <c r="L2762" i="1"/>
  <c r="L2763" i="1"/>
  <c r="L2764" i="1"/>
  <c r="L2765" i="1"/>
  <c r="L2766" i="1"/>
  <c r="L2767" i="1"/>
  <c r="L2768" i="1"/>
  <c r="L2769" i="1"/>
  <c r="L2770" i="1"/>
  <c r="L2771" i="1"/>
  <c r="L2772" i="1"/>
  <c r="L2773" i="1"/>
  <c r="L2774" i="1"/>
  <c r="L2775" i="1"/>
  <c r="L2776" i="1"/>
  <c r="L2777" i="1"/>
  <c r="L2778" i="1"/>
  <c r="L2779" i="1"/>
  <c r="L2780" i="1"/>
  <c r="L2781" i="1"/>
  <c r="L2782" i="1"/>
  <c r="L2783" i="1"/>
  <c r="L2784"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1A085D6-5566-4DAB-ACD7-8260E9463854}" keepAlive="1" name="Query - dim_teams" description="Connection to the 'dim_teams' query in the workbook." type="5" refreshedVersion="8" background="1" saveData="1">
    <dbPr connection="Provider=Microsoft.Mashup.OleDb.1;Data Source=$Workbook$;Location=dim_teams;Extended Properties=&quot;&quot;" command="SELECT * FROM [dim_teams]"/>
  </connection>
</connections>
</file>

<file path=xl/sharedStrings.xml><?xml version="1.0" encoding="utf-8"?>
<sst xmlns="http://schemas.openxmlformats.org/spreadsheetml/2006/main" count="5605" uniqueCount="739">
  <si>
    <t>batter</t>
  </si>
  <si>
    <t>season_year</t>
  </si>
  <si>
    <t>batting_team</t>
  </si>
  <si>
    <t>total_runs</t>
  </si>
  <si>
    <t>balls_faced</t>
  </si>
  <si>
    <t>fours</t>
  </si>
  <si>
    <t>sixes</t>
  </si>
  <si>
    <t>wickets</t>
  </si>
  <si>
    <t>matches</t>
  </si>
  <si>
    <t>strike_rate</t>
  </si>
  <si>
    <t>average</t>
  </si>
  <si>
    <t>A Ashish Reddy</t>
  </si>
  <si>
    <t>Deccan Chargers</t>
  </si>
  <si>
    <t>Sunrisers Hyderabad</t>
  </si>
  <si>
    <t>A Badoni</t>
  </si>
  <si>
    <t>Lucknow Super Giants</t>
  </si>
  <si>
    <t>A Chandila</t>
  </si>
  <si>
    <t>Rajasthan Royals</t>
  </si>
  <si>
    <t>A Chopra</t>
  </si>
  <si>
    <t>Kolkata Knight Riders</t>
  </si>
  <si>
    <t>A Choudhary</t>
  </si>
  <si>
    <t>Royal Challengers Bangalore</t>
  </si>
  <si>
    <t>A Dananjaya</t>
  </si>
  <si>
    <t>Mumbai Indians</t>
  </si>
  <si>
    <t>A Flintoff</t>
  </si>
  <si>
    <t>Chennai Super Kings</t>
  </si>
  <si>
    <t>A Kamboj</t>
  </si>
  <si>
    <t>A Kumble</t>
  </si>
  <si>
    <t>A Manohar</t>
  </si>
  <si>
    <t>Gujarat Titans</t>
  </si>
  <si>
    <t>A Mhatre</t>
  </si>
  <si>
    <t>A Mishra</t>
  </si>
  <si>
    <t>Delhi Daredevils</t>
  </si>
  <si>
    <t>Delhi Capitals</t>
  </si>
  <si>
    <t>A Mithun</t>
  </si>
  <si>
    <t>A Mukund</t>
  </si>
  <si>
    <t>A Nehra</t>
  </si>
  <si>
    <t>Pune Warriors</t>
  </si>
  <si>
    <t>A Nortje</t>
  </si>
  <si>
    <t>A Raghuvanshi</t>
  </si>
  <si>
    <t>A Singh</t>
  </si>
  <si>
    <t>A Symonds</t>
  </si>
  <si>
    <t>A Tomar</t>
  </si>
  <si>
    <t>A Uniyal</t>
  </si>
  <si>
    <t>A Zampa</t>
  </si>
  <si>
    <t>Rising Pune Supergiants</t>
  </si>
  <si>
    <t>Rising Pune Supergiant</t>
  </si>
  <si>
    <t>AA Bilakhia</t>
  </si>
  <si>
    <t>AA Chavan</t>
  </si>
  <si>
    <t>AA Jhunjhunwala</t>
  </si>
  <si>
    <t>AA Kulkarni</t>
  </si>
  <si>
    <t>AA Noffke</t>
  </si>
  <si>
    <t>AB Agarkar</t>
  </si>
  <si>
    <t>AB Barath</t>
  </si>
  <si>
    <t>Kings XI Punjab</t>
  </si>
  <si>
    <t>AB Dinda</t>
  </si>
  <si>
    <t>AB McDonald</t>
  </si>
  <si>
    <t>AB de Villiers</t>
  </si>
  <si>
    <t>AC Blizzard</t>
  </si>
  <si>
    <t>AC Gilchrist</t>
  </si>
  <si>
    <t>AC Thomas</t>
  </si>
  <si>
    <t>AC Voges</t>
  </si>
  <si>
    <t>AD Hales</t>
  </si>
  <si>
    <t>AD Mascarenhas</t>
  </si>
  <si>
    <t>AD Mathews</t>
  </si>
  <si>
    <t>AD Nath</t>
  </si>
  <si>
    <t>Gujarat Lions</t>
  </si>
  <si>
    <t>AD Russell</t>
  </si>
  <si>
    <t>AF Milne</t>
  </si>
  <si>
    <t>AG Murtaza</t>
  </si>
  <si>
    <t>AG Paunikar</t>
  </si>
  <si>
    <t>AJ Finch</t>
  </si>
  <si>
    <t>AJ Hosein</t>
  </si>
  <si>
    <t>AJ Turner</t>
  </si>
  <si>
    <t>AJ Tye</t>
  </si>
  <si>
    <t>AK Markram</t>
  </si>
  <si>
    <t>Punjab Kings</t>
  </si>
  <si>
    <t>AL Menaria</t>
  </si>
  <si>
    <t>AM Nayar</t>
  </si>
  <si>
    <t>AM Rahane</t>
  </si>
  <si>
    <t>AN Ahmed</t>
  </si>
  <si>
    <t>AN Ghosh</t>
  </si>
  <si>
    <t>AP Dole</t>
  </si>
  <si>
    <t>AP Majumdar</t>
  </si>
  <si>
    <t>AP Tare</t>
  </si>
  <si>
    <t>AR Bawne</t>
  </si>
  <si>
    <t>AR Patel</t>
  </si>
  <si>
    <t>AS Joseph</t>
  </si>
  <si>
    <t>AS Rajpoot</t>
  </si>
  <si>
    <t>AS Raut</t>
  </si>
  <si>
    <t>AS Roy</t>
  </si>
  <si>
    <t>AS Yadav</t>
  </si>
  <si>
    <t>AT Carey</t>
  </si>
  <si>
    <t>AT Rayudu</t>
  </si>
  <si>
    <t>AU Rashid</t>
  </si>
  <si>
    <t>AUK Pathan</t>
  </si>
  <si>
    <t>Abdul Basith</t>
  </si>
  <si>
    <t>Abdul Samad</t>
  </si>
  <si>
    <t>Abdur Razzak</t>
  </si>
  <si>
    <t>Abhishek Sharma</t>
  </si>
  <si>
    <t>Abishek Porel</t>
  </si>
  <si>
    <t>Akash Deep</t>
  </si>
  <si>
    <t>Royal Challengers Bengaluru</t>
  </si>
  <si>
    <t>Akash Madhwal</t>
  </si>
  <si>
    <t>Aman Hakim Khan</t>
  </si>
  <si>
    <t>Aniket Verma</t>
  </si>
  <si>
    <t>Anirudh Singh</t>
  </si>
  <si>
    <t>Ankit Sharma</t>
  </si>
  <si>
    <t>Ankit Soni</t>
  </si>
  <si>
    <t>Anmolpreet Singh</t>
  </si>
  <si>
    <t>Anuj Rawat</t>
  </si>
  <si>
    <t>Anureet Singh</t>
  </si>
  <si>
    <t>Arjun Tendulkar</t>
  </si>
  <si>
    <t>Arshad Khan</t>
  </si>
  <si>
    <t>Arshad Khan (2)</t>
  </si>
  <si>
    <t>Arshdeep Singh</t>
  </si>
  <si>
    <t>Ashutosh Sharma</t>
  </si>
  <si>
    <t>Atharva Taide</t>
  </si>
  <si>
    <t>Avesh Khan</t>
  </si>
  <si>
    <t>Azhar Mahmood</t>
  </si>
  <si>
    <t>Azmatullah Omarzai</t>
  </si>
  <si>
    <t>B Akhil</t>
  </si>
  <si>
    <t>Kochi Tuskers Kerala</t>
  </si>
  <si>
    <t>B Chipli</t>
  </si>
  <si>
    <t>B Indrajith</t>
  </si>
  <si>
    <t>B Kumar</t>
  </si>
  <si>
    <t>B Laughlin</t>
  </si>
  <si>
    <t>B Lee</t>
  </si>
  <si>
    <t>B Sai Sudharsan</t>
  </si>
  <si>
    <t>B Stanlake</t>
  </si>
  <si>
    <t>B Sumanth</t>
  </si>
  <si>
    <t>BA Bhatt</t>
  </si>
  <si>
    <t>BA Stokes</t>
  </si>
  <si>
    <t>BAW Mendis</t>
  </si>
  <si>
    <t>BB McCullum</t>
  </si>
  <si>
    <t>BB Samantray</t>
  </si>
  <si>
    <t>BB Sran</t>
  </si>
  <si>
    <t>BCJ Cutting</t>
  </si>
  <si>
    <t>BE Hendricks</t>
  </si>
  <si>
    <t>BJ Haddin</t>
  </si>
  <si>
    <t>BJ Hodge</t>
  </si>
  <si>
    <t>BJ Rohrer</t>
  </si>
  <si>
    <t>BKG Mendis</t>
  </si>
  <si>
    <t>BMAJ Mendis</t>
  </si>
  <si>
    <t>BR Dunk</t>
  </si>
  <si>
    <t>BR Sharath</t>
  </si>
  <si>
    <t>Basil Thampi</t>
  </si>
  <si>
    <t>Bipul Sharma</t>
  </si>
  <si>
    <t>C Bosch</t>
  </si>
  <si>
    <t>C Green</t>
  </si>
  <si>
    <t>C Madan</t>
  </si>
  <si>
    <t>C Munro</t>
  </si>
  <si>
    <t>C Nanda</t>
  </si>
  <si>
    <t>C Sakariya</t>
  </si>
  <si>
    <t>C de Grandhomme</t>
  </si>
  <si>
    <t>CA Ingram</t>
  </si>
  <si>
    <t>CA Lynn</t>
  </si>
  <si>
    <t>CA Pujara</t>
  </si>
  <si>
    <t>CH Gayle</t>
  </si>
  <si>
    <t>CH Morris</t>
  </si>
  <si>
    <t>CJ Anderson</t>
  </si>
  <si>
    <t>CJ Ferguson</t>
  </si>
  <si>
    <t>CJ Jordan</t>
  </si>
  <si>
    <t>CJ McKay</t>
  </si>
  <si>
    <t>CK Kapugedera</t>
  </si>
  <si>
    <t>CK Langeveldt</t>
  </si>
  <si>
    <t>CL White</t>
  </si>
  <si>
    <t>CM Gautam</t>
  </si>
  <si>
    <t>CR Brathwaite</t>
  </si>
  <si>
    <t>CR Woakes</t>
  </si>
  <si>
    <t>CRD Fernando</t>
  </si>
  <si>
    <t>CV Varun</t>
  </si>
  <si>
    <t>D Brevis</t>
  </si>
  <si>
    <t>D Ferreira</t>
  </si>
  <si>
    <t>D Kalyankrishna</t>
  </si>
  <si>
    <t>D Padikkal</t>
  </si>
  <si>
    <t>D Pretorius</t>
  </si>
  <si>
    <t>D Salunkhe</t>
  </si>
  <si>
    <t>D Wiese</t>
  </si>
  <si>
    <t>D du Preez</t>
  </si>
  <si>
    <t>DA Miller</t>
  </si>
  <si>
    <t>DA Warner</t>
  </si>
  <si>
    <t>DAJ Bracewell</t>
  </si>
  <si>
    <t>DB Das</t>
  </si>
  <si>
    <t>DB Ravi Teja</t>
  </si>
  <si>
    <t>DE Bollinger</t>
  </si>
  <si>
    <t>DG Nalkande</t>
  </si>
  <si>
    <t>DH Yagnik</t>
  </si>
  <si>
    <t>DJ Bravo</t>
  </si>
  <si>
    <t>DJ Harris</t>
  </si>
  <si>
    <t>DJ Hooda</t>
  </si>
  <si>
    <t>DJ Hussey</t>
  </si>
  <si>
    <t>DJ Jacobs</t>
  </si>
  <si>
    <t>DJ Malan</t>
  </si>
  <si>
    <t>DJ Mitchell</t>
  </si>
  <si>
    <t>DJ Muthuswami</t>
  </si>
  <si>
    <t>DJ Thornely</t>
  </si>
  <si>
    <t>DJ Willey</t>
  </si>
  <si>
    <t>DJG Sammy</t>
  </si>
  <si>
    <t>DJM Short</t>
  </si>
  <si>
    <t>DL Chahar</t>
  </si>
  <si>
    <t>DL Vettori</t>
  </si>
  <si>
    <t>DM Bravo</t>
  </si>
  <si>
    <t>DNT Zoysa</t>
  </si>
  <si>
    <t>DP Conway</t>
  </si>
  <si>
    <t>DP Nannes</t>
  </si>
  <si>
    <t>DP Vijaykumar</t>
  </si>
  <si>
    <t>DPMD Jayawardene</t>
  </si>
  <si>
    <t>DR Martyn</t>
  </si>
  <si>
    <t>DR Sams</t>
  </si>
  <si>
    <t>DR Shorey</t>
  </si>
  <si>
    <t>DR Smith</t>
  </si>
  <si>
    <t>DS Kulkarni</t>
  </si>
  <si>
    <t>DS Lehmann</t>
  </si>
  <si>
    <t>DS Rathi</t>
  </si>
  <si>
    <t>DT Christian</t>
  </si>
  <si>
    <t>DT Patil</t>
  </si>
  <si>
    <t>DW Steyn</t>
  </si>
  <si>
    <t>Dhruv Jurel</t>
  </si>
  <si>
    <t>E Lewis</t>
  </si>
  <si>
    <t>EJG Morgan</t>
  </si>
  <si>
    <t>ER Dwivedi</t>
  </si>
  <si>
    <t>F Behardien</t>
  </si>
  <si>
    <t>F du Plessis</t>
  </si>
  <si>
    <t>FA Allen</t>
  </si>
  <si>
    <t>FH Edwards</t>
  </si>
  <si>
    <t>FY Fazal</t>
  </si>
  <si>
    <t>Fazalhaq Farooqi</t>
  </si>
  <si>
    <t>G Coetzee</t>
  </si>
  <si>
    <t>G Gambhir</t>
  </si>
  <si>
    <t>GB Hogg</t>
  </si>
  <si>
    <t>GC Smith</t>
  </si>
  <si>
    <t>GC Viljoen</t>
  </si>
  <si>
    <t>GD McGrath</t>
  </si>
  <si>
    <t>GD Phillips</t>
  </si>
  <si>
    <t>GH Vihari</t>
  </si>
  <si>
    <t>GHS Garton</t>
  </si>
  <si>
    <t>GJ Bailey</t>
  </si>
  <si>
    <t>GJ Maxwell</t>
  </si>
  <si>
    <t>GR Napier</t>
  </si>
  <si>
    <t>Gulbadin Naib</t>
  </si>
  <si>
    <t>Gurkeerat Singh</t>
  </si>
  <si>
    <t>H Das</t>
  </si>
  <si>
    <t>H Klaasen</t>
  </si>
  <si>
    <t>HC Brook</t>
  </si>
  <si>
    <t>HE van der Dussen</t>
  </si>
  <si>
    <t>HF Gurney</t>
  </si>
  <si>
    <t>HH Gibbs</t>
  </si>
  <si>
    <t>HH Pandya</t>
  </si>
  <si>
    <t>HM Amla</t>
  </si>
  <si>
    <t>HR Shokeen</t>
  </si>
  <si>
    <t>HV Patel</t>
  </si>
  <si>
    <t>Harbhajan Singh</t>
  </si>
  <si>
    <t>Harmeet Singh</t>
  </si>
  <si>
    <t>Harpreet Brar</t>
  </si>
  <si>
    <t>Harpreet Singh</t>
  </si>
  <si>
    <t>Harshit Rana</t>
  </si>
  <si>
    <t>I Malhotra</t>
  </si>
  <si>
    <t>I Sharma</t>
  </si>
  <si>
    <t>I Udana</t>
  </si>
  <si>
    <t>IC Pandey</t>
  </si>
  <si>
    <t>IK Pathan</t>
  </si>
  <si>
    <t>IR Jaggi</t>
  </si>
  <si>
    <t>IS Sodhi</t>
  </si>
  <si>
    <t>Imran Tahir</t>
  </si>
  <si>
    <t>Iqbal Abdulla</t>
  </si>
  <si>
    <t>Ishan Kishan</t>
  </si>
  <si>
    <t>J Arunkumar</t>
  </si>
  <si>
    <t>J Botha</t>
  </si>
  <si>
    <t>J Fraser-McGurk</t>
  </si>
  <si>
    <t>J Overton</t>
  </si>
  <si>
    <t>J Suchith</t>
  </si>
  <si>
    <t>J Syed Mohammad</t>
  </si>
  <si>
    <t>J Theron</t>
  </si>
  <si>
    <t>J Yadav</t>
  </si>
  <si>
    <t>JA Morkel</t>
  </si>
  <si>
    <t>JA Richardson</t>
  </si>
  <si>
    <t>JC Archer</t>
  </si>
  <si>
    <t>JC Buttler</t>
  </si>
  <si>
    <t>JD Ryder</t>
  </si>
  <si>
    <t>JD Unadkat</t>
  </si>
  <si>
    <t>JDP Oram</t>
  </si>
  <si>
    <t>JDS Neesham</t>
  </si>
  <si>
    <t>JE Root</t>
  </si>
  <si>
    <t>JE Taylor</t>
  </si>
  <si>
    <t>JEC Franklin</t>
  </si>
  <si>
    <t>JG Bethell</t>
  </si>
  <si>
    <t>JH Kallis</t>
  </si>
  <si>
    <t>JJ Bumrah</t>
  </si>
  <si>
    <t>JJ Roy</t>
  </si>
  <si>
    <t>JJ van der Wath</t>
  </si>
  <si>
    <t>JL Denly</t>
  </si>
  <si>
    <t>JL Pattinson</t>
  </si>
  <si>
    <t>JM Bairstow</t>
  </si>
  <si>
    <t>JM Kemp</t>
  </si>
  <si>
    <t>JM Sharma</t>
  </si>
  <si>
    <t>JO Holder</t>
  </si>
  <si>
    <t>JP Behrendorff</t>
  </si>
  <si>
    <t>JP Duminy</t>
  </si>
  <si>
    <t>JP Faulkner</t>
  </si>
  <si>
    <t>JP Inglis</t>
  </si>
  <si>
    <t>JPR Scantlebury-Searles</t>
  </si>
  <si>
    <t>JR Hazlewood</t>
  </si>
  <si>
    <t>JR Hopes</t>
  </si>
  <si>
    <t>JR Philippe</t>
  </si>
  <si>
    <t>Jaskaran Singh</t>
  </si>
  <si>
    <t>Joginder Sharma</t>
  </si>
  <si>
    <t>K Goel</t>
  </si>
  <si>
    <t>K Gowtham</t>
  </si>
  <si>
    <t>K Kartikeya</t>
  </si>
  <si>
    <t>K Rabada</t>
  </si>
  <si>
    <t>K Upadhyay</t>
  </si>
  <si>
    <t>K Yadav</t>
  </si>
  <si>
    <t>KA Jamieson</t>
  </si>
  <si>
    <t>KA Maharaj</t>
  </si>
  <si>
    <t>KA Pollard</t>
  </si>
  <si>
    <t>KAJ Roach</t>
  </si>
  <si>
    <t>KB Arun Karthik</t>
  </si>
  <si>
    <t>KC Cariappa</t>
  </si>
  <si>
    <t>KC Sangakkara</t>
  </si>
  <si>
    <t>KD Karthik</t>
  </si>
  <si>
    <t>KH Pandya</t>
  </si>
  <si>
    <t>KJ Abbott</t>
  </si>
  <si>
    <t>KK Ahmed</t>
  </si>
  <si>
    <t>KK Cooper</t>
  </si>
  <si>
    <t>KK Nair</t>
  </si>
  <si>
    <t>KL Nagarkoti</t>
  </si>
  <si>
    <t>KL Rahul</t>
  </si>
  <si>
    <t>KM Asif</t>
  </si>
  <si>
    <t>KM Jadhav</t>
  </si>
  <si>
    <t>KMA Paul</t>
  </si>
  <si>
    <t>KMDN Kulasekara</t>
  </si>
  <si>
    <t>KP Appanna</t>
  </si>
  <si>
    <t>KP Pietersen</t>
  </si>
  <si>
    <t>KR Mayers</t>
  </si>
  <si>
    <t>KR Sen</t>
  </si>
  <si>
    <t>KS Bharat</t>
  </si>
  <si>
    <t>KS Rathore</t>
  </si>
  <si>
    <t>KS Sharma</t>
  </si>
  <si>
    <t>KS Williamson</t>
  </si>
  <si>
    <t>KT Maphaka</t>
  </si>
  <si>
    <t>KV Sharma</t>
  </si>
  <si>
    <t>KW Richardson</t>
  </si>
  <si>
    <t>Kamran Akmal</t>
  </si>
  <si>
    <t>Kamran Khan</t>
  </si>
  <si>
    <t>Karanveer Singh</t>
  </si>
  <si>
    <t>Kartik Tyagi</t>
  </si>
  <si>
    <t>Kuldeep Yadav</t>
  </si>
  <si>
    <t>Kumar Kushagra</t>
  </si>
  <si>
    <t>L Ablish</t>
  </si>
  <si>
    <t>L Balaji</t>
  </si>
  <si>
    <t>L Ngidi</t>
  </si>
  <si>
    <t>L Ronchi</t>
  </si>
  <si>
    <t>L Wood</t>
  </si>
  <si>
    <t>LA Carseldine</t>
  </si>
  <si>
    <t>LA Pomersbach</t>
  </si>
  <si>
    <t>LB Williams</t>
  </si>
  <si>
    <t>LE Plunkett</t>
  </si>
  <si>
    <t>LH Ferguson</t>
  </si>
  <si>
    <t>LJ Wright</t>
  </si>
  <si>
    <t>LMP Simmons</t>
  </si>
  <si>
    <t>LPC Silva</t>
  </si>
  <si>
    <t>LR Shukla</t>
  </si>
  <si>
    <t>LRPL Taylor</t>
  </si>
  <si>
    <t>LS Livingstone</t>
  </si>
  <si>
    <t>Lalit Yadav</t>
  </si>
  <si>
    <t>Liton Das</t>
  </si>
  <si>
    <t>M Ashwin</t>
  </si>
  <si>
    <t>M Jansen</t>
  </si>
  <si>
    <t>M Kaif</t>
  </si>
  <si>
    <t>M Kartik</t>
  </si>
  <si>
    <t>M Klinger</t>
  </si>
  <si>
    <t>M Manhas</t>
  </si>
  <si>
    <t>M Markande</t>
  </si>
  <si>
    <t>M Morkel</t>
  </si>
  <si>
    <t>M Muralitharan</t>
  </si>
  <si>
    <t>M Ntini</t>
  </si>
  <si>
    <t>M Prasidh Krishna</t>
  </si>
  <si>
    <t>M Rawat</t>
  </si>
  <si>
    <t>M Shahrukh Khan</t>
  </si>
  <si>
    <t>M Theekshana</t>
  </si>
  <si>
    <t>M Tiwari</t>
  </si>
  <si>
    <t>M Vijay</t>
  </si>
  <si>
    <t>M Vohra</t>
  </si>
  <si>
    <t>M de Lange</t>
  </si>
  <si>
    <t>MA Agarwal</t>
  </si>
  <si>
    <t>MA Khote</t>
  </si>
  <si>
    <t>MA Starc</t>
  </si>
  <si>
    <t>MA Wood</t>
  </si>
  <si>
    <t>MC Henriques</t>
  </si>
  <si>
    <t>MC Juneja</t>
  </si>
  <si>
    <t>MD Mishra</t>
  </si>
  <si>
    <t>MD Shanaka</t>
  </si>
  <si>
    <t>MDKJ Perera</t>
  </si>
  <si>
    <t>MEK Hussey</t>
  </si>
  <si>
    <t>MF Maharoof</t>
  </si>
  <si>
    <t>MG Bracewell</t>
  </si>
  <si>
    <t>MG Johnson</t>
  </si>
  <si>
    <t>MJ Clarke</t>
  </si>
  <si>
    <t>MJ Guptill</t>
  </si>
  <si>
    <t>MJ Lumb</t>
  </si>
  <si>
    <t>MJ McClenaghan</t>
  </si>
  <si>
    <t>MJ Owen</t>
  </si>
  <si>
    <t>MJ Santner</t>
  </si>
  <si>
    <t>MJ Suthar</t>
  </si>
  <si>
    <t>MK Lomror</t>
  </si>
  <si>
    <t>MK Pandey</t>
  </si>
  <si>
    <t>MK Tiwary</t>
  </si>
  <si>
    <t>ML Hayden</t>
  </si>
  <si>
    <t>MM Ali</t>
  </si>
  <si>
    <t>MM Patel</t>
  </si>
  <si>
    <t>MM Sharma</t>
  </si>
  <si>
    <t>MN Samuels</t>
  </si>
  <si>
    <t>MN van Wyk</t>
  </si>
  <si>
    <t>MP Breetzke</t>
  </si>
  <si>
    <t>MP Stoinis</t>
  </si>
  <si>
    <t>MR Marsh</t>
  </si>
  <si>
    <t>MS Bhandage</t>
  </si>
  <si>
    <t>MS Bisla</t>
  </si>
  <si>
    <t>MS Dhoni</t>
  </si>
  <si>
    <t>MS Gony</t>
  </si>
  <si>
    <t>MS Wade</t>
  </si>
  <si>
    <t>MV Boucher</t>
  </si>
  <si>
    <t>MW Short</t>
  </si>
  <si>
    <t>Mandeep Singh</t>
  </si>
  <si>
    <t>Mashrafe Mortaza</t>
  </si>
  <si>
    <t>Mayank Dagar</t>
  </si>
  <si>
    <t>Misbah-ul-Haq</t>
  </si>
  <si>
    <t>Mohammad Ashraful</t>
  </si>
  <si>
    <t>Mohammad Asif</t>
  </si>
  <si>
    <t>Mohammad Hafeez</t>
  </si>
  <si>
    <t>Mohammad Nabi</t>
  </si>
  <si>
    <t>Mohammed Shami</t>
  </si>
  <si>
    <t>Mohammed Siraj</t>
  </si>
  <si>
    <t>Mohit Rathee</t>
  </si>
  <si>
    <t>Mohsin Khan</t>
  </si>
  <si>
    <t>Mujeeb Ur Rahman</t>
  </si>
  <si>
    <t>Mukesh Choudhary</t>
  </si>
  <si>
    <t>Mukesh Kumar</t>
  </si>
  <si>
    <t>Musheer Khan</t>
  </si>
  <si>
    <t>Mustafizur Rahman</t>
  </si>
  <si>
    <t>N Jagadeesan</t>
  </si>
  <si>
    <t>N Pooran</t>
  </si>
  <si>
    <t>N Rana</t>
  </si>
  <si>
    <t>N Saini</t>
  </si>
  <si>
    <t>N Wadhera</t>
  </si>
  <si>
    <t>ND Doshi</t>
  </si>
  <si>
    <t>NJ Maddinson</t>
  </si>
  <si>
    <t>NJ Rimmington</t>
  </si>
  <si>
    <t>NK Patel</t>
  </si>
  <si>
    <t>NL McCullum</t>
  </si>
  <si>
    <t>NLTC Perera</t>
  </si>
  <si>
    <t>NM Coulter-Nile</t>
  </si>
  <si>
    <t>NS Naik</t>
  </si>
  <si>
    <t>NT Ellis</t>
  </si>
  <si>
    <t>NV Ojha</t>
  </si>
  <si>
    <t>Naman Dhir</t>
  </si>
  <si>
    <t>Navdeep Saini</t>
  </si>
  <si>
    <t>Naveen-ul-Haq</t>
  </si>
  <si>
    <t>Nithish Kumar Reddy</t>
  </si>
  <si>
    <t>Noor Ahmad</t>
  </si>
  <si>
    <t>OA Shah</t>
  </si>
  <si>
    <t>OC McCoy</t>
  </si>
  <si>
    <t>OF Smith</t>
  </si>
  <si>
    <t>P Awana</t>
  </si>
  <si>
    <t>P Chopra</t>
  </si>
  <si>
    <t>P Dogra</t>
  </si>
  <si>
    <t>P Dubey</t>
  </si>
  <si>
    <t>P Kumar</t>
  </si>
  <si>
    <t>P Negi</t>
  </si>
  <si>
    <t>P Parameswaran</t>
  </si>
  <si>
    <t>P Ray Barman</t>
  </si>
  <si>
    <t>P Sahu</t>
  </si>
  <si>
    <t>P Simran Singh</t>
  </si>
  <si>
    <t>PA Patel</t>
  </si>
  <si>
    <t>PA Reddy</t>
  </si>
  <si>
    <t>PBB Rajapaksa</t>
  </si>
  <si>
    <t>PC Valthaty</t>
  </si>
  <si>
    <t>PD Collingwood</t>
  </si>
  <si>
    <t>PD Salt</t>
  </si>
  <si>
    <t>PHKD Mendis</t>
  </si>
  <si>
    <t>PJ Cummins</t>
  </si>
  <si>
    <t>PJ Sangwan</t>
  </si>
  <si>
    <t>PK Garg</t>
  </si>
  <si>
    <t>PM Sarvesh Kumar</t>
  </si>
  <si>
    <t>PN Mankad</t>
  </si>
  <si>
    <t>PP Chawla</t>
  </si>
  <si>
    <t>PP Ojha</t>
  </si>
  <si>
    <t>PP Shaw</t>
  </si>
  <si>
    <t>PR Shah</t>
  </si>
  <si>
    <t>PSP Handscomb</t>
  </si>
  <si>
    <t>PV Tambe</t>
  </si>
  <si>
    <t>PVD Chameera</t>
  </si>
  <si>
    <t>PVSN Raju</t>
  </si>
  <si>
    <t>PWA Mulder</t>
  </si>
  <si>
    <t>PWH de Silva</t>
  </si>
  <si>
    <t>Pankaj Singh</t>
  </si>
  <si>
    <t>Parvez Rasool</t>
  </si>
  <si>
    <t>Prince Yadav</t>
  </si>
  <si>
    <t>Priyansh Arya</t>
  </si>
  <si>
    <t>Q de Kock</t>
  </si>
  <si>
    <t>R Ashwin</t>
  </si>
  <si>
    <t>R Bhatia</t>
  </si>
  <si>
    <t>R Bishnoi</t>
  </si>
  <si>
    <t>R Dhawan</t>
  </si>
  <si>
    <t>R Dravid</t>
  </si>
  <si>
    <t>R McLaren</t>
  </si>
  <si>
    <t>R Minz</t>
  </si>
  <si>
    <t>R Ninan</t>
  </si>
  <si>
    <t>R Parag</t>
  </si>
  <si>
    <t>R Powell</t>
  </si>
  <si>
    <t>R Rampaul</t>
  </si>
  <si>
    <t>R Ravindra</t>
  </si>
  <si>
    <t>R Sai Kishore</t>
  </si>
  <si>
    <t>R Sanjay Yadav</t>
  </si>
  <si>
    <t>R Sathish</t>
  </si>
  <si>
    <t>R Sharma</t>
  </si>
  <si>
    <t>R Shepherd</t>
  </si>
  <si>
    <t>R Shukla</t>
  </si>
  <si>
    <t>R Tewatia</t>
  </si>
  <si>
    <t>R Vinay Kumar</t>
  </si>
  <si>
    <t>RA Bawa</t>
  </si>
  <si>
    <t>RA Jadeja</t>
  </si>
  <si>
    <t>RA Tripathi</t>
  </si>
  <si>
    <t>RD Chahar</t>
  </si>
  <si>
    <t>RD Gaikwad</t>
  </si>
  <si>
    <t>RD Rickelton</t>
  </si>
  <si>
    <t>RE Levi</t>
  </si>
  <si>
    <t>RE van der Merwe</t>
  </si>
  <si>
    <t>RG More</t>
  </si>
  <si>
    <t>RG Sharma</t>
  </si>
  <si>
    <t>RJ Gleeson</t>
  </si>
  <si>
    <t>RJ Harris</t>
  </si>
  <si>
    <t>RJ Peterson</t>
  </si>
  <si>
    <t>RJ Quiney</t>
  </si>
  <si>
    <t>RJW Topley</t>
  </si>
  <si>
    <t>RK Bhui</t>
  </si>
  <si>
    <t>RK Singh</t>
  </si>
  <si>
    <t>RM Patidar</t>
  </si>
  <si>
    <t>RN ten Doeschate</t>
  </si>
  <si>
    <t>RP Meredith</t>
  </si>
  <si>
    <t>RP Singh</t>
  </si>
  <si>
    <t>RR Bhatkal</t>
  </si>
  <si>
    <t>RR Pant</t>
  </si>
  <si>
    <t>RR Powar</t>
  </si>
  <si>
    <t>RR Raje</t>
  </si>
  <si>
    <t>RR Rossouw</t>
  </si>
  <si>
    <t>RR Sarwan</t>
  </si>
  <si>
    <t>RS Bopara</t>
  </si>
  <si>
    <t>RS Gavaskar</t>
  </si>
  <si>
    <t>RS Sodhi</t>
  </si>
  <si>
    <t>RT Ponting</t>
  </si>
  <si>
    <t>RV Gomez</t>
  </si>
  <si>
    <t>RV Patel</t>
  </si>
  <si>
    <t>RV Uthappa</t>
  </si>
  <si>
    <t>Rahmanullah Gurbaz</t>
  </si>
  <si>
    <t>Ramandeep Singh</t>
  </si>
  <si>
    <t>Rashid Khan</t>
  </si>
  <si>
    <t>Rasikh Salam</t>
  </si>
  <si>
    <t>Ravi Bishnoi</t>
  </si>
  <si>
    <t>S Anirudha</t>
  </si>
  <si>
    <t>S Aravind</t>
  </si>
  <si>
    <t>S Badree</t>
  </si>
  <si>
    <t>S Badrinath</t>
  </si>
  <si>
    <t>S Chanderpaul</t>
  </si>
  <si>
    <t>S Dhawan</t>
  </si>
  <si>
    <t>S Dube</t>
  </si>
  <si>
    <t>S Gopal</t>
  </si>
  <si>
    <t>S Kaul</t>
  </si>
  <si>
    <t>S Kaushik</t>
  </si>
  <si>
    <t>S Ladda</t>
  </si>
  <si>
    <t>S Lamichhane</t>
  </si>
  <si>
    <t>S Nadeem</t>
  </si>
  <si>
    <t>S Narwal</t>
  </si>
  <si>
    <t>S Rana</t>
  </si>
  <si>
    <t>S Randiv</t>
  </si>
  <si>
    <t>S Sohal</t>
  </si>
  <si>
    <t>S Sreesanth</t>
  </si>
  <si>
    <t>S Sriram</t>
  </si>
  <si>
    <t>S Tyagi</t>
  </si>
  <si>
    <t>S Vidyut</t>
  </si>
  <si>
    <t>SA Abbott</t>
  </si>
  <si>
    <t>SA Asnodkar</t>
  </si>
  <si>
    <t>SA Yadav</t>
  </si>
  <si>
    <t>SB Bangar</t>
  </si>
  <si>
    <t>SB Dubey</t>
  </si>
  <si>
    <t>SB Jakati</t>
  </si>
  <si>
    <t>SB Joshi</t>
  </si>
  <si>
    <t>SB Styris</t>
  </si>
  <si>
    <t>SB Wagh</t>
  </si>
  <si>
    <t>SC Ganguly</t>
  </si>
  <si>
    <t>SD Chitnis</t>
  </si>
  <si>
    <t>SD Hope</t>
  </si>
  <si>
    <t>SD Lad</t>
  </si>
  <si>
    <t>SE Bond</t>
  </si>
  <si>
    <t>SE Marsh</t>
  </si>
  <si>
    <t>SE Rutherford</t>
  </si>
  <si>
    <t>SH Johnson</t>
  </si>
  <si>
    <t>SJ Srivastava</t>
  </si>
  <si>
    <t>SK Raina</t>
  </si>
  <si>
    <t>SK Rasheed</t>
  </si>
  <si>
    <t>SK Trivedi</t>
  </si>
  <si>
    <t>SK Warne</t>
  </si>
  <si>
    <t>SL Malinga</t>
  </si>
  <si>
    <t>SM Curran</t>
  </si>
  <si>
    <t>SM Harwood</t>
  </si>
  <si>
    <t>SM Katich</t>
  </si>
  <si>
    <t>SM Pollock</t>
  </si>
  <si>
    <t>SMSM Senanayake</t>
  </si>
  <si>
    <t>SN Khan</t>
  </si>
  <si>
    <t>SN Thakur</t>
  </si>
  <si>
    <t>SO Hetmyer</t>
  </si>
  <si>
    <t>SP Fleming</t>
  </si>
  <si>
    <t>SP Goswami</t>
  </si>
  <si>
    <t>SP Jackson</t>
  </si>
  <si>
    <t>SP Narine</t>
  </si>
  <si>
    <t>SPD Smith</t>
  </si>
  <si>
    <t>SR Tendulkar</t>
  </si>
  <si>
    <t>SR Watson</t>
  </si>
  <si>
    <t>SS Cottrell</t>
  </si>
  <si>
    <t>SS Iyer</t>
  </si>
  <si>
    <t>SS Prabhudessai</t>
  </si>
  <si>
    <t>SS Shaikh</t>
  </si>
  <si>
    <t>SS Tiwary</t>
  </si>
  <si>
    <t>ST Jayasuriya</t>
  </si>
  <si>
    <t>STR Binny</t>
  </si>
  <si>
    <t>SV Samson</t>
  </si>
  <si>
    <t>SW Billings</t>
  </si>
  <si>
    <t>SW Tait</t>
  </si>
  <si>
    <t>SZ Mulani</t>
  </si>
  <si>
    <t>Sachin Baby</t>
  </si>
  <si>
    <t>Salman Butt</t>
  </si>
  <si>
    <t>Sameer Rizvi</t>
  </si>
  <si>
    <t>Sandeep Sharma</t>
  </si>
  <si>
    <t>Sanvir Singh</t>
  </si>
  <si>
    <t>Saurav Chauhan</t>
  </si>
  <si>
    <t>Sediqullah Atal</t>
  </si>
  <si>
    <t>Shahbaz Ahmed</t>
  </si>
  <si>
    <t>Shahid Afridi</t>
  </si>
  <si>
    <t>Shakib Al Hasan</t>
  </si>
  <si>
    <t>Shashank Singh</t>
  </si>
  <si>
    <t>Shivam Mavi</t>
  </si>
  <si>
    <t>Shivam Sharma</t>
  </si>
  <si>
    <t>Shivam Singh</t>
  </si>
  <si>
    <t>Shoaib Ahmed</t>
  </si>
  <si>
    <t>Shoaib Akhtar</t>
  </si>
  <si>
    <t>Shoaib Malik</t>
  </si>
  <si>
    <t>Shubman Gill</t>
  </si>
  <si>
    <t>Sikandar Raza</t>
  </si>
  <si>
    <t>Simarjeet Singh</t>
  </si>
  <si>
    <t>Sohail Tanvir</t>
  </si>
  <si>
    <t>Sumit Kumar</t>
  </si>
  <si>
    <t>Sunny Gupta</t>
  </si>
  <si>
    <t>Sunny Singh</t>
  </si>
  <si>
    <t>Suryansh Shedge</t>
  </si>
  <si>
    <t>Swapnil Singh</t>
  </si>
  <si>
    <t>T Banton</t>
  </si>
  <si>
    <t>T Henderson</t>
  </si>
  <si>
    <t>T Kohler-Cadmore</t>
  </si>
  <si>
    <t>T Kohli</t>
  </si>
  <si>
    <t>T Natarajan</t>
  </si>
  <si>
    <t>T Shamsi</t>
  </si>
  <si>
    <t>T Stubbs</t>
  </si>
  <si>
    <t>T Taibu</t>
  </si>
  <si>
    <t>T Thushara</t>
  </si>
  <si>
    <t>TA Boult</t>
  </si>
  <si>
    <t>TD Paine</t>
  </si>
  <si>
    <t>TG Southee</t>
  </si>
  <si>
    <t>TH David</t>
  </si>
  <si>
    <t>TK Curran</t>
  </si>
  <si>
    <t>TL Seifert</t>
  </si>
  <si>
    <t>TL Suman</t>
  </si>
  <si>
    <t>TM Dilshan</t>
  </si>
  <si>
    <t>TM Head</t>
  </si>
  <si>
    <t>TM Srivastava</t>
  </si>
  <si>
    <t>TR Birt</t>
  </si>
  <si>
    <t>TS Mills</t>
  </si>
  <si>
    <t>TU Deshpande</t>
  </si>
  <si>
    <t>Tanush Kotian</t>
  </si>
  <si>
    <t>Tilak Varma</t>
  </si>
  <si>
    <t>U Kaul</t>
  </si>
  <si>
    <t>UA Birla</t>
  </si>
  <si>
    <t>UBT Chand</t>
  </si>
  <si>
    <t>UT Khawaja</t>
  </si>
  <si>
    <t>UT Yadav</t>
  </si>
  <si>
    <t>Umar Gul</t>
  </si>
  <si>
    <t>Umran Malik</t>
  </si>
  <si>
    <t>Urvil Patel</t>
  </si>
  <si>
    <t>V Kohli</t>
  </si>
  <si>
    <t>V Nigam</t>
  </si>
  <si>
    <t>V Pratap Singh</t>
  </si>
  <si>
    <t>V Sehwag</t>
  </si>
  <si>
    <t>V Shankar</t>
  </si>
  <si>
    <t>V Suryavanshi</t>
  </si>
  <si>
    <t>V Viyaskanth</t>
  </si>
  <si>
    <t>VG Arora</t>
  </si>
  <si>
    <t>VH Zol</t>
  </si>
  <si>
    <t>VR Aaron</t>
  </si>
  <si>
    <t>VR Iyer</t>
  </si>
  <si>
    <t>VRV Singh</t>
  </si>
  <si>
    <t>VS Malik</t>
  </si>
  <si>
    <t>VS Yeligati</t>
  </si>
  <si>
    <t>VVS Laxman</t>
  </si>
  <si>
    <t>VY Mahesh</t>
  </si>
  <si>
    <t>Vijaykumar Vyshak</t>
  </si>
  <si>
    <t>Virat Singh</t>
  </si>
  <si>
    <t>Vishnu Vinod</t>
  </si>
  <si>
    <t>Vivrant Sharma</t>
  </si>
  <si>
    <t>W Jaffer</t>
  </si>
  <si>
    <t>WA Mota</t>
  </si>
  <si>
    <t>WD Parnell</t>
  </si>
  <si>
    <t>WG Jacks</t>
  </si>
  <si>
    <t>WP Saha</t>
  </si>
  <si>
    <t>WPUJC Vaas</t>
  </si>
  <si>
    <t>Washington Sundar</t>
  </si>
  <si>
    <t>X Thalaivan Sargunam</t>
  </si>
  <si>
    <t>XC Bartlett</t>
  </si>
  <si>
    <t>Y Gnaneswara Rao</t>
  </si>
  <si>
    <t>Y Nagar</t>
  </si>
  <si>
    <t>Y Prithvi Raj</t>
  </si>
  <si>
    <t>Y Venugopal Rao</t>
  </si>
  <si>
    <t>YA Abdulla</t>
  </si>
  <si>
    <t>YBK Jaiswal</t>
  </si>
  <si>
    <t>YK Pathan</t>
  </si>
  <si>
    <t>YS Chahal</t>
  </si>
  <si>
    <t>YV Dhull</t>
  </si>
  <si>
    <t>YV Takawale</t>
  </si>
  <si>
    <t>Yash Dayal</t>
  </si>
  <si>
    <t>Yashpal Singh</t>
  </si>
  <si>
    <t>Younis Khan</t>
  </si>
  <si>
    <t>Yudhvir Singh</t>
  </si>
  <si>
    <t>Yuvraj Singh</t>
  </si>
  <si>
    <t>Z Khan</t>
  </si>
  <si>
    <t>Row Labels</t>
  </si>
  <si>
    <t>Grand Total</t>
  </si>
  <si>
    <t>Sum of total_runs</t>
  </si>
  <si>
    <t>IPL Player Performance – Runs per Season</t>
  </si>
  <si>
    <t>team_id</t>
  </si>
  <si>
    <t>team_name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</si>
</sst>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1"/>
      <color theme="0"/>
      <name val="Calibri"/>
      <family val="2"/>
      <scheme val="minor"/>
    </font>
    <font>
      <b/>
      <sz val="16"/>
      <color rgb="FF003B83"/>
      <name val="Calibri"/>
      <family val="2"/>
      <scheme val="minor"/>
    </font>
    <font>
      <b/>
      <sz val="11"/>
      <color theme="0"/>
      <name val="Calibri"/>
      <family val="2"/>
    </font>
  </fonts>
  <fills count="3">
    <fill>
      <patternFill patternType="none"/>
    </fill>
    <fill>
      <patternFill patternType="gray125"/>
    </fill>
    <fill>
      <patternFill patternType="solid">
        <fgColor rgb="FFB1E8FF"/>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7">
    <xf numFmtId="0" fontId="0" fillId="0" borderId="0" xfId="0"/>
    <xf numFmtId="0" fontId="0" fillId="0" borderId="0" xfId="0" pivotButton="1"/>
    <xf numFmtId="0" fontId="0" fillId="0" borderId="0" xfId="0" applyAlignment="1">
      <alignment horizontal="left"/>
    </xf>
    <xf numFmtId="0" fontId="3" fillId="0" borderId="1" xfId="0" applyFont="1" applyBorder="1" applyAlignment="1">
      <alignment horizontal="center" vertical="top"/>
    </xf>
    <xf numFmtId="0" fontId="3" fillId="0" borderId="2" xfId="0" applyFont="1" applyBorder="1" applyAlignment="1">
      <alignment horizontal="center" vertical="top"/>
    </xf>
    <xf numFmtId="0" fontId="1" fillId="0" borderId="0" xfId="0" applyFont="1"/>
    <xf numFmtId="0" fontId="2" fillId="2" borderId="0" xfId="0" applyFont="1" applyFill="1" applyAlignment="1">
      <alignment horizontal="center"/>
    </xf>
  </cellXfs>
  <cellStyles count="1">
    <cellStyle name="Normal" xfId="0" builtinId="0"/>
  </cellStyles>
  <dxfs count="3">
    <dxf>
      <numFmt numFmtId="0" formatCode="General"/>
    </dxf>
    <dxf>
      <numFmt numFmtId="0" formatCode="General"/>
    </dxf>
    <dxf>
      <font>
        <b/>
        <i val="0"/>
        <strike val="0"/>
        <condense val="0"/>
        <extend val="0"/>
        <outline val="0"/>
        <shadow val="0"/>
        <u val="none"/>
        <vertAlign val="baseline"/>
        <sz val="11"/>
        <color theme="0"/>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connections" Target="connection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1.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editAs="oneCell">
    <xdr:from>
      <xdr:col>3</xdr:col>
      <xdr:colOff>22860</xdr:colOff>
      <xdr:row>4</xdr:row>
      <xdr:rowOff>160020</xdr:rowOff>
    </xdr:from>
    <xdr:to>
      <xdr:col>6</xdr:col>
      <xdr:colOff>571500</xdr:colOff>
      <xdr:row>25</xdr:row>
      <xdr:rowOff>7620</xdr:rowOff>
    </xdr:to>
    <mc:AlternateContent xmlns:mc="http://schemas.openxmlformats.org/markup-compatibility/2006" xmlns:a14="http://schemas.microsoft.com/office/drawing/2010/main">
      <mc:Choice Requires="a14">
        <xdr:graphicFrame macro="">
          <xdr:nvGraphicFramePr>
            <xdr:cNvPr id="2" name="batter">
              <a:extLst>
                <a:ext uri="{FF2B5EF4-FFF2-40B4-BE49-F238E27FC236}">
                  <a16:creationId xmlns:a16="http://schemas.microsoft.com/office/drawing/2014/main" id="{4AA75F36-23DE-9B28-1588-9DE4EDDEC72F}"/>
                </a:ext>
              </a:extLst>
            </xdr:cNvPr>
            <xdr:cNvGraphicFramePr/>
          </xdr:nvGraphicFramePr>
          <xdr:xfrm>
            <a:off x="0" y="0"/>
            <a:ext cx="0" cy="0"/>
          </xdr:xfrm>
          <a:graphic>
            <a:graphicData uri="http://schemas.microsoft.com/office/drawing/2010/slicer">
              <sle:slicer xmlns:sle="http://schemas.microsoft.com/office/drawing/2010/slicer" name="batter"/>
            </a:graphicData>
          </a:graphic>
        </xdr:graphicFrame>
      </mc:Choice>
      <mc:Fallback xmlns="">
        <xdr:sp macro="" textlink="">
          <xdr:nvSpPr>
            <xdr:cNvPr id="0" name=""/>
            <xdr:cNvSpPr>
              <a:spLocks noTextEdit="1"/>
            </xdr:cNvSpPr>
          </xdr:nvSpPr>
          <xdr:spPr>
            <a:xfrm>
              <a:off x="2598420" y="891540"/>
              <a:ext cx="2377440" cy="36880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122.71262395833" createdVersion="8" refreshedVersion="8" minRefreshableVersion="3" recordCount="2783" xr:uid="{09B5F729-B361-4837-AAAE-B241FEA6D0CC}">
  <cacheSource type="worksheet">
    <worksheetSource ref="A1:K2784" sheet="batter_summary"/>
  </cacheSource>
  <cacheFields count="11">
    <cacheField name="batter" numFmtId="0">
      <sharedItems count="703">
        <s v="A Ashish Reddy"/>
        <s v="A Badoni"/>
        <s v="A Chandila"/>
        <s v="A Chopra"/>
        <s v="A Choudhary"/>
        <s v="A Dananjaya"/>
        <s v="A Flintoff"/>
        <s v="A Kamboj"/>
        <s v="A Kumble"/>
        <s v="A Manohar"/>
        <s v="A Mhatre"/>
        <s v="A Mishra"/>
        <s v="A Mithun"/>
        <s v="A Mukund"/>
        <s v="A Nehra"/>
        <s v="A Nortje"/>
        <s v="A Raghuvanshi"/>
        <s v="A Singh"/>
        <s v="A Symonds"/>
        <s v="A Tomar"/>
        <s v="A Uniyal"/>
        <s v="A Zampa"/>
        <s v="AA Bilakhia"/>
        <s v="AA Chavan"/>
        <s v="AA Jhunjhunwala"/>
        <s v="AA Kulkarni"/>
        <s v="AA Noffke"/>
        <s v="AB Agarkar"/>
        <s v="AB Barath"/>
        <s v="AB Dinda"/>
        <s v="AB McDonald"/>
        <s v="AB de Villiers"/>
        <s v="AC Blizzard"/>
        <s v="AC Gilchrist"/>
        <s v="AC Thomas"/>
        <s v="AC Voges"/>
        <s v="AD Hales"/>
        <s v="AD Mascarenhas"/>
        <s v="AD Mathews"/>
        <s v="AD Nath"/>
        <s v="AD Russell"/>
        <s v="AF Milne"/>
        <s v="AG Murtaza"/>
        <s v="AG Paunikar"/>
        <s v="AJ Finch"/>
        <s v="AJ Hosein"/>
        <s v="AJ Turner"/>
        <s v="AJ Tye"/>
        <s v="AK Markram"/>
        <s v="AL Menaria"/>
        <s v="AM Nayar"/>
        <s v="AM Rahane"/>
        <s v="AN Ahmed"/>
        <s v="AN Ghosh"/>
        <s v="AP Dole"/>
        <s v="AP Majumdar"/>
        <s v="AP Tare"/>
        <s v="AR Bawne"/>
        <s v="AR Patel"/>
        <s v="AS Joseph"/>
        <s v="AS Rajpoot"/>
        <s v="AS Raut"/>
        <s v="AS Roy"/>
        <s v="AS Yadav"/>
        <s v="AT Carey"/>
        <s v="AT Rayudu"/>
        <s v="AU Rashid"/>
        <s v="AUK Pathan"/>
        <s v="Abdul Basith"/>
        <s v="Abdul Samad"/>
        <s v="Abdur Razzak"/>
        <s v="Abhishek Sharma"/>
        <s v="Abishek Porel"/>
        <s v="Akash Deep"/>
        <s v="Akash Madhwal"/>
        <s v="Aman Hakim Khan"/>
        <s v="Aniket Verma"/>
        <s v="Anirudh Singh"/>
        <s v="Ankit Sharma"/>
        <s v="Ankit Soni"/>
        <s v="Anmolpreet Singh"/>
        <s v="Anuj Rawat"/>
        <s v="Anureet Singh"/>
        <s v="Arjun Tendulkar"/>
        <s v="Arshad Khan"/>
        <s v="Arshad Khan (2)"/>
        <s v="Arshdeep Singh"/>
        <s v="Ashutosh Sharma"/>
        <s v="Atharva Taide"/>
        <s v="Avesh Khan"/>
        <s v="Azhar Mahmood"/>
        <s v="Azmatullah Omarzai"/>
        <s v="B Akhil"/>
        <s v="B Chipli"/>
        <s v="B Indrajith"/>
        <s v="B Kumar"/>
        <s v="B Laughlin"/>
        <s v="B Lee"/>
        <s v="B Sai Sudharsan"/>
        <s v="B Stanlake"/>
        <s v="B Sumanth"/>
        <s v="BA Bhatt"/>
        <s v="BA Stokes"/>
        <s v="BAW Mendis"/>
        <s v="BB McCullum"/>
        <s v="BB Samantray"/>
        <s v="BB Sran"/>
        <s v="BCJ Cutting"/>
        <s v="BE Hendricks"/>
        <s v="BJ Haddin"/>
        <s v="BJ Hodge"/>
        <s v="BJ Rohrer"/>
        <s v="BKG Mendis"/>
        <s v="BMAJ Mendis"/>
        <s v="BR Dunk"/>
        <s v="BR Sharath"/>
        <s v="Basil Thampi"/>
        <s v="Bipul Sharma"/>
        <s v="C Bosch"/>
        <s v="C Green"/>
        <s v="C Madan"/>
        <s v="C Munro"/>
        <s v="C Nanda"/>
        <s v="C Sakariya"/>
        <s v="C de Grandhomme"/>
        <s v="CA Ingram"/>
        <s v="CA Lynn"/>
        <s v="CA Pujara"/>
        <s v="CH Gayle"/>
        <s v="CH Morris"/>
        <s v="CJ Anderson"/>
        <s v="CJ Ferguson"/>
        <s v="CJ Jordan"/>
        <s v="CJ McKay"/>
        <s v="CK Kapugedera"/>
        <s v="CK Langeveldt"/>
        <s v="CL White"/>
        <s v="CM Gautam"/>
        <s v="CR Brathwaite"/>
        <s v="CR Woakes"/>
        <s v="CRD Fernando"/>
        <s v="CV Varun"/>
        <s v="D Brevis"/>
        <s v="D Ferreira"/>
        <s v="D Kalyankrishna"/>
        <s v="D Padikkal"/>
        <s v="D Pretorius"/>
        <s v="D Salunkhe"/>
        <s v="D Wiese"/>
        <s v="D du Preez"/>
        <s v="DA Miller"/>
        <s v="DA Warner"/>
        <s v="DAJ Bracewell"/>
        <s v="DB Das"/>
        <s v="DB Ravi Teja"/>
        <s v="DE Bollinger"/>
        <s v="DG Nalkande"/>
        <s v="DH Yagnik"/>
        <s v="DJ Bravo"/>
        <s v="DJ Harris"/>
        <s v="DJ Hooda"/>
        <s v="DJ Hussey"/>
        <s v="DJ Jacobs"/>
        <s v="DJ Malan"/>
        <s v="DJ Mitchell"/>
        <s v="DJ Muthuswami"/>
        <s v="DJ Thornely"/>
        <s v="DJ Willey"/>
        <s v="DJG Sammy"/>
        <s v="DJM Short"/>
        <s v="DL Chahar"/>
        <s v="DL Vettori"/>
        <s v="DM Bravo"/>
        <s v="DNT Zoysa"/>
        <s v="DP Conway"/>
        <s v="DP Nannes"/>
        <s v="DP Vijaykumar"/>
        <s v="DPMD Jayawardene"/>
        <s v="DR Martyn"/>
        <s v="DR Sams"/>
        <s v="DR Shorey"/>
        <s v="DR Smith"/>
        <s v="DS Kulkarni"/>
        <s v="DS Lehmann"/>
        <s v="DS Rathi"/>
        <s v="DT Christian"/>
        <s v="DT Patil"/>
        <s v="DW Steyn"/>
        <s v="Dhruv Jurel"/>
        <s v="E Lewis"/>
        <s v="EJG Morgan"/>
        <s v="ER Dwivedi"/>
        <s v="F Behardien"/>
        <s v="F du Plessis"/>
        <s v="FA Allen"/>
        <s v="FH Edwards"/>
        <s v="FY Fazal"/>
        <s v="Fazalhaq Farooqi"/>
        <s v="G Coetzee"/>
        <s v="G Gambhir"/>
        <s v="GB Hogg"/>
        <s v="GC Smith"/>
        <s v="GC Viljoen"/>
        <s v="GD McGrath"/>
        <s v="GD Phillips"/>
        <s v="GH Vihari"/>
        <s v="GHS Garton"/>
        <s v="GJ Bailey"/>
        <s v="GJ Maxwell"/>
        <s v="GR Napier"/>
        <s v="Gulbadin Naib"/>
        <s v="Gurkeerat Singh"/>
        <s v="H Das"/>
        <s v="H Klaasen"/>
        <s v="HC Brook"/>
        <s v="HE van der Dussen"/>
        <s v="HF Gurney"/>
        <s v="HH Gibbs"/>
        <s v="HH Pandya"/>
        <s v="HM Amla"/>
        <s v="HR Shokeen"/>
        <s v="HV Patel"/>
        <s v="Harbhajan Singh"/>
        <s v="Harmeet Singh"/>
        <s v="Harpreet Brar"/>
        <s v="Harpreet Singh"/>
        <s v="Harshit Rana"/>
        <s v="I Malhotra"/>
        <s v="I Sharma"/>
        <s v="I Udana"/>
        <s v="IC Pandey"/>
        <s v="IK Pathan"/>
        <s v="IR Jaggi"/>
        <s v="IS Sodhi"/>
        <s v="Imran Tahir"/>
        <s v="Iqbal Abdulla"/>
        <s v="Ishan Kishan"/>
        <s v="J Arunkumar"/>
        <s v="J Botha"/>
        <s v="J Fraser-McGurk"/>
        <s v="J Overton"/>
        <s v="J Suchith"/>
        <s v="J Syed Mohammad"/>
        <s v="J Theron"/>
        <s v="J Yadav"/>
        <s v="JA Morkel"/>
        <s v="JA Richardson"/>
        <s v="JC Archer"/>
        <s v="JC Buttler"/>
        <s v="JD Ryder"/>
        <s v="JD Unadkat"/>
        <s v="JDP Oram"/>
        <s v="JDS Neesham"/>
        <s v="JE Root"/>
        <s v="JE Taylor"/>
        <s v="JEC Franklin"/>
        <s v="JG Bethell"/>
        <s v="JH Kallis"/>
        <s v="JJ Bumrah"/>
        <s v="JJ Roy"/>
        <s v="JJ van der Wath"/>
        <s v="JL Denly"/>
        <s v="JL Pattinson"/>
        <s v="JM Bairstow"/>
        <s v="JM Kemp"/>
        <s v="JM Sharma"/>
        <s v="JO Holder"/>
        <s v="JP Behrendorff"/>
        <s v="JP Duminy"/>
        <s v="JP Faulkner"/>
        <s v="JP Inglis"/>
        <s v="JPR Scantlebury-Searles"/>
        <s v="JR Hazlewood"/>
        <s v="JR Hopes"/>
        <s v="JR Philippe"/>
        <s v="Jaskaran Singh"/>
        <s v="Joginder Sharma"/>
        <s v="K Goel"/>
        <s v="K Gowtham"/>
        <s v="K Kartikeya"/>
        <s v="K Rabada"/>
        <s v="K Upadhyay"/>
        <s v="K Yadav"/>
        <s v="KA Jamieson"/>
        <s v="KA Maharaj"/>
        <s v="KA Pollard"/>
        <s v="KAJ Roach"/>
        <s v="KB Arun Karthik"/>
        <s v="KC Cariappa"/>
        <s v="KC Sangakkara"/>
        <s v="KD Karthik"/>
        <s v="KH Pandya"/>
        <s v="KJ Abbott"/>
        <s v="KK Ahmed"/>
        <s v="KK Cooper"/>
        <s v="KK Nair"/>
        <s v="KL Nagarkoti"/>
        <s v="KL Rahul"/>
        <s v="KM Asif"/>
        <s v="KM Jadhav"/>
        <s v="KMA Paul"/>
        <s v="KMDN Kulasekara"/>
        <s v="KP Appanna"/>
        <s v="KP Pietersen"/>
        <s v="KR Mayers"/>
        <s v="KR Sen"/>
        <s v="KS Bharat"/>
        <s v="KS Rathore"/>
        <s v="KS Sharma"/>
        <s v="KS Williamson"/>
        <s v="KT Maphaka"/>
        <s v="KV Sharma"/>
        <s v="KW Richardson"/>
        <s v="Kamran Akmal"/>
        <s v="Kamran Khan"/>
        <s v="Karanveer Singh"/>
        <s v="Kartik Tyagi"/>
        <s v="Kuldeep Yadav"/>
        <s v="Kumar Kushagra"/>
        <s v="L Ablish"/>
        <s v="L Balaji"/>
        <s v="L Ngidi"/>
        <s v="L Ronchi"/>
        <s v="L Wood"/>
        <s v="LA Carseldine"/>
        <s v="LA Pomersbach"/>
        <s v="LB Williams"/>
        <s v="LE Plunkett"/>
        <s v="LH Ferguson"/>
        <s v="LJ Wright"/>
        <s v="LMP Simmons"/>
        <s v="LPC Silva"/>
        <s v="LR Shukla"/>
        <s v="LRPL Taylor"/>
        <s v="LS Livingstone"/>
        <s v="Lalit Yadav"/>
        <s v="Liton Das"/>
        <s v="M Ashwin"/>
        <s v="M Jansen"/>
        <s v="M Kaif"/>
        <s v="M Kartik"/>
        <s v="M Klinger"/>
        <s v="M Manhas"/>
        <s v="M Markande"/>
        <s v="M Morkel"/>
        <s v="M Muralitharan"/>
        <s v="M Ntini"/>
        <s v="M Prasidh Krishna"/>
        <s v="M Rawat"/>
        <s v="M Shahrukh Khan"/>
        <s v="M Theekshana"/>
        <s v="M Tiwari"/>
        <s v="M Vijay"/>
        <s v="M Vohra"/>
        <s v="M de Lange"/>
        <s v="MA Agarwal"/>
        <s v="MA Khote"/>
        <s v="MA Starc"/>
        <s v="MA Wood"/>
        <s v="MC Henriques"/>
        <s v="MC Juneja"/>
        <s v="MD Mishra"/>
        <s v="MD Shanaka"/>
        <s v="MDKJ Perera"/>
        <s v="MEK Hussey"/>
        <s v="MF Maharoof"/>
        <s v="MG Bracewell"/>
        <s v="MG Johnson"/>
        <s v="MJ Clarke"/>
        <s v="MJ Guptill"/>
        <s v="MJ Lumb"/>
        <s v="MJ McClenaghan"/>
        <s v="MJ Owen"/>
        <s v="MJ Santner"/>
        <s v="MJ Suthar"/>
        <s v="MK Lomror"/>
        <s v="MK Pandey"/>
        <s v="MK Tiwary"/>
        <s v="ML Hayden"/>
        <s v="MM Ali"/>
        <s v="MM Patel"/>
        <s v="MM Sharma"/>
        <s v="MN Samuels"/>
        <s v="MN van Wyk"/>
        <s v="MP Breetzke"/>
        <s v="MP Stoinis"/>
        <s v="MR Marsh"/>
        <s v="MS Bhandage"/>
        <s v="MS Bisla"/>
        <s v="MS Dhoni"/>
        <s v="MS Gony"/>
        <s v="MS Wade"/>
        <s v="MV Boucher"/>
        <s v="MW Short"/>
        <s v="Mandeep Singh"/>
        <s v="Mashrafe Mortaza"/>
        <s v="Mayank Dagar"/>
        <s v="Misbah-ul-Haq"/>
        <s v="Mohammad Ashraful"/>
        <s v="Mohammad Asif"/>
        <s v="Mohammad Hafeez"/>
        <s v="Mohammad Nabi"/>
        <s v="Mohammed Shami"/>
        <s v="Mohammed Siraj"/>
        <s v="Mohit Rathee"/>
        <s v="Mohsin Khan"/>
        <s v="Mujeeb Ur Rahman"/>
        <s v="Mukesh Choudhary"/>
        <s v="Mukesh Kumar"/>
        <s v="Musheer Khan"/>
        <s v="Mustafizur Rahman"/>
        <s v="N Jagadeesan"/>
        <s v="N Pooran"/>
        <s v="N Rana"/>
        <s v="N Saini"/>
        <s v="N Wadhera"/>
        <s v="ND Doshi"/>
        <s v="NJ Maddinson"/>
        <s v="NJ Rimmington"/>
        <s v="NK Patel"/>
        <s v="NL McCullum"/>
        <s v="NLTC Perera"/>
        <s v="NM Coulter-Nile"/>
        <s v="NS Naik"/>
        <s v="NT Ellis"/>
        <s v="NV Ojha"/>
        <s v="Naman Dhir"/>
        <s v="Navdeep Saini"/>
        <s v="Naveen-ul-Haq"/>
        <s v="Nithish Kumar Reddy"/>
        <s v="Noor Ahmad"/>
        <s v="OA Shah"/>
        <s v="OC McCoy"/>
        <s v="OF Smith"/>
        <s v="P Awana"/>
        <s v="P Chopra"/>
        <s v="P Dogra"/>
        <s v="P Dubey"/>
        <s v="P Kumar"/>
        <s v="P Negi"/>
        <s v="P Parameswaran"/>
        <s v="P Ray Barman"/>
        <s v="P Sahu"/>
        <s v="P Simran Singh"/>
        <s v="PA Patel"/>
        <s v="PA Reddy"/>
        <s v="PBB Rajapaksa"/>
        <s v="PC Valthaty"/>
        <s v="PD Collingwood"/>
        <s v="PD Salt"/>
        <s v="PHKD Mendis"/>
        <s v="PJ Cummins"/>
        <s v="PJ Sangwan"/>
        <s v="PK Garg"/>
        <s v="PM Sarvesh Kumar"/>
        <s v="PN Mankad"/>
        <s v="PP Chawla"/>
        <s v="PP Ojha"/>
        <s v="PP Shaw"/>
        <s v="PR Shah"/>
        <s v="PSP Handscomb"/>
        <s v="PV Tambe"/>
        <s v="PVD Chameera"/>
        <s v="PVSN Raju"/>
        <s v="PWA Mulder"/>
        <s v="PWH de Silva"/>
        <s v="Pankaj Singh"/>
        <s v="Parvez Rasool"/>
        <s v="Prince Yadav"/>
        <s v="Priyansh Arya"/>
        <s v="Q de Kock"/>
        <s v="R Ashwin"/>
        <s v="R Bhatia"/>
        <s v="R Bishnoi"/>
        <s v="R Dhawan"/>
        <s v="R Dravid"/>
        <s v="R McLaren"/>
        <s v="R Minz"/>
        <s v="R Ninan"/>
        <s v="R Parag"/>
        <s v="R Powell"/>
        <s v="R Rampaul"/>
        <s v="R Ravindra"/>
        <s v="R Sai Kishore"/>
        <s v="R Sanjay Yadav"/>
        <s v="R Sathish"/>
        <s v="R Sharma"/>
        <s v="R Shepherd"/>
        <s v="R Shukla"/>
        <s v="R Tewatia"/>
        <s v="R Vinay Kumar"/>
        <s v="RA Bawa"/>
        <s v="RA Jadeja"/>
        <s v="RA Tripathi"/>
        <s v="RD Chahar"/>
        <s v="RD Gaikwad"/>
        <s v="RD Rickelton"/>
        <s v="RE Levi"/>
        <s v="RE van der Merwe"/>
        <s v="RG More"/>
        <s v="RG Sharma"/>
        <s v="RJ Gleeson"/>
        <s v="RJ Harris"/>
        <s v="RJ Peterson"/>
        <s v="RJ Quiney"/>
        <s v="RJW Topley"/>
        <s v="RK Bhui"/>
        <s v="RK Singh"/>
        <s v="RM Patidar"/>
        <s v="RN ten Doeschate"/>
        <s v="RP Meredith"/>
        <s v="RP Singh"/>
        <s v="RR Bhatkal"/>
        <s v="RR Pant"/>
        <s v="RR Powar"/>
        <s v="RR Raje"/>
        <s v="RR Rossouw"/>
        <s v="RR Sarwan"/>
        <s v="RS Bopara"/>
        <s v="RS Gavaskar"/>
        <s v="RS Sodhi"/>
        <s v="RT Ponting"/>
        <s v="RV Gomez"/>
        <s v="RV Patel"/>
        <s v="RV Uthappa"/>
        <s v="Rahmanullah Gurbaz"/>
        <s v="Ramandeep Singh"/>
        <s v="Rashid Khan"/>
        <s v="Rasikh Salam"/>
        <s v="Ravi Bishnoi"/>
        <s v="S Anirudha"/>
        <s v="S Aravind"/>
        <s v="S Badree"/>
        <s v="S Badrinath"/>
        <s v="S Chanderpaul"/>
        <s v="S Dhawan"/>
        <s v="S Dube"/>
        <s v="S Gopal"/>
        <s v="S Kaul"/>
        <s v="S Kaushik"/>
        <s v="S Ladda"/>
        <s v="S Lamichhane"/>
        <s v="S Nadeem"/>
        <s v="S Narwal"/>
        <s v="S Rana"/>
        <s v="S Randiv"/>
        <s v="S Sohal"/>
        <s v="S Sreesanth"/>
        <s v="S Sriram"/>
        <s v="S Tyagi"/>
        <s v="S Vidyut"/>
        <s v="SA Abbott"/>
        <s v="SA Asnodkar"/>
        <s v="SA Yadav"/>
        <s v="SB Bangar"/>
        <s v="SB Dubey"/>
        <s v="SB Jakati"/>
        <s v="SB Joshi"/>
        <s v="SB Styris"/>
        <s v="SB Wagh"/>
        <s v="SC Ganguly"/>
        <s v="SD Chitnis"/>
        <s v="SD Hope"/>
        <s v="SD Lad"/>
        <s v="SE Bond"/>
        <s v="SE Marsh"/>
        <s v="SE Rutherford"/>
        <s v="SH Johnson"/>
        <s v="SJ Srivastava"/>
        <s v="SK Raina"/>
        <s v="SK Rasheed"/>
        <s v="SK Trivedi"/>
        <s v="SK Warne"/>
        <s v="SL Malinga"/>
        <s v="SM Curran"/>
        <s v="SM Harwood"/>
        <s v="SM Katich"/>
        <s v="SM Pollock"/>
        <s v="SMSM Senanayake"/>
        <s v="SN Khan"/>
        <s v="SN Thakur"/>
        <s v="SO Hetmyer"/>
        <s v="SP Fleming"/>
        <s v="SP Goswami"/>
        <s v="SP Jackson"/>
        <s v="SP Narine"/>
        <s v="SPD Smith"/>
        <s v="SR Tendulkar"/>
        <s v="SR Watson"/>
        <s v="SS Cottrell"/>
        <s v="SS Iyer"/>
        <s v="SS Prabhudessai"/>
        <s v="SS Shaikh"/>
        <s v="SS Tiwary"/>
        <s v="ST Jayasuriya"/>
        <s v="STR Binny"/>
        <s v="SV Samson"/>
        <s v="SW Billings"/>
        <s v="SW Tait"/>
        <s v="SZ Mulani"/>
        <s v="Sachin Baby"/>
        <s v="Salman Butt"/>
        <s v="Sameer Rizvi"/>
        <s v="Sandeep Sharma"/>
        <s v="Sanvir Singh"/>
        <s v="Saurav Chauhan"/>
        <s v="Sediqullah Atal"/>
        <s v="Shahbaz Ahmed"/>
        <s v="Shahid Afridi"/>
        <s v="Shakib Al Hasan"/>
        <s v="Shashank Singh"/>
        <s v="Shivam Mavi"/>
        <s v="Shivam Sharma"/>
        <s v="Shivam Singh"/>
        <s v="Shoaib Ahmed"/>
        <s v="Shoaib Akhtar"/>
        <s v="Shoaib Malik"/>
        <s v="Shubman Gill"/>
        <s v="Sikandar Raza"/>
        <s v="Simarjeet Singh"/>
        <s v="Sohail Tanvir"/>
        <s v="Sumit Kumar"/>
        <s v="Sunny Gupta"/>
        <s v="Sunny Singh"/>
        <s v="Suryansh Shedge"/>
        <s v="Swapnil Singh"/>
        <s v="T Banton"/>
        <s v="T Henderson"/>
        <s v="T Kohler-Cadmore"/>
        <s v="T Kohli"/>
        <s v="T Natarajan"/>
        <s v="T Shamsi"/>
        <s v="T Stubbs"/>
        <s v="T Taibu"/>
        <s v="T Thushara"/>
        <s v="TA Boult"/>
        <s v="TD Paine"/>
        <s v="TG Southee"/>
        <s v="TH David"/>
        <s v="TK Curran"/>
        <s v="TL Seifert"/>
        <s v="TL Suman"/>
        <s v="TM Dilshan"/>
        <s v="TM Head"/>
        <s v="TM Srivastava"/>
        <s v="TR Birt"/>
        <s v="TS Mills"/>
        <s v="TU Deshpande"/>
        <s v="Tanush Kotian"/>
        <s v="Tilak Varma"/>
        <s v="U Kaul"/>
        <s v="UA Birla"/>
        <s v="UBT Chand"/>
        <s v="UT Khawaja"/>
        <s v="UT Yadav"/>
        <s v="Umar Gul"/>
        <s v="Umran Malik"/>
        <s v="Urvil Patel"/>
        <s v="V Kohli"/>
        <s v="V Nigam"/>
        <s v="V Pratap Singh"/>
        <s v="V Sehwag"/>
        <s v="V Shankar"/>
        <s v="V Suryavanshi"/>
        <s v="V Viyaskanth"/>
        <s v="VG Arora"/>
        <s v="VH Zol"/>
        <s v="VR Aaron"/>
        <s v="VR Iyer"/>
        <s v="VRV Singh"/>
        <s v="VS Malik"/>
        <s v="VS Yeligati"/>
        <s v="VVS Laxman"/>
        <s v="VY Mahesh"/>
        <s v="Vijaykumar Vyshak"/>
        <s v="Virat Singh"/>
        <s v="Vishnu Vinod"/>
        <s v="Vivrant Sharma"/>
        <s v="W Jaffer"/>
        <s v="WA Mota"/>
        <s v="WD Parnell"/>
        <s v="WG Jacks"/>
        <s v="WP Saha"/>
        <s v="WPUJC Vaas"/>
        <s v="Washington Sundar"/>
        <s v="X Thalaivan Sargunam"/>
        <s v="XC Bartlett"/>
        <s v="Y Gnaneswara Rao"/>
        <s v="Y Nagar"/>
        <s v="Y Prithvi Raj"/>
        <s v="Y Venugopal Rao"/>
        <s v="YA Abdulla"/>
        <s v="YBK Jaiswal"/>
        <s v="YK Pathan"/>
        <s v="YS Chahal"/>
        <s v="YV Dhull"/>
        <s v="YV Takawale"/>
        <s v="Yash Dayal"/>
        <s v="Yashpal Singh"/>
        <s v="Younis Khan"/>
        <s v="Yudhvir Singh"/>
        <s v="Yuvraj Singh"/>
        <s v="Z Khan"/>
      </sharedItems>
    </cacheField>
    <cacheField name="season_year" numFmtId="0">
      <sharedItems containsSemiMixedTypes="0" containsString="0" containsNumber="1" containsInteger="1" minValue="2008" maxValue="2025" count="18">
        <n v="2012"/>
        <n v="2013"/>
        <n v="2015"/>
        <n v="2016"/>
        <n v="2022"/>
        <n v="2023"/>
        <n v="2024"/>
        <n v="2025"/>
        <n v="2008"/>
        <n v="2009"/>
        <n v="2017"/>
        <n v="2018"/>
        <n v="2010"/>
        <n v="2011"/>
        <n v="2014"/>
        <n v="2019"/>
        <n v="2020"/>
        <n v="2021"/>
      </sharedItems>
    </cacheField>
    <cacheField name="batting_team" numFmtId="0">
      <sharedItems/>
    </cacheField>
    <cacheField name="total_runs" numFmtId="0">
      <sharedItems containsSemiMixedTypes="0" containsString="0" containsNumber="1" containsInteger="1" minValue="0" maxValue="973"/>
    </cacheField>
    <cacheField name="balls_faced" numFmtId="0">
      <sharedItems containsSemiMixedTypes="0" containsString="0" containsNumber="1" containsInteger="1" minValue="1" maxValue="637"/>
    </cacheField>
    <cacheField name="fours" numFmtId="0">
      <sharedItems containsSemiMixedTypes="0" containsString="0" containsNumber="1" containsInteger="1" minValue="0" maxValue="88"/>
    </cacheField>
    <cacheField name="sixes" numFmtId="0">
      <sharedItems containsSemiMixedTypes="0" containsString="0" containsNumber="1" containsInteger="1" minValue="0" maxValue="59"/>
    </cacheField>
    <cacheField name="wickets" numFmtId="0">
      <sharedItems containsSemiMixedTypes="0" containsString="0" containsNumber="1" containsInteger="1" minValue="0" maxValue="20"/>
    </cacheField>
    <cacheField name="matches" numFmtId="0">
      <sharedItems containsSemiMixedTypes="0" containsString="0" containsNumber="1" containsInteger="1" minValue="1" maxValue="19"/>
    </cacheField>
    <cacheField name="strike_rate" numFmtId="0">
      <sharedItems containsSemiMixedTypes="0" containsString="0" containsNumber="1" minValue="0" maxValue="400"/>
    </cacheField>
    <cacheField name="average" numFmtId="0">
      <sharedItems containsString="0" containsBlank="1" containsNumber="1" minValue="0" maxValue="152"/>
    </cacheField>
  </cacheFields>
  <extLst>
    <ext xmlns:x14="http://schemas.microsoft.com/office/spreadsheetml/2009/9/main" uri="{725AE2AE-9491-48be-B2B4-4EB974FC3084}">
      <x14:pivotCacheDefinition pivotCacheId="58780322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783">
  <r>
    <x v="0"/>
    <x v="0"/>
    <s v="Deccan Chargers"/>
    <n v="35"/>
    <n v="29"/>
    <n v="3"/>
    <n v="1"/>
    <n v="4"/>
    <n v="5"/>
    <n v="120.69"/>
    <n v="8.75"/>
  </r>
  <r>
    <x v="0"/>
    <x v="1"/>
    <s v="Sunrisers Hyderabad"/>
    <n v="125"/>
    <n v="89"/>
    <n v="8"/>
    <n v="5"/>
    <n v="6"/>
    <n v="10"/>
    <n v="140.44999999999999"/>
    <n v="20.83"/>
  </r>
  <r>
    <x v="0"/>
    <x v="2"/>
    <s v="Sunrisers Hyderabad"/>
    <n v="73"/>
    <n v="46"/>
    <n v="3"/>
    <n v="5"/>
    <n v="3"/>
    <n v="5"/>
    <n v="158.69999999999999"/>
    <n v="24.33"/>
  </r>
  <r>
    <x v="0"/>
    <x v="3"/>
    <s v="Sunrisers Hyderabad"/>
    <n v="47"/>
    <n v="29"/>
    <n v="2"/>
    <n v="4"/>
    <n v="2"/>
    <n v="3"/>
    <n v="162.07"/>
    <n v="23.5"/>
  </r>
  <r>
    <x v="1"/>
    <x v="4"/>
    <s v="Lucknow Super Giants"/>
    <n v="161"/>
    <n v="130"/>
    <n v="11"/>
    <n v="7"/>
    <n v="9"/>
    <n v="11"/>
    <n v="123.85"/>
    <n v="17.89"/>
  </r>
  <r>
    <x v="1"/>
    <x v="5"/>
    <s v="Lucknow Super Giants"/>
    <n v="238"/>
    <n v="171"/>
    <n v="13"/>
    <n v="12"/>
    <n v="9"/>
    <n v="12"/>
    <n v="139.18"/>
    <n v="26.44"/>
  </r>
  <r>
    <x v="1"/>
    <x v="6"/>
    <s v="Lucknow Super Giants"/>
    <n v="235"/>
    <n v="171"/>
    <n v="22"/>
    <n v="5"/>
    <n v="8"/>
    <n v="12"/>
    <n v="137.43"/>
    <n v="29.38"/>
  </r>
  <r>
    <x v="1"/>
    <x v="7"/>
    <s v="Lucknow Super Giants"/>
    <n v="329"/>
    <n v="221"/>
    <n v="27"/>
    <n v="14"/>
    <n v="10"/>
    <n v="11"/>
    <n v="148.87"/>
    <n v="32.9"/>
  </r>
  <r>
    <x v="2"/>
    <x v="0"/>
    <s v="Rajasthan Royals"/>
    <n v="0"/>
    <n v="1"/>
    <n v="0"/>
    <n v="0"/>
    <n v="1"/>
    <n v="1"/>
    <n v="0"/>
    <n v="0"/>
  </r>
  <r>
    <x v="2"/>
    <x v="1"/>
    <s v="Rajasthan Royals"/>
    <n v="4"/>
    <n v="6"/>
    <n v="0"/>
    <n v="0"/>
    <n v="0"/>
    <n v="1"/>
    <n v="66.67"/>
    <m/>
  </r>
  <r>
    <x v="3"/>
    <x v="8"/>
    <s v="Kolkata Knight Riders"/>
    <n v="42"/>
    <n v="52"/>
    <n v="5"/>
    <n v="0"/>
    <n v="4"/>
    <n v="5"/>
    <n v="80.77"/>
    <n v="10.5"/>
  </r>
  <r>
    <x v="3"/>
    <x v="9"/>
    <s v="Kolkata Knight Riders"/>
    <n v="11"/>
    <n v="19"/>
    <n v="2"/>
    <n v="0"/>
    <n v="1"/>
    <n v="1"/>
    <n v="57.89"/>
    <n v="11"/>
  </r>
  <r>
    <x v="4"/>
    <x v="10"/>
    <s v="Royal Challengers Bangalore"/>
    <n v="25"/>
    <n v="20"/>
    <n v="1"/>
    <n v="1"/>
    <n v="2"/>
    <n v="3"/>
    <n v="125"/>
    <n v="12.5"/>
  </r>
  <r>
    <x v="5"/>
    <x v="11"/>
    <s v="Mumbai Indians"/>
    <n v="4"/>
    <n v="5"/>
    <n v="0"/>
    <n v="0"/>
    <n v="0"/>
    <n v="1"/>
    <n v="80"/>
    <m/>
  </r>
  <r>
    <x v="6"/>
    <x v="9"/>
    <s v="Chennai Super Kings"/>
    <n v="62"/>
    <n v="53"/>
    <n v="5"/>
    <n v="2"/>
    <n v="2"/>
    <n v="3"/>
    <n v="116.98"/>
    <n v="31"/>
  </r>
  <r>
    <x v="7"/>
    <x v="6"/>
    <s v="Mumbai Indians"/>
    <n v="2"/>
    <n v="2"/>
    <n v="0"/>
    <n v="0"/>
    <n v="0"/>
    <n v="1"/>
    <n v="100"/>
    <m/>
  </r>
  <r>
    <x v="7"/>
    <x v="7"/>
    <s v="Chennai Super Kings"/>
    <n v="14"/>
    <n v="12"/>
    <n v="2"/>
    <n v="0"/>
    <n v="2"/>
    <n v="5"/>
    <n v="116.67"/>
    <n v="7"/>
  </r>
  <r>
    <x v="8"/>
    <x v="8"/>
    <s v="Royal Challengers Bangalore"/>
    <n v="13"/>
    <n v="17"/>
    <n v="1"/>
    <n v="0"/>
    <n v="1"/>
    <n v="4"/>
    <n v="76.47"/>
    <n v="13"/>
  </r>
  <r>
    <x v="8"/>
    <x v="9"/>
    <s v="Royal Challengers Bangalore"/>
    <n v="16"/>
    <n v="19"/>
    <n v="2"/>
    <n v="0"/>
    <n v="1"/>
    <n v="6"/>
    <n v="84.21"/>
    <n v="16"/>
  </r>
  <r>
    <x v="8"/>
    <x v="12"/>
    <s v="Royal Challengers Bangalore"/>
    <n v="6"/>
    <n v="11"/>
    <n v="0"/>
    <n v="0"/>
    <n v="0"/>
    <n v="5"/>
    <n v="54.55"/>
    <m/>
  </r>
  <r>
    <x v="9"/>
    <x v="4"/>
    <s v="Gujarat Titans"/>
    <n v="108"/>
    <n v="75"/>
    <n v="14"/>
    <n v="3"/>
    <n v="6"/>
    <n v="7"/>
    <n v="144"/>
    <n v="18"/>
  </r>
  <r>
    <x v="9"/>
    <x v="5"/>
    <s v="Gujarat Titans"/>
    <n v="114"/>
    <n v="83"/>
    <n v="6"/>
    <n v="7"/>
    <n v="6"/>
    <n v="6"/>
    <n v="137.35"/>
    <n v="19"/>
  </r>
  <r>
    <x v="9"/>
    <x v="6"/>
    <s v="Gujarat Titans"/>
    <n v="9"/>
    <n v="16"/>
    <n v="1"/>
    <n v="0"/>
    <n v="2"/>
    <n v="2"/>
    <n v="56.25"/>
    <n v="4.5"/>
  </r>
  <r>
    <x v="9"/>
    <x v="7"/>
    <s v="Sunrisers Hyderabad"/>
    <n v="61"/>
    <n v="61"/>
    <n v="2"/>
    <n v="4"/>
    <n v="5"/>
    <n v="5"/>
    <n v="100"/>
    <n v="12.2"/>
  </r>
  <r>
    <x v="10"/>
    <x v="7"/>
    <s v="Chennai Super Kings"/>
    <n v="240"/>
    <n v="127"/>
    <n v="31"/>
    <n v="11"/>
    <n v="7"/>
    <n v="7"/>
    <n v="188.98"/>
    <n v="34.29"/>
  </r>
  <r>
    <x v="11"/>
    <x v="8"/>
    <s v="Delhi Daredevils"/>
    <n v="37"/>
    <n v="42"/>
    <n v="3"/>
    <n v="0"/>
    <n v="4"/>
    <n v="3"/>
    <n v="88.1"/>
    <n v="9.25"/>
  </r>
  <r>
    <x v="11"/>
    <x v="9"/>
    <s v="Delhi Daredevils"/>
    <n v="26"/>
    <n v="20"/>
    <n v="2"/>
    <n v="2"/>
    <n v="2"/>
    <n v="5"/>
    <n v="130"/>
    <n v="13"/>
  </r>
  <r>
    <x v="11"/>
    <x v="12"/>
    <s v="Delhi Daredevils"/>
    <n v="39"/>
    <n v="50"/>
    <n v="1"/>
    <n v="0"/>
    <n v="4"/>
    <n v="7"/>
    <n v="78"/>
    <n v="9.75"/>
  </r>
  <r>
    <x v="11"/>
    <x v="13"/>
    <s v="Deccan Chargers"/>
    <n v="68"/>
    <n v="49"/>
    <n v="9"/>
    <n v="1"/>
    <n v="6"/>
    <n v="9"/>
    <n v="138.78"/>
    <n v="11.33"/>
  </r>
  <r>
    <x v="11"/>
    <x v="0"/>
    <s v="Deccan Chargers"/>
    <n v="16"/>
    <n v="20"/>
    <n v="1"/>
    <n v="0"/>
    <n v="3"/>
    <n v="5"/>
    <n v="80"/>
    <n v="5.33"/>
  </r>
  <r>
    <x v="11"/>
    <x v="1"/>
    <s v="Sunrisers Hyderabad"/>
    <n v="89"/>
    <n v="95"/>
    <n v="9"/>
    <n v="0"/>
    <n v="3"/>
    <n v="6"/>
    <n v="93.68"/>
    <n v="29.67"/>
  </r>
  <r>
    <x v="11"/>
    <x v="14"/>
    <s v="Sunrisers Hyderabad"/>
    <n v="4"/>
    <n v="7"/>
    <n v="0"/>
    <n v="0"/>
    <n v="1"/>
    <n v="2"/>
    <n v="57.14"/>
    <n v="4"/>
  </r>
  <r>
    <x v="11"/>
    <x v="2"/>
    <s v="Delhi Daredevils"/>
    <n v="8"/>
    <n v="12"/>
    <n v="0"/>
    <n v="0"/>
    <n v="2"/>
    <n v="4"/>
    <n v="66.67"/>
    <n v="4"/>
  </r>
  <r>
    <x v="11"/>
    <x v="3"/>
    <s v="Delhi Daredevils"/>
    <n v="4"/>
    <n v="14"/>
    <n v="0"/>
    <n v="0"/>
    <n v="2"/>
    <n v="2"/>
    <n v="28.57"/>
    <n v="2"/>
  </r>
  <r>
    <x v="11"/>
    <x v="10"/>
    <s v="Delhi Daredevils"/>
    <n v="49"/>
    <n v="52"/>
    <n v="2"/>
    <n v="2"/>
    <n v="1"/>
    <n v="6"/>
    <n v="94.23"/>
    <n v="49"/>
  </r>
  <r>
    <x v="11"/>
    <x v="11"/>
    <s v="Delhi Daredevils"/>
    <n v="1"/>
    <n v="2"/>
    <n v="0"/>
    <n v="0"/>
    <n v="0"/>
    <n v="1"/>
    <n v="50"/>
    <m/>
  </r>
  <r>
    <x v="11"/>
    <x v="15"/>
    <s v="Delhi Capitals"/>
    <n v="21"/>
    <n v="24"/>
    <n v="2"/>
    <n v="0"/>
    <n v="2"/>
    <n v="4"/>
    <n v="87.5"/>
    <n v="10.5"/>
  </r>
  <r>
    <x v="11"/>
    <x v="5"/>
    <s v="Lucknow Super Giants"/>
    <n v="19"/>
    <n v="30"/>
    <n v="2"/>
    <n v="0"/>
    <n v="1"/>
    <n v="1"/>
    <n v="63.33"/>
    <n v="19"/>
  </r>
  <r>
    <x v="12"/>
    <x v="12"/>
    <s v="Royal Challengers Bangalore"/>
    <n v="5"/>
    <n v="4"/>
    <n v="1"/>
    <n v="0"/>
    <n v="1"/>
    <n v="1"/>
    <n v="125"/>
    <n v="5"/>
  </r>
  <r>
    <x v="12"/>
    <x v="13"/>
    <s v="Royal Challengers Bangalore"/>
    <n v="27"/>
    <n v="20"/>
    <n v="3"/>
    <n v="1"/>
    <n v="3"/>
    <n v="4"/>
    <n v="135"/>
    <n v="9"/>
  </r>
  <r>
    <x v="12"/>
    <x v="1"/>
    <s v="Royal Challengers Bangalore"/>
    <n v="2"/>
    <n v="2"/>
    <n v="0"/>
    <n v="0"/>
    <n v="1"/>
    <n v="1"/>
    <n v="100"/>
    <n v="2"/>
  </r>
  <r>
    <x v="13"/>
    <x v="8"/>
    <s v="Chennai Super Kings"/>
    <n v="0"/>
    <n v="1"/>
    <n v="0"/>
    <n v="0"/>
    <n v="1"/>
    <n v="1"/>
    <n v="0"/>
    <n v="0"/>
  </r>
  <r>
    <x v="13"/>
    <x v="1"/>
    <s v="Royal Challengers Bangalore"/>
    <n v="19"/>
    <n v="21"/>
    <n v="1"/>
    <n v="0"/>
    <n v="1"/>
    <n v="1"/>
    <n v="90.48"/>
    <n v="19"/>
  </r>
  <r>
    <x v="14"/>
    <x v="8"/>
    <s v="Mumbai Indians"/>
    <n v="3"/>
    <n v="12"/>
    <n v="0"/>
    <n v="0"/>
    <n v="0"/>
    <n v="3"/>
    <n v="25"/>
    <m/>
  </r>
  <r>
    <x v="14"/>
    <x v="9"/>
    <s v="Delhi Daredevils"/>
    <n v="1"/>
    <n v="1"/>
    <n v="0"/>
    <n v="0"/>
    <n v="0"/>
    <n v="1"/>
    <n v="100"/>
    <m/>
  </r>
  <r>
    <x v="14"/>
    <x v="12"/>
    <s v="Delhi Daredevils"/>
    <n v="23"/>
    <n v="19"/>
    <n v="2"/>
    <n v="1"/>
    <n v="1"/>
    <n v="2"/>
    <n v="121.05"/>
    <n v="23"/>
  </r>
  <r>
    <x v="14"/>
    <x v="0"/>
    <s v="Pune Warriors"/>
    <n v="11"/>
    <n v="12"/>
    <n v="1"/>
    <n v="0"/>
    <n v="1"/>
    <n v="2"/>
    <n v="91.67"/>
    <n v="11"/>
  </r>
  <r>
    <x v="14"/>
    <x v="1"/>
    <s v="Delhi Daredevils"/>
    <n v="1"/>
    <n v="8"/>
    <n v="0"/>
    <n v="0"/>
    <n v="4"/>
    <n v="4"/>
    <n v="12.5"/>
    <n v="0.25"/>
  </r>
  <r>
    <x v="14"/>
    <x v="2"/>
    <s v="Chennai Super Kings"/>
    <n v="1"/>
    <n v="7"/>
    <n v="0"/>
    <n v="0"/>
    <n v="2"/>
    <n v="4"/>
    <n v="14.29"/>
    <n v="0.5"/>
  </r>
  <r>
    <x v="14"/>
    <x v="3"/>
    <s v="Sunrisers Hyderabad"/>
    <n v="1"/>
    <n v="1"/>
    <n v="0"/>
    <n v="0"/>
    <n v="0"/>
    <n v="1"/>
    <n v="100"/>
    <m/>
  </r>
  <r>
    <x v="15"/>
    <x v="16"/>
    <s v="Delhi Capitals"/>
    <n v="7"/>
    <n v="6"/>
    <n v="0"/>
    <n v="0"/>
    <n v="1"/>
    <n v="3"/>
    <n v="116.67"/>
    <n v="7"/>
  </r>
  <r>
    <x v="15"/>
    <x v="4"/>
    <s v="Delhi Capitals"/>
    <n v="1"/>
    <n v="6"/>
    <n v="0"/>
    <n v="0"/>
    <n v="0"/>
    <n v="1"/>
    <n v="16.670000000000002"/>
    <m/>
  </r>
  <r>
    <x v="15"/>
    <x v="5"/>
    <s v="Delhi Capitals"/>
    <n v="37"/>
    <n v="29"/>
    <n v="6"/>
    <n v="0"/>
    <n v="2"/>
    <n v="7"/>
    <n v="127.59"/>
    <n v="18.5"/>
  </r>
  <r>
    <x v="15"/>
    <x v="6"/>
    <s v="Delhi Capitals"/>
    <n v="4"/>
    <n v="8"/>
    <n v="0"/>
    <n v="0"/>
    <n v="2"/>
    <n v="2"/>
    <n v="50"/>
    <n v="2"/>
  </r>
  <r>
    <x v="16"/>
    <x v="6"/>
    <s v="Kolkata Knight Riders"/>
    <n v="163"/>
    <n v="105"/>
    <n v="16"/>
    <n v="8"/>
    <n v="7"/>
    <n v="7"/>
    <n v="155.24"/>
    <n v="23.29"/>
  </r>
  <r>
    <x v="16"/>
    <x v="7"/>
    <s v="Kolkata Knight Riders"/>
    <n v="300"/>
    <n v="214"/>
    <n v="30"/>
    <n v="8"/>
    <n v="9"/>
    <n v="11"/>
    <n v="140.19"/>
    <n v="33.33"/>
  </r>
  <r>
    <x v="17"/>
    <x v="9"/>
    <s v="Rajasthan Royals"/>
    <n v="1"/>
    <n v="3"/>
    <n v="0"/>
    <n v="0"/>
    <n v="1"/>
    <n v="2"/>
    <n v="33.33"/>
    <n v="1"/>
  </r>
  <r>
    <x v="17"/>
    <x v="13"/>
    <s v="Rajasthan Royals"/>
    <n v="1"/>
    <n v="4"/>
    <n v="0"/>
    <n v="0"/>
    <n v="2"/>
    <n v="2"/>
    <n v="25"/>
    <n v="0.5"/>
  </r>
  <r>
    <x v="17"/>
    <x v="0"/>
    <s v="Rajasthan Royals"/>
    <n v="0"/>
    <n v="2"/>
    <n v="0"/>
    <n v="0"/>
    <n v="1"/>
    <n v="1"/>
    <n v="0"/>
    <n v="0"/>
  </r>
  <r>
    <x v="18"/>
    <x v="8"/>
    <s v="Deccan Chargers"/>
    <n v="161"/>
    <n v="104"/>
    <n v="15"/>
    <n v="9"/>
    <n v="2"/>
    <n v="3"/>
    <n v="154.81"/>
    <n v="80.5"/>
  </r>
  <r>
    <x v="18"/>
    <x v="9"/>
    <s v="Deccan Chargers"/>
    <n v="249"/>
    <n v="163"/>
    <n v="15"/>
    <n v="11"/>
    <n v="8"/>
    <n v="8"/>
    <n v="152.76"/>
    <n v="31.12"/>
  </r>
  <r>
    <x v="18"/>
    <x v="12"/>
    <s v="Deccan Chargers"/>
    <n v="429"/>
    <n v="340"/>
    <n v="35"/>
    <n v="18"/>
    <n v="13"/>
    <n v="16"/>
    <n v="126.18"/>
    <n v="33"/>
  </r>
  <r>
    <x v="18"/>
    <x v="13"/>
    <s v="Mumbai Indians"/>
    <n v="135"/>
    <n v="138"/>
    <n v="9"/>
    <n v="3"/>
    <n v="3"/>
    <n v="9"/>
    <n v="97.83"/>
    <n v="45"/>
  </r>
  <r>
    <x v="19"/>
    <x v="4"/>
    <s v="Kolkata Knight Riders"/>
    <n v="4"/>
    <n v="8"/>
    <n v="1"/>
    <n v="0"/>
    <n v="1"/>
    <n v="1"/>
    <n v="50"/>
    <n v="4"/>
  </r>
  <r>
    <x v="20"/>
    <x v="12"/>
    <s v="Rajasthan Royals"/>
    <n v="4"/>
    <n v="7"/>
    <n v="0"/>
    <n v="0"/>
    <n v="1"/>
    <n v="2"/>
    <n v="57.14"/>
    <n v="4"/>
  </r>
  <r>
    <x v="21"/>
    <x v="3"/>
    <s v="Rising Pune Supergiants"/>
    <n v="0"/>
    <n v="1"/>
    <n v="0"/>
    <n v="0"/>
    <n v="1"/>
    <n v="1"/>
    <n v="0"/>
    <n v="0"/>
  </r>
  <r>
    <x v="21"/>
    <x v="10"/>
    <s v="Rising Pune Supergiant"/>
    <n v="5"/>
    <n v="7"/>
    <n v="1"/>
    <n v="0"/>
    <n v="1"/>
    <n v="1"/>
    <n v="71.430000000000007"/>
    <n v="5"/>
  </r>
  <r>
    <x v="21"/>
    <x v="5"/>
    <s v="Rajasthan Royals"/>
    <n v="10"/>
    <n v="16"/>
    <n v="0"/>
    <n v="0"/>
    <n v="3"/>
    <n v="3"/>
    <n v="62.5"/>
    <n v="3.33"/>
  </r>
  <r>
    <x v="22"/>
    <x v="9"/>
    <s v="Deccan Chargers"/>
    <n v="67"/>
    <n v="80"/>
    <n v="5"/>
    <n v="0"/>
    <n v="4"/>
    <n v="6"/>
    <n v="83.75"/>
    <n v="16.75"/>
  </r>
  <r>
    <x v="22"/>
    <x v="12"/>
    <s v="Deccan Chargers"/>
    <n v="2"/>
    <n v="4"/>
    <n v="0"/>
    <n v="0"/>
    <n v="1"/>
    <n v="1"/>
    <n v="50"/>
    <n v="2"/>
  </r>
  <r>
    <x v="23"/>
    <x v="13"/>
    <s v="Rajasthan Royals"/>
    <n v="1"/>
    <n v="3"/>
    <n v="0"/>
    <n v="0"/>
    <n v="0"/>
    <n v="1"/>
    <n v="33.33"/>
    <m/>
  </r>
  <r>
    <x v="23"/>
    <x v="0"/>
    <s v="Rajasthan Royals"/>
    <n v="11"/>
    <n v="8"/>
    <n v="2"/>
    <n v="0"/>
    <n v="1"/>
    <n v="2"/>
    <n v="137.5"/>
    <n v="11"/>
  </r>
  <r>
    <x v="24"/>
    <x v="12"/>
    <s v="Rajasthan Royals"/>
    <n v="183"/>
    <n v="166"/>
    <n v="16"/>
    <n v="4"/>
    <n v="10"/>
    <n v="10"/>
    <n v="110.24"/>
    <n v="18.3"/>
  </r>
  <r>
    <x v="24"/>
    <x v="13"/>
    <s v="Pune Warriors"/>
    <n v="10"/>
    <n v="17"/>
    <n v="2"/>
    <n v="0"/>
    <n v="2"/>
    <n v="2"/>
    <n v="58.82"/>
    <n v="5"/>
  </r>
  <r>
    <x v="24"/>
    <x v="0"/>
    <s v="Deccan Chargers"/>
    <n v="24"/>
    <n v="26"/>
    <n v="1"/>
    <n v="1"/>
    <n v="2"/>
    <n v="3"/>
    <n v="92.31"/>
    <n v="12"/>
  </r>
  <r>
    <x v="25"/>
    <x v="6"/>
    <s v="Lucknow Super Giants"/>
    <n v="9"/>
    <n v="8"/>
    <n v="2"/>
    <n v="0"/>
    <n v="2"/>
    <n v="2"/>
    <n v="112.5"/>
    <n v="4.5"/>
  </r>
  <r>
    <x v="26"/>
    <x v="8"/>
    <s v="Royal Challengers Bangalore"/>
    <n v="9"/>
    <n v="10"/>
    <n v="1"/>
    <n v="0"/>
    <n v="1"/>
    <n v="1"/>
    <n v="90"/>
    <n v="9"/>
  </r>
  <r>
    <x v="27"/>
    <x v="8"/>
    <s v="Kolkata Knight Riders"/>
    <n v="54"/>
    <n v="45"/>
    <n v="5"/>
    <n v="2"/>
    <n v="4"/>
    <n v="6"/>
    <n v="120"/>
    <n v="13.5"/>
  </r>
  <r>
    <x v="27"/>
    <x v="9"/>
    <s v="Kolkata Knight Riders"/>
    <n v="66"/>
    <n v="57"/>
    <n v="3"/>
    <n v="3"/>
    <n v="2"/>
    <n v="5"/>
    <n v="115.79"/>
    <n v="33"/>
  </r>
  <r>
    <x v="27"/>
    <x v="12"/>
    <s v="Kolkata Knight Riders"/>
    <n v="40"/>
    <n v="28"/>
    <n v="4"/>
    <n v="0"/>
    <n v="1"/>
    <n v="4"/>
    <n v="142.86000000000001"/>
    <n v="40"/>
  </r>
  <r>
    <x v="27"/>
    <x v="13"/>
    <s v="Delhi Daredevils"/>
    <n v="7"/>
    <n v="5"/>
    <n v="1"/>
    <n v="0"/>
    <n v="0"/>
    <n v="1"/>
    <n v="140"/>
    <m/>
  </r>
  <r>
    <x v="27"/>
    <x v="1"/>
    <s v="Delhi Daredevils"/>
    <n v="12"/>
    <n v="16"/>
    <n v="0"/>
    <n v="0"/>
    <n v="1"/>
    <n v="2"/>
    <n v="75"/>
    <n v="12"/>
  </r>
  <r>
    <x v="28"/>
    <x v="12"/>
    <s v="Kings XI Punjab"/>
    <n v="42"/>
    <n v="42"/>
    <n v="5"/>
    <n v="1"/>
    <n v="2"/>
    <n v="3"/>
    <n v="100"/>
    <n v="21"/>
  </r>
  <r>
    <x v="29"/>
    <x v="8"/>
    <s v="Kolkata Knight Riders"/>
    <n v="2"/>
    <n v="4"/>
    <n v="0"/>
    <n v="0"/>
    <n v="1"/>
    <n v="2"/>
    <n v="50"/>
    <n v="2"/>
  </r>
  <r>
    <x v="29"/>
    <x v="9"/>
    <s v="Kolkata Knight Riders"/>
    <n v="2"/>
    <n v="3"/>
    <n v="0"/>
    <n v="0"/>
    <n v="2"/>
    <n v="2"/>
    <n v="66.67"/>
    <n v="1"/>
  </r>
  <r>
    <x v="29"/>
    <x v="12"/>
    <s v="Kolkata Knight Riders"/>
    <n v="0"/>
    <n v="1"/>
    <n v="0"/>
    <n v="0"/>
    <n v="1"/>
    <n v="1"/>
    <n v="0"/>
    <n v="0"/>
  </r>
  <r>
    <x v="29"/>
    <x v="13"/>
    <s v="Delhi Daredevils"/>
    <n v="0"/>
    <n v="5"/>
    <n v="0"/>
    <n v="0"/>
    <n v="1"/>
    <n v="1"/>
    <n v="0"/>
    <n v="0"/>
  </r>
  <r>
    <x v="29"/>
    <x v="0"/>
    <s v="Pune Warriors"/>
    <n v="2"/>
    <n v="5"/>
    <n v="0"/>
    <n v="0"/>
    <n v="0"/>
    <n v="1"/>
    <n v="40"/>
    <m/>
  </r>
  <r>
    <x v="29"/>
    <x v="1"/>
    <s v="Pune Warriors"/>
    <n v="9"/>
    <n v="11"/>
    <n v="1"/>
    <n v="0"/>
    <n v="2"/>
    <n v="5"/>
    <n v="81.819999999999993"/>
    <n v="4.5"/>
  </r>
  <r>
    <x v="29"/>
    <x v="14"/>
    <s v="Royal Challengers Bangalore"/>
    <n v="4"/>
    <n v="12"/>
    <n v="0"/>
    <n v="0"/>
    <n v="1"/>
    <n v="3"/>
    <n v="33.33"/>
    <n v="4"/>
  </r>
  <r>
    <x v="29"/>
    <x v="10"/>
    <s v="Rising Pune Supergiant"/>
    <n v="7"/>
    <n v="7"/>
    <n v="1"/>
    <n v="0"/>
    <n v="1"/>
    <n v="1"/>
    <n v="100"/>
    <n v="7"/>
  </r>
  <r>
    <x v="30"/>
    <x v="9"/>
    <s v="Delhi Daredevils"/>
    <n v="3"/>
    <n v="4"/>
    <n v="0"/>
    <n v="0"/>
    <n v="1"/>
    <n v="1"/>
    <n v="75"/>
    <n v="3"/>
  </r>
  <r>
    <x v="30"/>
    <x v="12"/>
    <s v="Delhi Daredevils"/>
    <n v="65"/>
    <n v="52"/>
    <n v="3"/>
    <n v="2"/>
    <n v="0"/>
    <n v="3"/>
    <n v="125"/>
    <m/>
  </r>
  <r>
    <x v="30"/>
    <x v="13"/>
    <s v="Delhi Daredevils"/>
    <n v="8"/>
    <n v="7"/>
    <n v="0"/>
    <n v="0"/>
    <n v="1"/>
    <n v="1"/>
    <n v="114.29"/>
    <n v="8"/>
  </r>
  <r>
    <x v="30"/>
    <x v="0"/>
    <s v="Royal Challengers Bangalore"/>
    <n v="47"/>
    <n v="35"/>
    <n v="6"/>
    <n v="2"/>
    <n v="2"/>
    <n v="3"/>
    <n v="134.29"/>
    <n v="23.5"/>
  </r>
  <r>
    <x v="30"/>
    <x v="1"/>
    <s v="Royal Challengers Bangalore"/>
    <n v="0"/>
    <n v="2"/>
    <n v="0"/>
    <n v="0"/>
    <n v="1"/>
    <n v="1"/>
    <n v="0"/>
    <n v="0"/>
  </r>
  <r>
    <x v="31"/>
    <x v="8"/>
    <s v="Delhi Daredevils"/>
    <n v="95"/>
    <n v="98"/>
    <n v="5"/>
    <n v="1"/>
    <n v="4"/>
    <n v="6"/>
    <n v="96.94"/>
    <n v="23.75"/>
  </r>
  <r>
    <x v="31"/>
    <x v="9"/>
    <s v="Delhi Daredevils"/>
    <n v="465"/>
    <n v="354"/>
    <n v="39"/>
    <n v="12"/>
    <n v="9"/>
    <n v="13"/>
    <n v="131.36000000000001"/>
    <n v="51.67"/>
  </r>
  <r>
    <x v="31"/>
    <x v="12"/>
    <s v="Delhi Daredevils"/>
    <n v="111"/>
    <n v="119"/>
    <n v="7"/>
    <n v="0"/>
    <n v="7"/>
    <n v="7"/>
    <n v="93.28"/>
    <n v="15.86"/>
  </r>
  <r>
    <x v="31"/>
    <x v="13"/>
    <s v="Royal Challengers Bangalore"/>
    <n v="312"/>
    <n v="242"/>
    <n v="21"/>
    <n v="14"/>
    <n v="8"/>
    <n v="13"/>
    <n v="128.93"/>
    <n v="39"/>
  </r>
  <r>
    <x v="31"/>
    <x v="0"/>
    <s v="Royal Challengers Bangalore"/>
    <n v="319"/>
    <n v="197"/>
    <n v="26"/>
    <n v="15"/>
    <n v="8"/>
    <n v="13"/>
    <n v="161.93"/>
    <n v="39.880000000000003"/>
  </r>
  <r>
    <x v="31"/>
    <x v="1"/>
    <s v="Royal Challengers Bangalore"/>
    <n v="373"/>
    <n v="223"/>
    <n v="34"/>
    <n v="17"/>
    <n v="10"/>
    <n v="14"/>
    <n v="167.26"/>
    <n v="37.299999999999997"/>
  </r>
  <r>
    <x v="31"/>
    <x v="14"/>
    <s v="Royal Challengers Bangalore"/>
    <n v="395"/>
    <n v="248"/>
    <n v="26"/>
    <n v="24"/>
    <n v="11"/>
    <n v="13"/>
    <n v="159.27000000000001"/>
    <n v="35.909999999999997"/>
  </r>
  <r>
    <x v="31"/>
    <x v="2"/>
    <s v="Royal Challengers Bangalore"/>
    <n v="513"/>
    <n v="291"/>
    <n v="60"/>
    <n v="22"/>
    <n v="8"/>
    <n v="14"/>
    <n v="176.29"/>
    <n v="64.12"/>
  </r>
  <r>
    <x v="31"/>
    <x v="3"/>
    <s v="Royal Challengers Bangalore"/>
    <n v="687"/>
    <n v="405"/>
    <n v="57"/>
    <n v="37"/>
    <n v="13"/>
    <n v="16"/>
    <n v="169.63"/>
    <n v="52.85"/>
  </r>
  <r>
    <x v="31"/>
    <x v="10"/>
    <s v="Royal Challengers Bangalore"/>
    <n v="216"/>
    <n v="163"/>
    <n v="12"/>
    <n v="16"/>
    <n v="7"/>
    <n v="9"/>
    <n v="132.52000000000001"/>
    <n v="30.86"/>
  </r>
  <r>
    <x v="31"/>
    <x v="11"/>
    <s v="Royal Challengers Bangalore"/>
    <n v="480"/>
    <n v="275"/>
    <n v="39"/>
    <n v="30"/>
    <n v="9"/>
    <n v="11"/>
    <n v="174.55"/>
    <n v="53.33"/>
  </r>
  <r>
    <x v="31"/>
    <x v="15"/>
    <s v="Royal Challengers Bangalore"/>
    <n v="442"/>
    <n v="287"/>
    <n v="31"/>
    <n v="26"/>
    <n v="10"/>
    <n v="13"/>
    <n v="154.01"/>
    <n v="44.2"/>
  </r>
  <r>
    <x v="31"/>
    <x v="16"/>
    <s v="Royal Challengers Bangalore"/>
    <n v="460"/>
    <n v="287"/>
    <n v="34"/>
    <n v="23"/>
    <n v="10"/>
    <n v="14"/>
    <n v="160.28"/>
    <n v="46"/>
  </r>
  <r>
    <x v="31"/>
    <x v="17"/>
    <s v="Royal Challengers Bangalore"/>
    <n v="313"/>
    <n v="211"/>
    <n v="23"/>
    <n v="16"/>
    <n v="11"/>
    <n v="14"/>
    <n v="148.34"/>
    <n v="28.45"/>
  </r>
  <r>
    <x v="32"/>
    <x v="13"/>
    <s v="Mumbai Indians"/>
    <n v="120"/>
    <n v="87"/>
    <n v="21"/>
    <n v="2"/>
    <n v="6"/>
    <n v="6"/>
    <n v="137.93"/>
    <n v="20"/>
  </r>
  <r>
    <x v="32"/>
    <x v="0"/>
    <s v="Mumbai Indians"/>
    <n v="0"/>
    <n v="3"/>
    <n v="0"/>
    <n v="0"/>
    <n v="1"/>
    <n v="1"/>
    <n v="0"/>
    <n v="0"/>
  </r>
  <r>
    <x v="33"/>
    <x v="8"/>
    <s v="Deccan Chargers"/>
    <n v="436"/>
    <n v="314"/>
    <n v="51"/>
    <n v="19"/>
    <n v="13"/>
    <n v="14"/>
    <n v="138.85"/>
    <n v="33.54"/>
  </r>
  <r>
    <x v="33"/>
    <x v="9"/>
    <s v="Deccan Chargers"/>
    <n v="495"/>
    <n v="322"/>
    <n v="54"/>
    <n v="29"/>
    <n v="16"/>
    <n v="16"/>
    <n v="153.72999999999999"/>
    <n v="30.94"/>
  </r>
  <r>
    <x v="33"/>
    <x v="12"/>
    <s v="Deccan Chargers"/>
    <n v="289"/>
    <n v="185"/>
    <n v="31"/>
    <n v="16"/>
    <n v="17"/>
    <n v="16"/>
    <n v="156.22"/>
    <n v="17"/>
  </r>
  <r>
    <x v="33"/>
    <x v="13"/>
    <s v="Kings XI Punjab"/>
    <n v="383"/>
    <n v="291"/>
    <n v="41"/>
    <n v="18"/>
    <n v="14"/>
    <n v="14"/>
    <n v="131.62"/>
    <n v="27.36"/>
  </r>
  <r>
    <x v="33"/>
    <x v="0"/>
    <s v="Kings XI Punjab"/>
    <n v="172"/>
    <n v="142"/>
    <n v="21"/>
    <n v="4"/>
    <n v="4"/>
    <n v="7"/>
    <n v="121.13"/>
    <n v="43"/>
  </r>
  <r>
    <x v="33"/>
    <x v="1"/>
    <s v="Kings XI Punjab"/>
    <n v="294"/>
    <n v="229"/>
    <n v="41"/>
    <n v="6"/>
    <n v="12"/>
    <n v="13"/>
    <n v="128.38"/>
    <n v="24.5"/>
  </r>
  <r>
    <x v="34"/>
    <x v="13"/>
    <s v="Pune Warriors"/>
    <n v="1"/>
    <n v="4"/>
    <n v="0"/>
    <n v="0"/>
    <n v="0"/>
    <n v="2"/>
    <n v="25"/>
    <m/>
  </r>
  <r>
    <x v="34"/>
    <x v="0"/>
    <s v="Pune Warriors"/>
    <n v="19"/>
    <n v="15"/>
    <n v="1"/>
    <n v="1"/>
    <n v="2"/>
    <n v="2"/>
    <n v="126.67"/>
    <n v="9.5"/>
  </r>
  <r>
    <x v="35"/>
    <x v="12"/>
    <s v="Rajasthan Royals"/>
    <n v="181"/>
    <n v="143"/>
    <n v="15"/>
    <n v="3"/>
    <n v="6"/>
    <n v="7"/>
    <n v="126.57"/>
    <n v="30.17"/>
  </r>
  <r>
    <x v="36"/>
    <x v="11"/>
    <s v="Sunrisers Hyderabad"/>
    <n v="148"/>
    <n v="117"/>
    <n v="13"/>
    <n v="6"/>
    <n v="6"/>
    <n v="6"/>
    <n v="126.5"/>
    <n v="24.67"/>
  </r>
  <r>
    <x v="37"/>
    <x v="8"/>
    <s v="Rajasthan Royals"/>
    <n v="9"/>
    <n v="8"/>
    <n v="0"/>
    <n v="1"/>
    <n v="1"/>
    <n v="1"/>
    <n v="112.5"/>
    <n v="9"/>
  </r>
  <r>
    <x v="37"/>
    <x v="9"/>
    <s v="Rajasthan Royals"/>
    <n v="39"/>
    <n v="39"/>
    <n v="4"/>
    <n v="0"/>
    <n v="4"/>
    <n v="4"/>
    <n v="100"/>
    <n v="9.75"/>
  </r>
  <r>
    <x v="37"/>
    <x v="12"/>
    <s v="Rajasthan Royals"/>
    <n v="12"/>
    <n v="10"/>
    <n v="0"/>
    <n v="0"/>
    <n v="2"/>
    <n v="2"/>
    <n v="120"/>
    <n v="6"/>
  </r>
  <r>
    <x v="37"/>
    <x v="0"/>
    <s v="Kings XI Punjab"/>
    <n v="14"/>
    <n v="16"/>
    <n v="1"/>
    <n v="0"/>
    <n v="3"/>
    <n v="3"/>
    <n v="87.5"/>
    <n v="4.67"/>
  </r>
  <r>
    <x v="37"/>
    <x v="1"/>
    <s v="Kings XI Punjab"/>
    <n v="5"/>
    <n v="5"/>
    <n v="0"/>
    <n v="0"/>
    <n v="0"/>
    <n v="1"/>
    <n v="100"/>
    <m/>
  </r>
  <r>
    <x v="38"/>
    <x v="9"/>
    <s v="Kolkata Knight Riders"/>
    <n v="16"/>
    <n v="13"/>
    <n v="2"/>
    <n v="0"/>
    <n v="1"/>
    <n v="1"/>
    <n v="123.08"/>
    <n v="16"/>
  </r>
  <r>
    <x v="38"/>
    <x v="12"/>
    <s v="Kolkata Knight Riders"/>
    <n v="233"/>
    <n v="183"/>
    <n v="18"/>
    <n v="8"/>
    <n v="6"/>
    <n v="10"/>
    <n v="127.32"/>
    <n v="38.83"/>
  </r>
  <r>
    <x v="38"/>
    <x v="0"/>
    <s v="Pune Warriors"/>
    <n v="127"/>
    <n v="108"/>
    <n v="5"/>
    <n v="4"/>
    <n v="7"/>
    <n v="8"/>
    <n v="117.59"/>
    <n v="18.14"/>
  </r>
  <r>
    <x v="38"/>
    <x v="1"/>
    <s v="Pune Warriors"/>
    <n v="172"/>
    <n v="139"/>
    <n v="5"/>
    <n v="10"/>
    <n v="8"/>
    <n v="10"/>
    <n v="123.74"/>
    <n v="21.5"/>
  </r>
  <r>
    <x v="38"/>
    <x v="2"/>
    <s v="Delhi Daredevils"/>
    <n v="144"/>
    <n v="103"/>
    <n v="12"/>
    <n v="6"/>
    <n v="7"/>
    <n v="10"/>
    <n v="139.81"/>
    <n v="20.57"/>
  </r>
  <r>
    <x v="38"/>
    <x v="10"/>
    <s v="Delhi Daredevils"/>
    <n v="32"/>
    <n v="27"/>
    <n v="2"/>
    <n v="1"/>
    <n v="2"/>
    <n v="2"/>
    <n v="118.52"/>
    <n v="16"/>
  </r>
  <r>
    <x v="39"/>
    <x v="3"/>
    <s v="Gujarat Lions"/>
    <n v="20"/>
    <n v="27"/>
    <n v="1"/>
    <n v="0"/>
    <n v="3"/>
    <n v="3"/>
    <n v="74.069999999999993"/>
    <n v="6.67"/>
  </r>
  <r>
    <x v="39"/>
    <x v="10"/>
    <s v="Gujarat Lions"/>
    <n v="0"/>
    <n v="1"/>
    <n v="0"/>
    <n v="0"/>
    <n v="1"/>
    <n v="1"/>
    <n v="0"/>
    <n v="0"/>
  </r>
  <r>
    <x v="39"/>
    <x v="11"/>
    <s v="Kings XI Punjab"/>
    <n v="9"/>
    <n v="13"/>
    <n v="1"/>
    <n v="0"/>
    <n v="1"/>
    <n v="1"/>
    <n v="69.23"/>
    <n v="9"/>
  </r>
  <r>
    <x v="39"/>
    <x v="15"/>
    <s v="Royal Challengers Bangalore"/>
    <n v="61"/>
    <n v="57"/>
    <n v="5"/>
    <n v="2"/>
    <n v="5"/>
    <n v="5"/>
    <n v="107.02"/>
    <n v="12.2"/>
  </r>
  <r>
    <x v="40"/>
    <x v="0"/>
    <s v="Delhi Daredevils"/>
    <n v="47"/>
    <n v="26"/>
    <n v="3"/>
    <n v="3"/>
    <n v="2"/>
    <n v="2"/>
    <n v="180.77"/>
    <n v="23.5"/>
  </r>
  <r>
    <x v="40"/>
    <x v="1"/>
    <s v="Delhi Daredevils"/>
    <n v="11"/>
    <n v="14"/>
    <n v="0"/>
    <n v="0"/>
    <n v="2"/>
    <n v="2"/>
    <n v="78.569999999999993"/>
    <n v="5.5"/>
  </r>
  <r>
    <x v="40"/>
    <x v="14"/>
    <s v="Kolkata Knight Riders"/>
    <n v="2"/>
    <n v="8"/>
    <n v="0"/>
    <n v="0"/>
    <n v="2"/>
    <n v="2"/>
    <n v="25"/>
    <n v="1"/>
  </r>
  <r>
    <x v="40"/>
    <x v="2"/>
    <s v="Kolkata Knight Riders"/>
    <n v="326"/>
    <n v="169"/>
    <n v="35"/>
    <n v="19"/>
    <n v="7"/>
    <n v="11"/>
    <n v="192.9"/>
    <n v="46.57"/>
  </r>
  <r>
    <x v="40"/>
    <x v="3"/>
    <s v="Kolkata Knight Riders"/>
    <n v="188"/>
    <n v="114"/>
    <n v="10"/>
    <n v="15"/>
    <n v="7"/>
    <n v="8"/>
    <n v="164.91"/>
    <n v="26.86"/>
  </r>
  <r>
    <x v="40"/>
    <x v="11"/>
    <s v="Kolkata Knight Riders"/>
    <n v="316"/>
    <n v="170"/>
    <n v="17"/>
    <n v="31"/>
    <n v="12"/>
    <n v="14"/>
    <n v="185.88"/>
    <n v="26.33"/>
  </r>
  <r>
    <x v="40"/>
    <x v="15"/>
    <s v="Kolkata Knight Riders"/>
    <n v="514"/>
    <n v="249"/>
    <n v="32"/>
    <n v="52"/>
    <n v="10"/>
    <n v="13"/>
    <n v="206.43"/>
    <n v="51.4"/>
  </r>
  <r>
    <x v="40"/>
    <x v="16"/>
    <s v="Kolkata Knight Riders"/>
    <n v="117"/>
    <n v="79"/>
    <n v="9"/>
    <n v="9"/>
    <n v="9"/>
    <n v="9"/>
    <n v="148.1"/>
    <n v="13"/>
  </r>
  <r>
    <x v="40"/>
    <x v="17"/>
    <s v="Kolkata Knight Riders"/>
    <n v="183"/>
    <n v="117"/>
    <n v="14"/>
    <n v="14"/>
    <n v="6"/>
    <n v="8"/>
    <n v="156.41"/>
    <n v="30.5"/>
  </r>
  <r>
    <x v="40"/>
    <x v="4"/>
    <s v="Kolkata Knight Riders"/>
    <n v="335"/>
    <n v="189"/>
    <n v="18"/>
    <n v="32"/>
    <n v="9"/>
    <n v="12"/>
    <n v="177.25"/>
    <n v="37.22"/>
  </r>
  <r>
    <x v="40"/>
    <x v="5"/>
    <s v="Kolkata Knight Riders"/>
    <n v="227"/>
    <n v="155"/>
    <n v="13"/>
    <n v="18"/>
    <n v="12"/>
    <n v="14"/>
    <n v="146.44999999999999"/>
    <n v="18.920000000000002"/>
  </r>
  <r>
    <x v="40"/>
    <x v="6"/>
    <s v="Kolkata Knight Riders"/>
    <n v="222"/>
    <n v="116"/>
    <n v="20"/>
    <n v="16"/>
    <n v="6"/>
    <n v="9"/>
    <n v="191.38"/>
    <n v="37"/>
  </r>
  <r>
    <x v="40"/>
    <x v="7"/>
    <s v="Kolkata Knight Riders"/>
    <n v="167"/>
    <n v="102"/>
    <n v="16"/>
    <n v="14"/>
    <n v="8"/>
    <n v="10"/>
    <n v="163.72999999999999"/>
    <n v="20.88"/>
  </r>
  <r>
    <x v="41"/>
    <x v="10"/>
    <s v="Royal Challengers Bangalore"/>
    <n v="7"/>
    <n v="12"/>
    <n v="0"/>
    <n v="0"/>
    <n v="3"/>
    <n v="3"/>
    <n v="58.33"/>
    <n v="2.33"/>
  </r>
  <r>
    <x v="41"/>
    <x v="17"/>
    <s v="Mumbai Indians"/>
    <n v="16"/>
    <n v="17"/>
    <n v="0"/>
    <n v="1"/>
    <n v="2"/>
    <n v="3"/>
    <n v="94.12"/>
    <n v="8"/>
  </r>
  <r>
    <x v="42"/>
    <x v="13"/>
    <s v="Mumbai Indians"/>
    <n v="2"/>
    <n v="5"/>
    <n v="0"/>
    <n v="0"/>
    <n v="0"/>
    <n v="1"/>
    <n v="40"/>
    <m/>
  </r>
  <r>
    <x v="42"/>
    <x v="0"/>
    <s v="Pune Warriors"/>
    <n v="3"/>
    <n v="5"/>
    <n v="0"/>
    <n v="0"/>
    <n v="0"/>
    <n v="1"/>
    <n v="60"/>
    <m/>
  </r>
  <r>
    <x v="42"/>
    <x v="1"/>
    <s v="Pune Warriors"/>
    <n v="5"/>
    <n v="4"/>
    <n v="1"/>
    <n v="0"/>
    <n v="1"/>
    <n v="1"/>
    <n v="125"/>
    <n v="5"/>
  </r>
  <r>
    <x v="43"/>
    <x v="12"/>
    <s v="Rajasthan Royals"/>
    <n v="0"/>
    <n v="1"/>
    <n v="0"/>
    <n v="0"/>
    <n v="1"/>
    <n v="1"/>
    <n v="0"/>
    <n v="0"/>
  </r>
  <r>
    <x v="43"/>
    <x v="13"/>
    <s v="Rajasthan Royals"/>
    <n v="49"/>
    <n v="54"/>
    <n v="9"/>
    <n v="0"/>
    <n v="4"/>
    <n v="4"/>
    <n v="90.74"/>
    <n v="12.25"/>
  </r>
  <r>
    <x v="44"/>
    <x v="12"/>
    <s v="Rajasthan Royals"/>
    <n v="21"/>
    <n v="21"/>
    <n v="0"/>
    <n v="1"/>
    <n v="1"/>
    <n v="1"/>
    <n v="100"/>
    <n v="21"/>
  </r>
  <r>
    <x v="44"/>
    <x v="13"/>
    <s v="Delhi Daredevils"/>
    <n v="47"/>
    <n v="46"/>
    <n v="3"/>
    <n v="3"/>
    <n v="7"/>
    <n v="6"/>
    <n v="102.17"/>
    <n v="6.71"/>
  </r>
  <r>
    <x v="44"/>
    <x v="0"/>
    <s v="Delhi Daredevils"/>
    <n v="55"/>
    <n v="51"/>
    <n v="8"/>
    <n v="0"/>
    <n v="2"/>
    <n v="2"/>
    <n v="107.84"/>
    <n v="27.5"/>
  </r>
  <r>
    <x v="44"/>
    <x v="1"/>
    <s v="Pune Warriors"/>
    <n v="456"/>
    <n v="335"/>
    <n v="54"/>
    <n v="16"/>
    <n v="14"/>
    <n v="14"/>
    <n v="136.12"/>
    <n v="32.57"/>
  </r>
  <r>
    <x v="44"/>
    <x v="14"/>
    <s v="Sunrisers Hyderabad"/>
    <n v="309"/>
    <n v="261"/>
    <n v="31"/>
    <n v="9"/>
    <n v="11"/>
    <n v="13"/>
    <n v="118.39"/>
    <n v="28.09"/>
  </r>
  <r>
    <x v="44"/>
    <x v="2"/>
    <s v="Mumbai Indians"/>
    <n v="23"/>
    <n v="33"/>
    <n v="4"/>
    <n v="0"/>
    <n v="3"/>
    <n v="3"/>
    <n v="69.7"/>
    <n v="7.67"/>
  </r>
  <r>
    <x v="44"/>
    <x v="3"/>
    <s v="Gujarat Lions"/>
    <n v="393"/>
    <n v="297"/>
    <n v="45"/>
    <n v="11"/>
    <n v="8"/>
    <n v="12"/>
    <n v="132.32"/>
    <n v="49.12"/>
  </r>
  <r>
    <x v="44"/>
    <x v="10"/>
    <s v="Gujarat Lions"/>
    <n v="300"/>
    <n v="182"/>
    <n v="25"/>
    <n v="19"/>
    <n v="12"/>
    <n v="13"/>
    <n v="164.84"/>
    <n v="25"/>
  </r>
  <r>
    <x v="44"/>
    <x v="11"/>
    <s v="Kings XI Punjab"/>
    <n v="134"/>
    <n v="100"/>
    <n v="6"/>
    <n v="8"/>
    <n v="8"/>
    <n v="9"/>
    <n v="134"/>
    <n v="16.75"/>
  </r>
  <r>
    <x v="44"/>
    <x v="16"/>
    <s v="Royal Challengers Bangalore"/>
    <n v="268"/>
    <n v="239"/>
    <n v="28"/>
    <n v="8"/>
    <n v="12"/>
    <n v="12"/>
    <n v="112.13"/>
    <n v="22.33"/>
  </r>
  <r>
    <x v="44"/>
    <x v="4"/>
    <s v="Kolkata Knight Riders"/>
    <n v="86"/>
    <n v="61"/>
    <n v="10"/>
    <n v="3"/>
    <n v="6"/>
    <n v="5"/>
    <n v="140.97999999999999"/>
    <n v="14.33"/>
  </r>
  <r>
    <x v="45"/>
    <x v="5"/>
    <s v="Sunrisers Hyderabad"/>
    <n v="16"/>
    <n v="10"/>
    <n v="1"/>
    <n v="1"/>
    <n v="0"/>
    <n v="1"/>
    <n v="160"/>
    <m/>
  </r>
  <r>
    <x v="46"/>
    <x v="15"/>
    <s v="Rajasthan Royals"/>
    <n v="3"/>
    <n v="10"/>
    <n v="0"/>
    <n v="0"/>
    <n v="3"/>
    <n v="4"/>
    <n v="30"/>
    <n v="1"/>
  </r>
  <r>
    <x v="46"/>
    <x v="6"/>
    <s v="Lucknow Super Giants"/>
    <n v="21"/>
    <n v="18"/>
    <n v="0"/>
    <n v="2"/>
    <n v="2"/>
    <n v="2"/>
    <n v="116.67"/>
    <n v="10.5"/>
  </r>
  <r>
    <x v="47"/>
    <x v="10"/>
    <s v="Gujarat Lions"/>
    <n v="53"/>
    <n v="29"/>
    <n v="4"/>
    <n v="3"/>
    <n v="1"/>
    <n v="3"/>
    <n v="182.76"/>
    <n v="53"/>
  </r>
  <r>
    <x v="47"/>
    <x v="11"/>
    <s v="Kings XI Punjab"/>
    <n v="32"/>
    <n v="38"/>
    <n v="2"/>
    <n v="1"/>
    <n v="6"/>
    <n v="8"/>
    <n v="84.21"/>
    <n v="5.33"/>
  </r>
  <r>
    <x v="47"/>
    <x v="15"/>
    <s v="Kings XI Punjab"/>
    <n v="0"/>
    <n v="2"/>
    <n v="0"/>
    <n v="0"/>
    <n v="0"/>
    <n v="1"/>
    <n v="0"/>
    <m/>
  </r>
  <r>
    <x v="47"/>
    <x v="16"/>
    <s v="Rajasthan Royals"/>
    <n v="6"/>
    <n v="6"/>
    <n v="0"/>
    <n v="1"/>
    <n v="1"/>
    <n v="1"/>
    <n v="100"/>
    <n v="6"/>
  </r>
  <r>
    <x v="48"/>
    <x v="17"/>
    <s v="Punjab Kings"/>
    <n v="146"/>
    <n v="119"/>
    <n v="12"/>
    <n v="4"/>
    <n v="5"/>
    <n v="6"/>
    <n v="122.69"/>
    <n v="29.2"/>
  </r>
  <r>
    <x v="48"/>
    <x v="4"/>
    <s v="Sunrisers Hyderabad"/>
    <n v="381"/>
    <n v="273"/>
    <n v="25"/>
    <n v="19"/>
    <n v="8"/>
    <n v="12"/>
    <n v="139.56"/>
    <n v="47.62"/>
  </r>
  <r>
    <x v="48"/>
    <x v="5"/>
    <s v="Sunrisers Hyderabad"/>
    <n v="248"/>
    <n v="197"/>
    <n v="18"/>
    <n v="8"/>
    <n v="11"/>
    <n v="13"/>
    <n v="125.89"/>
    <n v="22.55"/>
  </r>
  <r>
    <x v="48"/>
    <x v="6"/>
    <s v="Sunrisers Hyderabad"/>
    <n v="220"/>
    <n v="175"/>
    <n v="18"/>
    <n v="4"/>
    <n v="9"/>
    <n v="11"/>
    <n v="125.71"/>
    <n v="24.44"/>
  </r>
  <r>
    <x v="48"/>
    <x v="7"/>
    <s v="Lucknow Super Giants"/>
    <n v="445"/>
    <n v="298"/>
    <n v="38"/>
    <n v="22"/>
    <n v="13"/>
    <n v="13"/>
    <n v="149.33000000000001"/>
    <n v="34.229999999999997"/>
  </r>
  <r>
    <x v="49"/>
    <x v="13"/>
    <s v="Rajasthan Royals"/>
    <n v="180"/>
    <n v="152"/>
    <n v="10"/>
    <n v="10"/>
    <n v="10"/>
    <n v="10"/>
    <n v="118.42"/>
    <n v="18"/>
  </r>
  <r>
    <x v="49"/>
    <x v="0"/>
    <s v="Rajasthan Royals"/>
    <n v="220"/>
    <n v="200"/>
    <n v="14"/>
    <n v="8"/>
    <n v="11"/>
    <n v="12"/>
    <n v="110"/>
    <n v="20"/>
  </r>
  <r>
    <x v="49"/>
    <x v="1"/>
    <s v="Rajasthan Royals"/>
    <n v="1"/>
    <n v="2"/>
    <n v="0"/>
    <n v="0"/>
    <n v="1"/>
    <n v="1"/>
    <n v="50"/>
    <n v="1"/>
  </r>
  <r>
    <x v="50"/>
    <x v="8"/>
    <s v="Mumbai Indians"/>
    <n v="206"/>
    <n v="137"/>
    <n v="16"/>
    <n v="9"/>
    <n v="8"/>
    <n v="10"/>
    <n v="150.36000000000001"/>
    <n v="25.75"/>
  </r>
  <r>
    <x v="50"/>
    <x v="9"/>
    <s v="Mumbai Indians"/>
    <n v="193"/>
    <n v="151"/>
    <n v="14"/>
    <n v="7"/>
    <n v="10"/>
    <n v="11"/>
    <n v="127.81"/>
    <n v="19.3"/>
  </r>
  <r>
    <x v="50"/>
    <x v="12"/>
    <s v="Mumbai Indians"/>
    <n v="58"/>
    <n v="51"/>
    <n v="4"/>
    <n v="2"/>
    <n v="2"/>
    <n v="3"/>
    <n v="113.73"/>
    <n v="29"/>
  </r>
  <r>
    <x v="50"/>
    <x v="13"/>
    <s v="Kings XI Punjab"/>
    <n v="61"/>
    <n v="66"/>
    <n v="9"/>
    <n v="0"/>
    <n v="6"/>
    <n v="9"/>
    <n v="92.42"/>
    <n v="10.17"/>
  </r>
  <r>
    <x v="50"/>
    <x v="0"/>
    <s v="Kings XI Punjab"/>
    <n v="45"/>
    <n v="49"/>
    <n v="2"/>
    <n v="1"/>
    <n v="2"/>
    <n v="4"/>
    <n v="91.84"/>
    <n v="22.5"/>
  </r>
  <r>
    <x v="50"/>
    <x v="1"/>
    <s v="Pune Warriors"/>
    <n v="66"/>
    <n v="73"/>
    <n v="5"/>
    <n v="0"/>
    <n v="7"/>
    <n v="9"/>
    <n v="90.41"/>
    <n v="9.43"/>
  </r>
  <r>
    <x v="50"/>
    <x v="14"/>
    <s v="Rajasthan Royals"/>
    <n v="43"/>
    <n v="46"/>
    <n v="5"/>
    <n v="1"/>
    <n v="4"/>
    <n v="4"/>
    <n v="93.48"/>
    <n v="10.75"/>
  </r>
  <r>
    <x v="51"/>
    <x v="8"/>
    <s v="Mumbai Indians"/>
    <n v="4"/>
    <n v="17"/>
    <n v="1"/>
    <n v="0"/>
    <n v="2"/>
    <n v="2"/>
    <n v="23.53"/>
    <n v="2"/>
  </r>
  <r>
    <x v="51"/>
    <x v="9"/>
    <s v="Mumbai Indians"/>
    <n v="144"/>
    <n v="121"/>
    <n v="12"/>
    <n v="3"/>
    <n v="6"/>
    <n v="7"/>
    <n v="119.01"/>
    <n v="24"/>
  </r>
  <r>
    <x v="51"/>
    <x v="13"/>
    <s v="Rajasthan Royals"/>
    <n v="120"/>
    <n v="98"/>
    <n v="12"/>
    <n v="2"/>
    <n v="5"/>
    <n v="7"/>
    <n v="122.45"/>
    <n v="24"/>
  </r>
  <r>
    <x v="51"/>
    <x v="0"/>
    <s v="Rajasthan Royals"/>
    <n v="560"/>
    <n v="433"/>
    <n v="73"/>
    <n v="10"/>
    <n v="14"/>
    <n v="16"/>
    <n v="129.33000000000001"/>
    <n v="40"/>
  </r>
  <r>
    <x v="51"/>
    <x v="1"/>
    <s v="Rajasthan Royals"/>
    <n v="488"/>
    <n v="458"/>
    <n v="42"/>
    <n v="11"/>
    <n v="15"/>
    <n v="18"/>
    <n v="106.55"/>
    <n v="32.53"/>
  </r>
  <r>
    <x v="51"/>
    <x v="14"/>
    <s v="Rajasthan Royals"/>
    <n v="339"/>
    <n v="291"/>
    <n v="38"/>
    <n v="3"/>
    <n v="10"/>
    <n v="12"/>
    <n v="116.49"/>
    <n v="33.9"/>
  </r>
  <r>
    <x v="51"/>
    <x v="2"/>
    <s v="Rajasthan Royals"/>
    <n v="540"/>
    <n v="412"/>
    <n v="53"/>
    <n v="13"/>
    <n v="11"/>
    <n v="13"/>
    <n v="131.07"/>
    <n v="49.09"/>
  </r>
  <r>
    <x v="51"/>
    <x v="3"/>
    <s v="Rising Pune Supergiants"/>
    <n v="480"/>
    <n v="378"/>
    <n v="54"/>
    <n v="9"/>
    <n v="13"/>
    <n v="14"/>
    <n v="126.98"/>
    <n v="36.92"/>
  </r>
  <r>
    <x v="51"/>
    <x v="10"/>
    <s v="Rising Pune Supergiant"/>
    <n v="382"/>
    <n v="323"/>
    <n v="35"/>
    <n v="9"/>
    <n v="15"/>
    <n v="16"/>
    <n v="118.27"/>
    <n v="25.47"/>
  </r>
  <r>
    <x v="51"/>
    <x v="11"/>
    <s v="Rajasthan Royals"/>
    <n v="370"/>
    <n v="313"/>
    <n v="39"/>
    <n v="5"/>
    <n v="13"/>
    <n v="14"/>
    <n v="118.21"/>
    <n v="28.46"/>
  </r>
  <r>
    <x v="51"/>
    <x v="15"/>
    <s v="Rajasthan Royals"/>
    <n v="393"/>
    <n v="285"/>
    <n v="45"/>
    <n v="9"/>
    <n v="13"/>
    <n v="13"/>
    <n v="137.88999999999999"/>
    <n v="30.23"/>
  </r>
  <r>
    <x v="51"/>
    <x v="16"/>
    <s v="Delhi Capitals"/>
    <n v="113"/>
    <n v="107"/>
    <n v="12"/>
    <n v="2"/>
    <n v="8"/>
    <n v="8"/>
    <n v="105.61"/>
    <n v="14.12"/>
  </r>
  <r>
    <x v="51"/>
    <x v="17"/>
    <s v="Delhi Capitals"/>
    <n v="8"/>
    <n v="8"/>
    <n v="1"/>
    <n v="0"/>
    <n v="1"/>
    <n v="1"/>
    <n v="100"/>
    <n v="8"/>
  </r>
  <r>
    <x v="51"/>
    <x v="4"/>
    <s v="Kolkata Knight Riders"/>
    <n v="133"/>
    <n v="128"/>
    <n v="14"/>
    <n v="4"/>
    <n v="7"/>
    <n v="7"/>
    <n v="103.91"/>
    <n v="19"/>
  </r>
  <r>
    <x v="51"/>
    <x v="5"/>
    <s v="Chennai Super Kings"/>
    <n v="326"/>
    <n v="189"/>
    <n v="24"/>
    <n v="16"/>
    <n v="10"/>
    <n v="11"/>
    <n v="172.49"/>
    <n v="32.6"/>
  </r>
  <r>
    <x v="51"/>
    <x v="6"/>
    <s v="Chennai Super Kings"/>
    <n v="242"/>
    <n v="196"/>
    <n v="24"/>
    <n v="7"/>
    <n v="13"/>
    <n v="12"/>
    <n v="123.47"/>
    <n v="18.62"/>
  </r>
  <r>
    <x v="51"/>
    <x v="7"/>
    <s v="Kolkata Knight Riders"/>
    <n v="390"/>
    <n v="264"/>
    <n v="36"/>
    <n v="20"/>
    <n v="11"/>
    <n v="12"/>
    <n v="147.72999999999999"/>
    <n v="35.450000000000003"/>
  </r>
  <r>
    <x v="52"/>
    <x v="12"/>
    <s v="Mumbai Indians"/>
    <n v="4"/>
    <n v="7"/>
    <n v="0"/>
    <n v="0"/>
    <n v="0"/>
    <n v="1"/>
    <n v="57.14"/>
    <m/>
  </r>
  <r>
    <x v="52"/>
    <x v="13"/>
    <s v="Mumbai Indians"/>
    <n v="18"/>
    <n v="13"/>
    <n v="1"/>
    <n v="1"/>
    <n v="0"/>
    <n v="1"/>
    <n v="138.46"/>
    <m/>
  </r>
  <r>
    <x v="52"/>
    <x v="14"/>
    <s v="Royal Challengers Bangalore"/>
    <n v="4"/>
    <n v="1"/>
    <n v="1"/>
    <n v="0"/>
    <n v="0"/>
    <n v="1"/>
    <n v="400"/>
    <m/>
  </r>
  <r>
    <x v="52"/>
    <x v="2"/>
    <s v="Royal Challengers Bangalore"/>
    <n v="10"/>
    <n v="5"/>
    <n v="2"/>
    <n v="0"/>
    <n v="1"/>
    <n v="3"/>
    <n v="200"/>
    <n v="10"/>
  </r>
  <r>
    <x v="53"/>
    <x v="9"/>
    <s v="Kolkata Knight Riders"/>
    <n v="7"/>
    <n v="8"/>
    <n v="1"/>
    <n v="0"/>
    <n v="2"/>
    <n v="2"/>
    <n v="87.5"/>
    <n v="3.5"/>
  </r>
  <r>
    <x v="54"/>
    <x v="12"/>
    <s v="Rajasthan Royals"/>
    <n v="34"/>
    <n v="22"/>
    <n v="3"/>
    <n v="1"/>
    <n v="2"/>
    <n v="2"/>
    <n v="154.55000000000001"/>
    <n v="17"/>
  </r>
  <r>
    <x v="55"/>
    <x v="0"/>
    <s v="Pune Warriors"/>
    <n v="87"/>
    <n v="76"/>
    <n v="7"/>
    <n v="2"/>
    <n v="4"/>
    <n v="4"/>
    <n v="114.47"/>
    <n v="21.75"/>
  </r>
  <r>
    <x v="56"/>
    <x v="12"/>
    <s v="Mumbai Indians"/>
    <n v="50"/>
    <n v="36"/>
    <n v="5"/>
    <n v="3"/>
    <n v="4"/>
    <n v="4"/>
    <n v="138.88999999999999"/>
    <n v="12.5"/>
  </r>
  <r>
    <x v="56"/>
    <x v="1"/>
    <s v="Mumbai Indians"/>
    <n v="123"/>
    <n v="84"/>
    <n v="14"/>
    <n v="5"/>
    <n v="5"/>
    <n v="5"/>
    <n v="146.43"/>
    <n v="24.6"/>
  </r>
  <r>
    <x v="56"/>
    <x v="14"/>
    <s v="Mumbai Indians"/>
    <n v="126"/>
    <n v="97"/>
    <n v="16"/>
    <n v="3"/>
    <n v="8"/>
    <n v="11"/>
    <n v="129.9"/>
    <n v="15.75"/>
  </r>
  <r>
    <x v="56"/>
    <x v="2"/>
    <s v="Mumbai Indians"/>
    <n v="14"/>
    <n v="17"/>
    <n v="1"/>
    <n v="0"/>
    <n v="2"/>
    <n v="2"/>
    <n v="82.35"/>
    <n v="7"/>
  </r>
  <r>
    <x v="56"/>
    <x v="3"/>
    <s v="Sunrisers Hyderabad"/>
    <n v="8"/>
    <n v="15"/>
    <n v="1"/>
    <n v="0"/>
    <n v="2"/>
    <n v="2"/>
    <n v="53.33"/>
    <n v="4"/>
  </r>
  <r>
    <x v="56"/>
    <x v="10"/>
    <s v="Delhi Daredevils"/>
    <n v="18"/>
    <n v="23"/>
    <n v="3"/>
    <n v="0"/>
    <n v="3"/>
    <n v="3"/>
    <n v="78.260000000000005"/>
    <n v="6"/>
  </r>
  <r>
    <x v="57"/>
    <x v="10"/>
    <s v="Delhi Daredevils"/>
    <n v="12"/>
    <n v="12"/>
    <n v="1"/>
    <n v="0"/>
    <n v="0"/>
    <n v="1"/>
    <n v="100"/>
    <m/>
  </r>
  <r>
    <x v="58"/>
    <x v="14"/>
    <s v="Kings XI Punjab"/>
    <n v="62"/>
    <n v="60"/>
    <n v="6"/>
    <n v="1"/>
    <n v="5"/>
    <n v="7"/>
    <n v="103.33"/>
    <n v="12.4"/>
  </r>
  <r>
    <x v="58"/>
    <x v="2"/>
    <s v="Kings XI Punjab"/>
    <n v="206"/>
    <n v="174"/>
    <n v="13"/>
    <n v="8"/>
    <n v="10"/>
    <n v="12"/>
    <n v="118.39"/>
    <n v="20.6"/>
  </r>
  <r>
    <x v="58"/>
    <x v="3"/>
    <s v="Kings XI Punjab"/>
    <n v="111"/>
    <n v="77"/>
    <n v="4"/>
    <n v="8"/>
    <n v="6"/>
    <n v="10"/>
    <n v="144.16"/>
    <n v="18.5"/>
  </r>
  <r>
    <x v="58"/>
    <x v="10"/>
    <s v="Kings XI Punjab"/>
    <n v="227"/>
    <n v="162"/>
    <n v="11"/>
    <n v="11"/>
    <n v="8"/>
    <n v="13"/>
    <n v="140.12"/>
    <n v="28.38"/>
  </r>
  <r>
    <x v="58"/>
    <x v="11"/>
    <s v="Kings XI Punjab"/>
    <n v="80"/>
    <n v="69"/>
    <n v="3"/>
    <n v="4"/>
    <n v="7"/>
    <n v="8"/>
    <n v="115.94"/>
    <n v="11.43"/>
  </r>
  <r>
    <x v="58"/>
    <x v="15"/>
    <s v="Delhi Capitals"/>
    <n v="110"/>
    <n v="87"/>
    <n v="10"/>
    <n v="3"/>
    <n v="7"/>
    <n v="12"/>
    <n v="126.44"/>
    <n v="15.71"/>
  </r>
  <r>
    <x v="58"/>
    <x v="16"/>
    <s v="Delhi Capitals"/>
    <n v="117"/>
    <n v="83"/>
    <n v="6"/>
    <n v="8"/>
    <n v="8"/>
    <n v="9"/>
    <n v="140.96"/>
    <n v="14.62"/>
  </r>
  <r>
    <x v="58"/>
    <x v="17"/>
    <s v="Delhi Capitals"/>
    <n v="40"/>
    <n v="46"/>
    <n v="2"/>
    <n v="1"/>
    <n v="5"/>
    <n v="6"/>
    <n v="86.96"/>
    <n v="8"/>
  </r>
  <r>
    <x v="58"/>
    <x v="4"/>
    <s v="Delhi Capitals"/>
    <n v="182"/>
    <n v="120"/>
    <n v="12"/>
    <n v="10"/>
    <n v="3"/>
    <n v="10"/>
    <n v="151.66999999999999"/>
    <n v="60.67"/>
  </r>
  <r>
    <x v="58"/>
    <x v="5"/>
    <s v="Delhi Capitals"/>
    <n v="283"/>
    <n v="201"/>
    <n v="21"/>
    <n v="15"/>
    <n v="10"/>
    <n v="13"/>
    <n v="140.80000000000001"/>
    <n v="28.3"/>
  </r>
  <r>
    <x v="58"/>
    <x v="6"/>
    <s v="Delhi Capitals"/>
    <n v="235"/>
    <n v="179"/>
    <n v="19"/>
    <n v="10"/>
    <n v="9"/>
    <n v="12"/>
    <n v="131.28"/>
    <n v="26.11"/>
  </r>
  <r>
    <x v="58"/>
    <x v="7"/>
    <s v="Delhi Capitals"/>
    <n v="263"/>
    <n v="167"/>
    <n v="23"/>
    <n v="15"/>
    <n v="10"/>
    <n v="11"/>
    <n v="157.49"/>
    <n v="26.3"/>
  </r>
  <r>
    <x v="59"/>
    <x v="15"/>
    <s v="Mumbai Indians"/>
    <n v="15"/>
    <n v="13"/>
    <n v="2"/>
    <n v="0"/>
    <n v="0"/>
    <n v="1"/>
    <n v="115.38"/>
    <m/>
  </r>
  <r>
    <x v="59"/>
    <x v="4"/>
    <s v="Gujarat Titans"/>
    <n v="5"/>
    <n v="7"/>
    <n v="0"/>
    <n v="0"/>
    <n v="1"/>
    <n v="3"/>
    <n v="71.430000000000007"/>
    <n v="5"/>
  </r>
  <r>
    <x v="59"/>
    <x v="5"/>
    <s v="Gujarat Titans"/>
    <n v="7"/>
    <n v="12"/>
    <n v="1"/>
    <n v="0"/>
    <n v="0"/>
    <n v="1"/>
    <n v="58.33"/>
    <m/>
  </r>
  <r>
    <x v="60"/>
    <x v="1"/>
    <s v="Chennai Super Kings"/>
    <n v="2"/>
    <n v="6"/>
    <n v="0"/>
    <n v="0"/>
    <n v="0"/>
    <n v="1"/>
    <n v="33.33"/>
    <m/>
  </r>
  <r>
    <x v="60"/>
    <x v="10"/>
    <s v="Kolkata Knight Riders"/>
    <n v="4"/>
    <n v="7"/>
    <n v="1"/>
    <n v="0"/>
    <n v="1"/>
    <n v="1"/>
    <n v="57.14"/>
    <n v="4"/>
  </r>
  <r>
    <x v="60"/>
    <x v="11"/>
    <s v="Kings XI Punjab"/>
    <n v="11"/>
    <n v="18"/>
    <n v="1"/>
    <n v="0"/>
    <n v="2"/>
    <n v="3"/>
    <n v="61.11"/>
    <n v="5.5"/>
  </r>
  <r>
    <x v="60"/>
    <x v="16"/>
    <s v="Rajasthan Royals"/>
    <n v="9"/>
    <n v="10"/>
    <n v="0"/>
    <n v="1"/>
    <n v="1"/>
    <n v="2"/>
    <n v="90"/>
    <n v="9"/>
  </r>
  <r>
    <x v="61"/>
    <x v="9"/>
    <s v="Rajasthan Royals"/>
    <n v="78"/>
    <n v="61"/>
    <n v="5"/>
    <n v="3"/>
    <n v="5"/>
    <n v="7"/>
    <n v="127.87"/>
    <n v="15.6"/>
  </r>
  <r>
    <x v="61"/>
    <x v="12"/>
    <s v="Rajasthan Royals"/>
    <n v="56"/>
    <n v="48"/>
    <n v="3"/>
    <n v="3"/>
    <n v="2"/>
    <n v="5"/>
    <n v="116.67"/>
    <n v="28"/>
  </r>
  <r>
    <x v="61"/>
    <x v="13"/>
    <s v="Rajasthan Royals"/>
    <n v="60"/>
    <n v="58"/>
    <n v="5"/>
    <n v="1"/>
    <n v="4"/>
    <n v="4"/>
    <n v="103.45"/>
    <n v="15"/>
  </r>
  <r>
    <x v="62"/>
    <x v="4"/>
    <s v="Kolkata Knight Riders"/>
    <n v="0"/>
    <n v="2"/>
    <n v="0"/>
    <n v="0"/>
    <n v="1"/>
    <n v="1"/>
    <n v="0"/>
    <n v="0"/>
  </r>
  <r>
    <x v="62"/>
    <x v="5"/>
    <s v="Kolkata Knight Riders"/>
    <n v="23"/>
    <n v="19"/>
    <n v="3"/>
    <n v="0"/>
    <n v="2"/>
    <n v="4"/>
    <n v="121.05"/>
    <n v="11.5"/>
  </r>
  <r>
    <x v="62"/>
    <x v="6"/>
    <s v="Kolkata Knight Riders"/>
    <n v="3"/>
    <n v="3"/>
    <n v="0"/>
    <n v="0"/>
    <n v="0"/>
    <n v="1"/>
    <n v="100"/>
    <m/>
  </r>
  <r>
    <x v="62"/>
    <x v="7"/>
    <s v="Kolkata Knight Riders"/>
    <n v="0"/>
    <n v="1"/>
    <n v="0"/>
    <n v="0"/>
    <n v="1"/>
    <n v="1"/>
    <n v="0"/>
    <n v="0"/>
  </r>
  <r>
    <x v="63"/>
    <x v="8"/>
    <s v="Deccan Chargers"/>
    <n v="49"/>
    <n v="39"/>
    <n v="5"/>
    <n v="2"/>
    <n v="7"/>
    <n v="6"/>
    <n v="125.64"/>
    <n v="7"/>
  </r>
  <r>
    <x v="64"/>
    <x v="16"/>
    <s v="Delhi Capitals"/>
    <n v="32"/>
    <n v="29"/>
    <n v="0"/>
    <n v="1"/>
    <n v="2"/>
    <n v="3"/>
    <n v="110.34"/>
    <n v="16"/>
  </r>
  <r>
    <x v="65"/>
    <x v="12"/>
    <s v="Mumbai Indians"/>
    <n v="356"/>
    <n v="244"/>
    <n v="34"/>
    <n v="13"/>
    <n v="12"/>
    <n v="14"/>
    <n v="145.9"/>
    <n v="29.67"/>
  </r>
  <r>
    <x v="65"/>
    <x v="13"/>
    <s v="Mumbai Indians"/>
    <n v="395"/>
    <n v="349"/>
    <n v="44"/>
    <n v="9"/>
    <n v="14"/>
    <n v="16"/>
    <n v="113.18"/>
    <n v="28.21"/>
  </r>
  <r>
    <x v="65"/>
    <x v="0"/>
    <s v="Mumbai Indians"/>
    <n v="333"/>
    <n v="252"/>
    <n v="21"/>
    <n v="14"/>
    <n v="9"/>
    <n v="15"/>
    <n v="132.13999999999999"/>
    <n v="37"/>
  </r>
  <r>
    <x v="65"/>
    <x v="1"/>
    <s v="Mumbai Indians"/>
    <n v="265"/>
    <n v="229"/>
    <n v="22"/>
    <n v="4"/>
    <n v="13"/>
    <n v="15"/>
    <n v="115.72"/>
    <n v="20.38"/>
  </r>
  <r>
    <x v="65"/>
    <x v="14"/>
    <s v="Mumbai Indians"/>
    <n v="361"/>
    <n v="286"/>
    <n v="31"/>
    <n v="8"/>
    <n v="14"/>
    <n v="14"/>
    <n v="126.22"/>
    <n v="25.79"/>
  </r>
  <r>
    <x v="65"/>
    <x v="2"/>
    <s v="Mumbai Indians"/>
    <n v="281"/>
    <n v="192"/>
    <n v="18"/>
    <n v="16"/>
    <n v="9"/>
    <n v="14"/>
    <n v="146.35"/>
    <n v="31.22"/>
  </r>
  <r>
    <x v="65"/>
    <x v="3"/>
    <s v="Mumbai Indians"/>
    <n v="334"/>
    <n v="277"/>
    <n v="28"/>
    <n v="12"/>
    <n v="11"/>
    <n v="12"/>
    <n v="120.58"/>
    <n v="30.36"/>
  </r>
  <r>
    <x v="65"/>
    <x v="10"/>
    <s v="Mumbai Indians"/>
    <n v="91"/>
    <n v="78"/>
    <n v="7"/>
    <n v="3"/>
    <n v="6"/>
    <n v="5"/>
    <n v="116.67"/>
    <n v="15.17"/>
  </r>
  <r>
    <x v="65"/>
    <x v="11"/>
    <s v="Chennai Super Kings"/>
    <n v="602"/>
    <n v="401"/>
    <n v="53"/>
    <n v="34"/>
    <n v="14"/>
    <n v="16"/>
    <n v="150.12"/>
    <n v="43"/>
  </r>
  <r>
    <x v="65"/>
    <x v="15"/>
    <s v="Chennai Super Kings"/>
    <n v="282"/>
    <n v="301"/>
    <n v="20"/>
    <n v="7"/>
    <n v="12"/>
    <n v="17"/>
    <n v="93.69"/>
    <n v="23.5"/>
  </r>
  <r>
    <x v="65"/>
    <x v="16"/>
    <s v="Chennai Super Kings"/>
    <n v="359"/>
    <n v="279"/>
    <n v="30"/>
    <n v="12"/>
    <n v="9"/>
    <n v="11"/>
    <n v="128.66999999999999"/>
    <n v="39.89"/>
  </r>
  <r>
    <x v="65"/>
    <x v="17"/>
    <s v="Chennai Super Kings"/>
    <n v="257"/>
    <n v="167"/>
    <n v="16"/>
    <n v="17"/>
    <n v="9"/>
    <n v="13"/>
    <n v="153.88999999999999"/>
    <n v="28.56"/>
  </r>
  <r>
    <x v="65"/>
    <x v="4"/>
    <s v="Chennai Super Kings"/>
    <n v="274"/>
    <n v="223"/>
    <n v="25"/>
    <n v="15"/>
    <n v="10"/>
    <n v="11"/>
    <n v="122.87"/>
    <n v="27.4"/>
  </r>
  <r>
    <x v="65"/>
    <x v="5"/>
    <s v="Chennai Super Kings"/>
    <n v="158"/>
    <n v="113"/>
    <n v="10"/>
    <n v="9"/>
    <n v="10"/>
    <n v="12"/>
    <n v="139.82"/>
    <n v="15.8"/>
  </r>
  <r>
    <x v="66"/>
    <x v="5"/>
    <s v="Sunrisers Hyderabad"/>
    <n v="22"/>
    <n v="15"/>
    <n v="2"/>
    <n v="1"/>
    <n v="2"/>
    <n v="2"/>
    <n v="146.66999999999999"/>
    <n v="11"/>
  </r>
  <r>
    <x v="67"/>
    <x v="13"/>
    <s v="Royal Challengers Bangalore"/>
    <n v="33"/>
    <n v="16"/>
    <n v="5"/>
    <n v="2"/>
    <n v="4"/>
    <n v="5"/>
    <n v="206.25"/>
    <n v="8.25"/>
  </r>
  <r>
    <x v="67"/>
    <x v="0"/>
    <s v="Royal Challengers Bangalore"/>
    <n v="6"/>
    <n v="7"/>
    <n v="0"/>
    <n v="0"/>
    <n v="1"/>
    <n v="2"/>
    <n v="85.71"/>
    <n v="6"/>
  </r>
  <r>
    <x v="68"/>
    <x v="5"/>
    <s v="Rajasthan Royals"/>
    <n v="1"/>
    <n v="1"/>
    <n v="0"/>
    <n v="0"/>
    <n v="0"/>
    <n v="1"/>
    <n v="100"/>
    <m/>
  </r>
  <r>
    <x v="69"/>
    <x v="16"/>
    <s v="Sunrisers Hyderabad"/>
    <n v="113"/>
    <n v="67"/>
    <n v="8"/>
    <n v="6"/>
    <n v="6"/>
    <n v="7"/>
    <n v="168.66"/>
    <n v="18.829999999999998"/>
  </r>
  <r>
    <x v="69"/>
    <x v="17"/>
    <s v="Sunrisers Hyderabad"/>
    <n v="111"/>
    <n v="87"/>
    <n v="4"/>
    <n v="8"/>
    <n v="9"/>
    <n v="10"/>
    <n v="127.59"/>
    <n v="12.33"/>
  </r>
  <r>
    <x v="69"/>
    <x v="4"/>
    <s v="Sunrisers Hyderabad"/>
    <n v="4"/>
    <n v="7"/>
    <n v="0"/>
    <n v="0"/>
    <n v="2"/>
    <n v="2"/>
    <n v="57.14"/>
    <n v="2"/>
  </r>
  <r>
    <x v="69"/>
    <x v="5"/>
    <s v="Sunrisers Hyderabad"/>
    <n v="169"/>
    <n v="125"/>
    <n v="10"/>
    <n v="11"/>
    <n v="5"/>
    <n v="8"/>
    <n v="135.19999999999999"/>
    <n v="33.799999999999997"/>
  </r>
  <r>
    <x v="69"/>
    <x v="6"/>
    <s v="Sunrisers Hyderabad"/>
    <n v="182"/>
    <n v="108"/>
    <n v="15"/>
    <n v="11"/>
    <n v="10"/>
    <n v="12"/>
    <n v="168.52"/>
    <n v="18.2"/>
  </r>
  <r>
    <x v="69"/>
    <x v="7"/>
    <s v="Lucknow Super Giants"/>
    <n v="164"/>
    <n v="93"/>
    <n v="8"/>
    <n v="14"/>
    <n v="9"/>
    <n v="12"/>
    <n v="176.34"/>
    <n v="18.22"/>
  </r>
  <r>
    <x v="70"/>
    <x v="8"/>
    <s v="Royal Challengers Bangalore"/>
    <n v="0"/>
    <n v="2"/>
    <n v="0"/>
    <n v="0"/>
    <n v="0"/>
    <n v="1"/>
    <n v="0"/>
    <m/>
  </r>
  <r>
    <x v="71"/>
    <x v="11"/>
    <s v="Delhi Daredevils"/>
    <n v="63"/>
    <n v="33"/>
    <n v="3"/>
    <n v="5"/>
    <n v="1"/>
    <n v="3"/>
    <n v="190.91"/>
    <n v="63"/>
  </r>
  <r>
    <x v="71"/>
    <x v="15"/>
    <s v="Sunrisers Hyderabad"/>
    <n v="9"/>
    <n v="9"/>
    <n v="1"/>
    <n v="0"/>
    <n v="2"/>
    <n v="3"/>
    <n v="100"/>
    <n v="4.5"/>
  </r>
  <r>
    <x v="71"/>
    <x v="16"/>
    <s v="Sunrisers Hyderabad"/>
    <n v="71"/>
    <n v="56"/>
    <n v="6"/>
    <n v="3"/>
    <n v="5"/>
    <n v="7"/>
    <n v="126.79"/>
    <n v="14.2"/>
  </r>
  <r>
    <x v="71"/>
    <x v="17"/>
    <s v="Sunrisers Hyderabad"/>
    <n v="98"/>
    <n v="75"/>
    <n v="7"/>
    <n v="4"/>
    <n v="6"/>
    <n v="7"/>
    <n v="130.66999999999999"/>
    <n v="16.329999999999998"/>
  </r>
  <r>
    <x v="71"/>
    <x v="4"/>
    <s v="Sunrisers Hyderabad"/>
    <n v="426"/>
    <n v="319"/>
    <n v="47"/>
    <n v="13"/>
    <n v="15"/>
    <n v="14"/>
    <n v="133.54"/>
    <n v="28.4"/>
  </r>
  <r>
    <x v="71"/>
    <x v="5"/>
    <s v="Sunrisers Hyderabad"/>
    <n v="226"/>
    <n v="156"/>
    <n v="28"/>
    <n v="6"/>
    <n v="11"/>
    <n v="11"/>
    <n v="144.87"/>
    <n v="20.55"/>
  </r>
  <r>
    <x v="71"/>
    <x v="6"/>
    <s v="Sunrisers Hyderabad"/>
    <n v="484"/>
    <n v="235"/>
    <n v="36"/>
    <n v="42"/>
    <n v="15"/>
    <n v="16"/>
    <n v="205.96"/>
    <n v="32.270000000000003"/>
  </r>
  <r>
    <x v="71"/>
    <x v="7"/>
    <s v="Sunrisers Hyderabad"/>
    <n v="439"/>
    <n v="225"/>
    <n v="46"/>
    <n v="28"/>
    <n v="12"/>
    <n v="13"/>
    <n v="195.11"/>
    <n v="36.58"/>
  </r>
  <r>
    <x v="72"/>
    <x v="5"/>
    <s v="Delhi Capitals"/>
    <n v="33"/>
    <n v="31"/>
    <n v="1"/>
    <n v="2"/>
    <n v="4"/>
    <n v="4"/>
    <n v="106.45"/>
    <n v="8.25"/>
  </r>
  <r>
    <x v="72"/>
    <x v="6"/>
    <s v="Delhi Capitals"/>
    <n v="327"/>
    <n v="204"/>
    <n v="36"/>
    <n v="13"/>
    <n v="12"/>
    <n v="12"/>
    <n v="160.29"/>
    <n v="27.25"/>
  </r>
  <r>
    <x v="72"/>
    <x v="7"/>
    <s v="Delhi Capitals"/>
    <n v="301"/>
    <n v="205"/>
    <n v="28"/>
    <n v="12"/>
    <n v="13"/>
    <n v="13"/>
    <n v="146.83000000000001"/>
    <n v="23.15"/>
  </r>
  <r>
    <x v="73"/>
    <x v="4"/>
    <s v="Royal Challengers Bangalore"/>
    <n v="0"/>
    <n v="2"/>
    <n v="0"/>
    <n v="0"/>
    <n v="1"/>
    <n v="1"/>
    <n v="0"/>
    <n v="0"/>
  </r>
  <r>
    <x v="73"/>
    <x v="5"/>
    <s v="Royal Challengers Bangalore"/>
    <n v="17"/>
    <n v="8"/>
    <n v="2"/>
    <n v="1"/>
    <n v="1"/>
    <n v="1"/>
    <n v="212.5"/>
    <n v="17"/>
  </r>
  <r>
    <x v="73"/>
    <x v="6"/>
    <s v="Royal Challengers Bengaluru"/>
    <n v="2"/>
    <n v="2"/>
    <n v="0"/>
    <n v="0"/>
    <n v="0"/>
    <n v="1"/>
    <n v="100"/>
    <m/>
  </r>
  <r>
    <x v="73"/>
    <x v="7"/>
    <s v="Lucknow Super Giants"/>
    <n v="6"/>
    <n v="2"/>
    <n v="0"/>
    <n v="1"/>
    <n v="1"/>
    <n v="2"/>
    <n v="300"/>
    <n v="6"/>
  </r>
  <r>
    <x v="74"/>
    <x v="6"/>
    <s v="Mumbai Indians"/>
    <n v="4"/>
    <n v="5"/>
    <n v="0"/>
    <n v="0"/>
    <n v="0"/>
    <n v="1"/>
    <n v="80"/>
    <m/>
  </r>
  <r>
    <x v="74"/>
    <x v="7"/>
    <s v="Rajasthan Royals"/>
    <n v="4"/>
    <n v="9"/>
    <n v="0"/>
    <n v="0"/>
    <n v="0"/>
    <n v="1"/>
    <n v="44.44"/>
    <m/>
  </r>
  <r>
    <x v="75"/>
    <x v="4"/>
    <s v="Kolkata Knight Riders"/>
    <n v="5"/>
    <n v="3"/>
    <n v="1"/>
    <n v="0"/>
    <n v="1"/>
    <n v="1"/>
    <n v="166.67"/>
    <n v="5"/>
  </r>
  <r>
    <x v="75"/>
    <x v="5"/>
    <s v="Delhi Capitals"/>
    <n v="110"/>
    <n v="101"/>
    <n v="7"/>
    <n v="6"/>
    <n v="8"/>
    <n v="9"/>
    <n v="108.91"/>
    <n v="13.75"/>
  </r>
  <r>
    <x v="76"/>
    <x v="7"/>
    <s v="Sunrisers Hyderabad"/>
    <n v="236"/>
    <n v="142"/>
    <n v="12"/>
    <n v="20"/>
    <n v="9"/>
    <n v="12"/>
    <n v="166.2"/>
    <n v="26.22"/>
  </r>
  <r>
    <x v="77"/>
    <x v="12"/>
    <s v="Deccan Chargers"/>
    <n v="63"/>
    <n v="66"/>
    <n v="6"/>
    <n v="1"/>
    <n v="4"/>
    <n v="4"/>
    <n v="95.45"/>
    <n v="15.75"/>
  </r>
  <r>
    <x v="78"/>
    <x v="0"/>
    <s v="Deccan Chargers"/>
    <n v="18"/>
    <n v="13"/>
    <n v="0"/>
    <n v="2"/>
    <n v="3"/>
    <n v="4"/>
    <n v="138.46"/>
    <n v="6"/>
  </r>
  <r>
    <x v="78"/>
    <x v="14"/>
    <s v="Rajasthan Royals"/>
    <n v="34"/>
    <n v="30"/>
    <n v="4"/>
    <n v="1"/>
    <n v="2"/>
    <n v="2"/>
    <n v="113.33"/>
    <n v="17"/>
  </r>
  <r>
    <x v="78"/>
    <x v="2"/>
    <s v="Rajasthan Royals"/>
    <n v="7"/>
    <n v="6"/>
    <n v="1"/>
    <n v="0"/>
    <n v="1"/>
    <n v="2"/>
    <n v="116.67"/>
    <n v="7"/>
  </r>
  <r>
    <x v="78"/>
    <x v="3"/>
    <s v="Rising Pune Supergiants"/>
    <n v="3"/>
    <n v="3"/>
    <n v="0"/>
    <n v="0"/>
    <n v="0"/>
    <n v="1"/>
    <n v="100"/>
    <m/>
  </r>
  <r>
    <x v="78"/>
    <x v="10"/>
    <s v="Rising Pune Supergiant"/>
    <n v="25"/>
    <n v="15"/>
    <n v="2"/>
    <n v="1"/>
    <n v="1"/>
    <n v="1"/>
    <n v="166.67"/>
    <n v="25"/>
  </r>
  <r>
    <x v="79"/>
    <x v="10"/>
    <s v="Gujarat Lions"/>
    <n v="7"/>
    <n v="9"/>
    <n v="0"/>
    <n v="1"/>
    <n v="2"/>
    <n v="3"/>
    <n v="77.78"/>
    <n v="3.5"/>
  </r>
  <r>
    <x v="80"/>
    <x v="17"/>
    <s v="Mumbai Indians"/>
    <n v="16"/>
    <n v="14"/>
    <n v="2"/>
    <n v="1"/>
    <n v="1"/>
    <n v="1"/>
    <n v="114.29"/>
    <n v="16"/>
  </r>
  <r>
    <x v="80"/>
    <x v="4"/>
    <s v="Mumbai Indians"/>
    <n v="13"/>
    <n v="13"/>
    <n v="1"/>
    <n v="0"/>
    <n v="2"/>
    <n v="2"/>
    <n v="100"/>
    <n v="6.5"/>
  </r>
  <r>
    <x v="80"/>
    <x v="5"/>
    <s v="Sunrisers Hyderabad"/>
    <n v="105"/>
    <n v="82"/>
    <n v="15"/>
    <n v="2"/>
    <n v="4"/>
    <n v="4"/>
    <n v="128.05000000000001"/>
    <n v="26.25"/>
  </r>
  <r>
    <x v="80"/>
    <x v="6"/>
    <s v="Sunrisers Hyderabad"/>
    <n v="5"/>
    <n v="6"/>
    <n v="1"/>
    <n v="0"/>
    <n v="2"/>
    <n v="2"/>
    <n v="83.33"/>
    <n v="2.5"/>
  </r>
  <r>
    <x v="81"/>
    <x v="17"/>
    <s v="Rajasthan Royals"/>
    <n v="0"/>
    <n v="1"/>
    <n v="0"/>
    <n v="0"/>
    <n v="1"/>
    <n v="1"/>
    <n v="0"/>
    <n v="0"/>
  </r>
  <r>
    <x v="81"/>
    <x v="4"/>
    <s v="Royal Challengers Bangalore"/>
    <n v="129"/>
    <n v="118"/>
    <n v="10"/>
    <n v="7"/>
    <n v="7"/>
    <n v="8"/>
    <n v="109.32"/>
    <n v="18.43"/>
  </r>
  <r>
    <x v="81"/>
    <x v="5"/>
    <s v="Royal Challengers Bangalore"/>
    <n v="91"/>
    <n v="71"/>
    <n v="6"/>
    <n v="4"/>
    <n v="3"/>
    <n v="7"/>
    <n v="128.16999999999999"/>
    <n v="30.33"/>
  </r>
  <r>
    <x v="81"/>
    <x v="6"/>
    <s v="Royal Challengers Bengaluru"/>
    <n v="98"/>
    <n v="77"/>
    <n v="10"/>
    <n v="3"/>
    <n v="3"/>
    <n v="5"/>
    <n v="127.27"/>
    <n v="32.67"/>
  </r>
  <r>
    <x v="82"/>
    <x v="2"/>
    <s v="Kings XI Punjab"/>
    <n v="18"/>
    <n v="31"/>
    <n v="0"/>
    <n v="1"/>
    <n v="3"/>
    <n v="6"/>
    <n v="58.06"/>
    <n v="6"/>
  </r>
  <r>
    <x v="82"/>
    <x v="10"/>
    <s v="Kings XI Punjab"/>
    <n v="15"/>
    <n v="12"/>
    <n v="2"/>
    <n v="0"/>
    <n v="1"/>
    <n v="1"/>
    <n v="125"/>
    <n v="15"/>
  </r>
  <r>
    <x v="82"/>
    <x v="11"/>
    <s v="Rajasthan Royals"/>
    <n v="3"/>
    <n v="4"/>
    <n v="0"/>
    <n v="0"/>
    <n v="0"/>
    <n v="1"/>
    <n v="75"/>
    <m/>
  </r>
  <r>
    <x v="83"/>
    <x v="5"/>
    <s v="Mumbai Indians"/>
    <n v="13"/>
    <n v="9"/>
    <n v="0"/>
    <n v="1"/>
    <n v="1"/>
    <n v="1"/>
    <n v="144.44"/>
    <n v="13"/>
  </r>
  <r>
    <x v="84"/>
    <x v="5"/>
    <s v="Mumbai Indians"/>
    <n v="18"/>
    <n v="15"/>
    <n v="0"/>
    <n v="1"/>
    <n v="2"/>
    <n v="3"/>
    <n v="120"/>
    <n v="9"/>
  </r>
  <r>
    <x v="84"/>
    <x v="6"/>
    <s v="Lucknow Super Giants"/>
    <n v="78"/>
    <n v="50"/>
    <n v="5"/>
    <n v="5"/>
    <n v="2"/>
    <n v="3"/>
    <n v="156"/>
    <n v="39"/>
  </r>
  <r>
    <x v="84"/>
    <x v="7"/>
    <s v="Gujarat Titans"/>
    <n v="23"/>
    <n v="19"/>
    <n v="0"/>
    <n v="3"/>
    <n v="2"/>
    <n v="4"/>
    <n v="121.05"/>
    <n v="11.5"/>
  </r>
  <r>
    <x v="85"/>
    <x v="6"/>
    <s v="Lucknow Super Giants"/>
    <n v="5"/>
    <n v="4"/>
    <n v="1"/>
    <n v="0"/>
    <n v="1"/>
    <n v="1"/>
    <n v="125"/>
    <n v="5"/>
  </r>
  <r>
    <x v="86"/>
    <x v="16"/>
    <s v="Kings XI Punjab"/>
    <n v="0"/>
    <n v="3"/>
    <n v="0"/>
    <n v="0"/>
    <n v="1"/>
    <n v="1"/>
    <n v="0"/>
    <n v="0"/>
  </r>
  <r>
    <x v="86"/>
    <x v="17"/>
    <s v="Punjab Kings"/>
    <n v="2"/>
    <n v="3"/>
    <n v="0"/>
    <n v="0"/>
    <n v="0"/>
    <n v="2"/>
    <n v="66.67"/>
    <m/>
  </r>
  <r>
    <x v="86"/>
    <x v="4"/>
    <s v="Punjab Kings"/>
    <n v="21"/>
    <n v="29"/>
    <n v="3"/>
    <n v="0"/>
    <n v="3"/>
    <n v="6"/>
    <n v="72.41"/>
    <n v="7"/>
  </r>
  <r>
    <x v="86"/>
    <x v="5"/>
    <s v="Punjab Kings"/>
    <n v="2"/>
    <n v="2"/>
    <n v="0"/>
    <n v="0"/>
    <n v="0"/>
    <n v="1"/>
    <n v="100"/>
    <m/>
  </r>
  <r>
    <x v="86"/>
    <x v="6"/>
    <s v="Punjab Kings"/>
    <n v="4"/>
    <n v="3"/>
    <n v="1"/>
    <n v="0"/>
    <n v="1"/>
    <n v="1"/>
    <n v="133.33000000000001"/>
    <n v="4"/>
  </r>
  <r>
    <x v="86"/>
    <x v="7"/>
    <s v="Punjab Kings"/>
    <n v="2"/>
    <n v="6"/>
    <n v="0"/>
    <n v="0"/>
    <n v="1"/>
    <n v="2"/>
    <n v="33.33"/>
    <n v="2"/>
  </r>
  <r>
    <x v="87"/>
    <x v="6"/>
    <s v="Punjab Kings"/>
    <n v="189"/>
    <n v="110"/>
    <n v="10"/>
    <n v="15"/>
    <n v="8"/>
    <n v="9"/>
    <n v="171.82"/>
    <n v="23.62"/>
  </r>
  <r>
    <x v="87"/>
    <x v="7"/>
    <s v="Delhi Capitals"/>
    <n v="204"/>
    <n v="126"/>
    <n v="14"/>
    <n v="13"/>
    <n v="7"/>
    <n v="9"/>
    <n v="161.9"/>
    <n v="29.14"/>
  </r>
  <r>
    <x v="88"/>
    <x v="5"/>
    <s v="Punjab Kings"/>
    <n v="186"/>
    <n v="129"/>
    <n v="20"/>
    <n v="6"/>
    <n v="6"/>
    <n v="7"/>
    <n v="144.19"/>
    <n v="31"/>
  </r>
  <r>
    <x v="88"/>
    <x v="6"/>
    <s v="Punjab Kings"/>
    <n v="61"/>
    <n v="39"/>
    <n v="7"/>
    <n v="2"/>
    <n v="2"/>
    <n v="2"/>
    <n v="156.41"/>
    <n v="30.5"/>
  </r>
  <r>
    <x v="88"/>
    <x v="7"/>
    <s v="Sunrisers Hyderabad"/>
    <n v="13"/>
    <n v="9"/>
    <n v="3"/>
    <n v="0"/>
    <n v="1"/>
    <n v="1"/>
    <n v="144.44"/>
    <n v="13"/>
  </r>
  <r>
    <x v="89"/>
    <x v="15"/>
    <s v="Delhi Capitals"/>
    <n v="4"/>
    <n v="3"/>
    <n v="1"/>
    <n v="0"/>
    <n v="0"/>
    <n v="1"/>
    <n v="133.33000000000001"/>
    <m/>
  </r>
  <r>
    <x v="89"/>
    <x v="17"/>
    <s v="Delhi Capitals"/>
    <n v="5"/>
    <n v="3"/>
    <n v="1"/>
    <n v="0"/>
    <n v="0"/>
    <n v="1"/>
    <n v="166.67"/>
    <m/>
  </r>
  <r>
    <x v="89"/>
    <x v="4"/>
    <s v="Lucknow Super Giants"/>
    <n v="22"/>
    <n v="13"/>
    <n v="0"/>
    <n v="3"/>
    <n v="1"/>
    <n v="4"/>
    <n v="169.23"/>
    <n v="22"/>
  </r>
  <r>
    <x v="89"/>
    <x v="5"/>
    <s v="Lucknow Super Giants"/>
    <n v="0"/>
    <n v="1"/>
    <n v="0"/>
    <n v="0"/>
    <n v="0"/>
    <n v="1"/>
    <n v="0"/>
    <m/>
  </r>
  <r>
    <x v="89"/>
    <x v="6"/>
    <s v="Rajasthan Royals"/>
    <n v="10"/>
    <n v="5"/>
    <n v="1"/>
    <n v="0"/>
    <n v="0"/>
    <n v="2"/>
    <n v="200"/>
    <m/>
  </r>
  <r>
    <x v="89"/>
    <x v="7"/>
    <s v="Lucknow Super Giants"/>
    <n v="21"/>
    <n v="12"/>
    <n v="3"/>
    <n v="1"/>
    <n v="1"/>
    <n v="4"/>
    <n v="175"/>
    <n v="21"/>
  </r>
  <r>
    <x v="90"/>
    <x v="0"/>
    <s v="Kings XI Punjab"/>
    <n v="186"/>
    <n v="142"/>
    <n v="16"/>
    <n v="8"/>
    <n v="8"/>
    <n v="10"/>
    <n v="130.99"/>
    <n v="23.25"/>
  </r>
  <r>
    <x v="90"/>
    <x v="1"/>
    <s v="Kings XI Punjab"/>
    <n v="196"/>
    <n v="154"/>
    <n v="22"/>
    <n v="5"/>
    <n v="10"/>
    <n v="10"/>
    <n v="127.27"/>
    <n v="19.600000000000001"/>
  </r>
  <r>
    <x v="90"/>
    <x v="2"/>
    <s v="Kolkata Knight Riders"/>
    <n v="6"/>
    <n v="7"/>
    <n v="1"/>
    <n v="0"/>
    <n v="1"/>
    <n v="1"/>
    <n v="85.71"/>
    <n v="6"/>
  </r>
  <r>
    <x v="91"/>
    <x v="6"/>
    <s v="Gujarat Titans"/>
    <n v="42"/>
    <n v="33"/>
    <n v="2"/>
    <n v="2"/>
    <n v="4"/>
    <n v="4"/>
    <n v="127.27"/>
    <n v="10.5"/>
  </r>
  <r>
    <x v="91"/>
    <x v="7"/>
    <s v="Punjab Kings"/>
    <n v="57"/>
    <n v="41"/>
    <n v="6"/>
    <n v="3"/>
    <n v="4"/>
    <n v="5"/>
    <n v="139.02000000000001"/>
    <n v="14.25"/>
  </r>
  <r>
    <x v="92"/>
    <x v="8"/>
    <s v="Royal Challengers Bangalore"/>
    <n v="46"/>
    <n v="31"/>
    <n v="4"/>
    <n v="3"/>
    <n v="3"/>
    <n v="7"/>
    <n v="148.38999999999999"/>
    <n v="15.33"/>
  </r>
  <r>
    <x v="92"/>
    <x v="9"/>
    <s v="Royal Challengers Bangalore"/>
    <n v="17"/>
    <n v="15"/>
    <n v="1"/>
    <n v="1"/>
    <n v="3"/>
    <n v="3"/>
    <n v="113.33"/>
    <n v="5.67"/>
  </r>
  <r>
    <x v="92"/>
    <x v="13"/>
    <s v="Kochi Tuskers Kerala"/>
    <n v="13"/>
    <n v="9"/>
    <n v="0"/>
    <n v="1"/>
    <n v="1"/>
    <n v="1"/>
    <n v="144.44"/>
    <n v="13"/>
  </r>
  <r>
    <x v="93"/>
    <x v="8"/>
    <s v="Royal Challengers Bangalore"/>
    <n v="20"/>
    <n v="28"/>
    <n v="3"/>
    <n v="0"/>
    <n v="3"/>
    <n v="3"/>
    <n v="71.430000000000007"/>
    <n v="6.67"/>
  </r>
  <r>
    <x v="93"/>
    <x v="13"/>
    <s v="Deccan Chargers"/>
    <n v="207"/>
    <n v="170"/>
    <n v="21"/>
    <n v="4"/>
    <n v="9"/>
    <n v="13"/>
    <n v="121.76"/>
    <n v="23"/>
  </r>
  <r>
    <x v="93"/>
    <x v="0"/>
    <s v="Deccan Chargers"/>
    <n v="37"/>
    <n v="35"/>
    <n v="3"/>
    <n v="2"/>
    <n v="3"/>
    <n v="4"/>
    <n v="105.71"/>
    <n v="12.33"/>
  </r>
  <r>
    <x v="93"/>
    <x v="1"/>
    <s v="Delhi Daredevils"/>
    <n v="16"/>
    <n v="17"/>
    <n v="1"/>
    <n v="1"/>
    <n v="1"/>
    <n v="1"/>
    <n v="94.12"/>
    <n v="16"/>
  </r>
  <r>
    <x v="94"/>
    <x v="4"/>
    <s v="Kolkata Knight Riders"/>
    <n v="21"/>
    <n v="30"/>
    <n v="2"/>
    <n v="0"/>
    <n v="3"/>
    <n v="3"/>
    <n v="70"/>
    <n v="7"/>
  </r>
  <r>
    <x v="95"/>
    <x v="13"/>
    <s v="Pune Warriors"/>
    <n v="1"/>
    <n v="1"/>
    <n v="0"/>
    <n v="0"/>
    <n v="0"/>
    <n v="1"/>
    <n v="100"/>
    <m/>
  </r>
  <r>
    <x v="95"/>
    <x v="0"/>
    <s v="Pune Warriors"/>
    <n v="40"/>
    <n v="40"/>
    <n v="4"/>
    <n v="0"/>
    <n v="3"/>
    <n v="8"/>
    <n v="100"/>
    <n v="13.33"/>
  </r>
  <r>
    <x v="95"/>
    <x v="1"/>
    <s v="Pune Warriors"/>
    <n v="52"/>
    <n v="71"/>
    <n v="3"/>
    <n v="1"/>
    <n v="7"/>
    <n v="9"/>
    <n v="73.239999999999995"/>
    <n v="7.43"/>
  </r>
  <r>
    <x v="95"/>
    <x v="14"/>
    <s v="Sunrisers Hyderabad"/>
    <n v="1"/>
    <n v="4"/>
    <n v="0"/>
    <n v="0"/>
    <n v="1"/>
    <n v="2"/>
    <n v="25"/>
    <n v="1"/>
  </r>
  <r>
    <x v="95"/>
    <x v="2"/>
    <s v="Sunrisers Hyderabad"/>
    <n v="17"/>
    <n v="10"/>
    <n v="2"/>
    <n v="1"/>
    <n v="1"/>
    <n v="3"/>
    <n v="170"/>
    <n v="17"/>
  </r>
  <r>
    <x v="95"/>
    <x v="3"/>
    <s v="Sunrisers Hyderabad"/>
    <n v="43"/>
    <n v="27"/>
    <n v="6"/>
    <n v="1"/>
    <n v="5"/>
    <n v="8"/>
    <n v="159.26"/>
    <n v="8.6"/>
  </r>
  <r>
    <x v="95"/>
    <x v="10"/>
    <s v="Sunrisers Hyderabad"/>
    <n v="4"/>
    <n v="4"/>
    <n v="0"/>
    <n v="0"/>
    <n v="1"/>
    <n v="2"/>
    <n v="100"/>
    <n v="4"/>
  </r>
  <r>
    <x v="95"/>
    <x v="11"/>
    <s v="Sunrisers Hyderabad"/>
    <n v="13"/>
    <n v="16"/>
    <n v="1"/>
    <n v="0"/>
    <n v="2"/>
    <n v="4"/>
    <n v="81.25"/>
    <n v="6.5"/>
  </r>
  <r>
    <x v="95"/>
    <x v="15"/>
    <s v="Sunrisers Hyderabad"/>
    <n v="12"/>
    <n v="19"/>
    <n v="1"/>
    <n v="0"/>
    <n v="3"/>
    <n v="4"/>
    <n v="63.16"/>
    <n v="4"/>
  </r>
  <r>
    <x v="95"/>
    <x v="16"/>
    <s v="Sunrisers Hyderabad"/>
    <n v="0"/>
    <n v="2"/>
    <n v="0"/>
    <n v="0"/>
    <n v="1"/>
    <n v="1"/>
    <n v="0"/>
    <n v="0"/>
  </r>
  <r>
    <x v="95"/>
    <x v="17"/>
    <s v="Sunrisers Hyderabad"/>
    <n v="34"/>
    <n v="30"/>
    <n v="3"/>
    <n v="0"/>
    <n v="2"/>
    <n v="7"/>
    <n v="113.33"/>
    <n v="17"/>
  </r>
  <r>
    <x v="95"/>
    <x v="4"/>
    <s v="Sunrisers Hyderabad"/>
    <n v="24"/>
    <n v="25"/>
    <n v="3"/>
    <n v="0"/>
    <n v="2"/>
    <n v="6"/>
    <n v="96"/>
    <n v="12"/>
  </r>
  <r>
    <x v="95"/>
    <x v="5"/>
    <s v="Sunrisers Hyderabad"/>
    <n v="42"/>
    <n v="47"/>
    <n v="4"/>
    <n v="0"/>
    <n v="3"/>
    <n v="5"/>
    <n v="89.36"/>
    <n v="14"/>
  </r>
  <r>
    <x v="95"/>
    <x v="6"/>
    <s v="Sunrisers Hyderabad"/>
    <n v="23"/>
    <n v="29"/>
    <n v="3"/>
    <n v="0"/>
    <n v="3"/>
    <n v="5"/>
    <n v="79.31"/>
    <n v="7.67"/>
  </r>
  <r>
    <x v="95"/>
    <x v="7"/>
    <s v="Royal Challengers Bengaluru"/>
    <n v="14"/>
    <n v="25"/>
    <n v="1"/>
    <n v="0"/>
    <n v="3"/>
    <n v="6"/>
    <n v="56"/>
    <n v="4.67"/>
  </r>
  <r>
    <x v="96"/>
    <x v="1"/>
    <s v="Chennai Super Kings"/>
    <n v="4"/>
    <n v="9"/>
    <n v="0"/>
    <n v="0"/>
    <n v="1"/>
    <n v="2"/>
    <n v="44.44"/>
    <n v="4"/>
  </r>
  <r>
    <x v="96"/>
    <x v="11"/>
    <s v="Rajasthan Royals"/>
    <n v="1"/>
    <n v="4"/>
    <n v="0"/>
    <n v="0"/>
    <n v="1"/>
    <n v="2"/>
    <n v="25"/>
    <n v="1"/>
  </r>
  <r>
    <x v="97"/>
    <x v="8"/>
    <s v="Kings XI Punjab"/>
    <n v="17"/>
    <n v="12"/>
    <n v="2"/>
    <n v="1"/>
    <n v="2"/>
    <n v="3"/>
    <n v="141.66999999999999"/>
    <n v="8.5"/>
  </r>
  <r>
    <x v="97"/>
    <x v="9"/>
    <s v="Kings XI Punjab"/>
    <n v="28"/>
    <n v="34"/>
    <n v="2"/>
    <n v="1"/>
    <n v="2"/>
    <n v="4"/>
    <n v="82.35"/>
    <n v="14"/>
  </r>
  <r>
    <x v="97"/>
    <x v="12"/>
    <s v="Kings XI Punjab"/>
    <n v="11"/>
    <n v="9"/>
    <n v="1"/>
    <n v="0"/>
    <n v="1"/>
    <n v="3"/>
    <n v="122.22"/>
    <n v="11"/>
  </r>
  <r>
    <x v="97"/>
    <x v="13"/>
    <s v="Kolkata Knight Riders"/>
    <n v="5"/>
    <n v="9"/>
    <n v="0"/>
    <n v="0"/>
    <n v="2"/>
    <n v="4"/>
    <n v="55.56"/>
    <n v="2.5"/>
  </r>
  <r>
    <x v="97"/>
    <x v="0"/>
    <s v="Kolkata Knight Riders"/>
    <n v="42"/>
    <n v="20"/>
    <n v="2"/>
    <n v="4"/>
    <n v="2"/>
    <n v="3"/>
    <n v="210"/>
    <n v="21"/>
  </r>
  <r>
    <x v="97"/>
    <x v="1"/>
    <s v="Kolkata Knight Riders"/>
    <n v="21"/>
    <n v="12"/>
    <n v="1"/>
    <n v="2"/>
    <n v="1"/>
    <n v="2"/>
    <n v="175"/>
    <n v="21"/>
  </r>
  <r>
    <x v="98"/>
    <x v="4"/>
    <s v="Gujarat Titans"/>
    <n v="145"/>
    <n v="113"/>
    <n v="14"/>
    <n v="3"/>
    <n v="4"/>
    <n v="5"/>
    <n v="128.32"/>
    <n v="36.25"/>
  </r>
  <r>
    <x v="98"/>
    <x v="5"/>
    <s v="Gujarat Titans"/>
    <n v="362"/>
    <n v="253"/>
    <n v="33"/>
    <n v="12"/>
    <n v="6"/>
    <n v="8"/>
    <n v="143.08000000000001"/>
    <n v="60.33"/>
  </r>
  <r>
    <x v="98"/>
    <x v="6"/>
    <s v="Gujarat Titans"/>
    <n v="527"/>
    <n v="368"/>
    <n v="48"/>
    <n v="17"/>
    <n v="11"/>
    <n v="12"/>
    <n v="143.21"/>
    <n v="47.91"/>
  </r>
  <r>
    <x v="98"/>
    <x v="7"/>
    <s v="Gujarat Titans"/>
    <n v="759"/>
    <n v="486"/>
    <n v="88"/>
    <n v="21"/>
    <n v="14"/>
    <n v="15"/>
    <n v="156.16999999999999"/>
    <n v="54.21"/>
  </r>
  <r>
    <x v="99"/>
    <x v="11"/>
    <s v="Sunrisers Hyderabad"/>
    <n v="5"/>
    <n v="2"/>
    <n v="1"/>
    <n v="0"/>
    <n v="0"/>
    <n v="1"/>
    <n v="250"/>
    <m/>
  </r>
  <r>
    <x v="100"/>
    <x v="12"/>
    <s v="Deccan Chargers"/>
    <n v="35"/>
    <n v="37"/>
    <n v="3"/>
    <n v="0"/>
    <n v="1"/>
    <n v="4"/>
    <n v="94.59"/>
    <n v="35"/>
  </r>
  <r>
    <x v="101"/>
    <x v="13"/>
    <s v="Kings XI Punjab"/>
    <n v="0"/>
    <n v="5"/>
    <n v="0"/>
    <n v="0"/>
    <n v="0"/>
    <n v="1"/>
    <n v="0"/>
    <m/>
  </r>
  <r>
    <x v="101"/>
    <x v="0"/>
    <s v="Kings XI Punjab"/>
    <n v="6"/>
    <n v="2"/>
    <n v="0"/>
    <n v="1"/>
    <n v="0"/>
    <n v="1"/>
    <n v="300"/>
    <m/>
  </r>
  <r>
    <x v="102"/>
    <x v="10"/>
    <s v="Rising Pune Supergiant"/>
    <n v="316"/>
    <n v="221"/>
    <n v="22"/>
    <n v="15"/>
    <n v="11"/>
    <n v="11"/>
    <n v="142.99"/>
    <n v="28.73"/>
  </r>
  <r>
    <x v="102"/>
    <x v="11"/>
    <s v="Rajasthan Royals"/>
    <n v="196"/>
    <n v="160"/>
    <n v="13"/>
    <n v="6"/>
    <n v="13"/>
    <n v="12"/>
    <n v="122.5"/>
    <n v="15.08"/>
  </r>
  <r>
    <x v="102"/>
    <x v="15"/>
    <s v="Rajasthan Royals"/>
    <n v="123"/>
    <n v="97"/>
    <n v="8"/>
    <n v="4"/>
    <n v="6"/>
    <n v="9"/>
    <n v="126.8"/>
    <n v="20.5"/>
  </r>
  <r>
    <x v="102"/>
    <x v="16"/>
    <s v="Rajasthan Royals"/>
    <n v="285"/>
    <n v="200"/>
    <n v="36"/>
    <n v="7"/>
    <n v="8"/>
    <n v="8"/>
    <n v="142.5"/>
    <n v="35.619999999999997"/>
  </r>
  <r>
    <x v="102"/>
    <x v="17"/>
    <s v="Rajasthan Royals"/>
    <n v="0"/>
    <n v="3"/>
    <n v="0"/>
    <n v="0"/>
    <n v="1"/>
    <n v="1"/>
    <n v="0"/>
    <n v="0"/>
  </r>
  <r>
    <x v="102"/>
    <x v="5"/>
    <s v="Chennai Super Kings"/>
    <n v="15"/>
    <n v="14"/>
    <n v="2"/>
    <n v="0"/>
    <n v="2"/>
    <n v="2"/>
    <n v="107.14"/>
    <n v="7.5"/>
  </r>
  <r>
    <x v="103"/>
    <x v="9"/>
    <s v="Kolkata Knight Riders"/>
    <n v="0"/>
    <n v="1"/>
    <n v="0"/>
    <n v="0"/>
    <n v="1"/>
    <n v="1"/>
    <n v="0"/>
    <n v="0"/>
  </r>
  <r>
    <x v="103"/>
    <x v="12"/>
    <s v="Kolkata Knight Riders"/>
    <n v="1"/>
    <n v="1"/>
    <n v="0"/>
    <n v="0"/>
    <n v="0"/>
    <n v="1"/>
    <n v="100"/>
    <m/>
  </r>
  <r>
    <x v="103"/>
    <x v="1"/>
    <s v="Pune Warriors"/>
    <n v="2"/>
    <n v="4"/>
    <n v="0"/>
    <n v="0"/>
    <n v="1"/>
    <n v="1"/>
    <n v="50"/>
    <n v="2"/>
  </r>
  <r>
    <x v="104"/>
    <x v="8"/>
    <s v="Kolkata Knight Riders"/>
    <n v="188"/>
    <n v="91"/>
    <n v="13"/>
    <n v="15"/>
    <n v="3"/>
    <n v="4"/>
    <n v="206.59"/>
    <n v="62.67"/>
  </r>
  <r>
    <x v="104"/>
    <x v="9"/>
    <s v="Kolkata Knight Riders"/>
    <n v="286"/>
    <n v="236"/>
    <n v="27"/>
    <n v="12"/>
    <n v="12"/>
    <n v="13"/>
    <n v="121.19"/>
    <n v="23.83"/>
  </r>
  <r>
    <x v="104"/>
    <x v="12"/>
    <s v="Kolkata Knight Riders"/>
    <n v="114"/>
    <n v="109"/>
    <n v="14"/>
    <n v="2"/>
    <n v="3"/>
    <n v="5"/>
    <n v="104.59"/>
    <n v="38"/>
  </r>
  <r>
    <x v="104"/>
    <x v="13"/>
    <s v="Kochi Tuskers Kerala"/>
    <n v="357"/>
    <n v="272"/>
    <n v="35"/>
    <n v="16"/>
    <n v="13"/>
    <n v="13"/>
    <n v="131.25"/>
    <n v="27.46"/>
  </r>
  <r>
    <x v="104"/>
    <x v="0"/>
    <s v="Kolkata Knight Riders"/>
    <n v="289"/>
    <n v="283"/>
    <n v="37"/>
    <n v="3"/>
    <n v="13"/>
    <n v="12"/>
    <n v="102.12"/>
    <n v="22.23"/>
  </r>
  <r>
    <x v="104"/>
    <x v="1"/>
    <s v="Kolkata Knight Riders"/>
    <n v="6"/>
    <n v="7"/>
    <n v="1"/>
    <n v="0"/>
    <n v="1"/>
    <n v="1"/>
    <n v="85.71"/>
    <n v="6"/>
  </r>
  <r>
    <x v="104"/>
    <x v="14"/>
    <s v="Chennai Super Kings"/>
    <n v="405"/>
    <n v="333"/>
    <n v="32"/>
    <n v="19"/>
    <n v="13"/>
    <n v="14"/>
    <n v="121.62"/>
    <n v="31.15"/>
  </r>
  <r>
    <x v="104"/>
    <x v="2"/>
    <s v="Chennai Super Kings"/>
    <n v="436"/>
    <n v="276"/>
    <n v="51"/>
    <n v="23"/>
    <n v="15"/>
    <n v="14"/>
    <n v="157.97"/>
    <n v="29.07"/>
  </r>
  <r>
    <x v="104"/>
    <x v="3"/>
    <s v="Gujarat Lions"/>
    <n v="354"/>
    <n v="262"/>
    <n v="38"/>
    <n v="16"/>
    <n v="16"/>
    <n v="16"/>
    <n v="135.11000000000001"/>
    <n v="22.12"/>
  </r>
  <r>
    <x v="104"/>
    <x v="10"/>
    <s v="Gujarat Lions"/>
    <n v="320"/>
    <n v="220"/>
    <n v="29"/>
    <n v="18"/>
    <n v="11"/>
    <n v="11"/>
    <n v="145.44999999999999"/>
    <n v="29.09"/>
  </r>
  <r>
    <x v="104"/>
    <x v="11"/>
    <s v="Royal Challengers Bangalore"/>
    <n v="127"/>
    <n v="87"/>
    <n v="16"/>
    <n v="6"/>
    <n v="6"/>
    <n v="6"/>
    <n v="145.97999999999999"/>
    <n v="21.17"/>
  </r>
  <r>
    <x v="105"/>
    <x v="0"/>
    <s v="Deccan Chargers"/>
    <n v="2"/>
    <n v="2"/>
    <n v="0"/>
    <n v="0"/>
    <n v="0"/>
    <n v="1"/>
    <n v="100"/>
    <m/>
  </r>
  <r>
    <x v="105"/>
    <x v="1"/>
    <s v="Sunrisers Hyderabad"/>
    <n v="123"/>
    <n v="111"/>
    <n v="13"/>
    <n v="2"/>
    <n v="5"/>
    <n v="7"/>
    <n v="110.81"/>
    <n v="24.6"/>
  </r>
  <r>
    <x v="106"/>
    <x v="3"/>
    <s v="Sunrisers Hyderabad"/>
    <n v="4"/>
    <n v="3"/>
    <n v="0"/>
    <n v="0"/>
    <n v="0"/>
    <n v="3"/>
    <n v="133.33000000000001"/>
    <m/>
  </r>
  <r>
    <x v="106"/>
    <x v="11"/>
    <s v="Kings XI Punjab"/>
    <n v="3"/>
    <n v="7"/>
    <n v="0"/>
    <n v="0"/>
    <n v="1"/>
    <n v="3"/>
    <n v="42.86"/>
    <n v="3"/>
  </r>
  <r>
    <x v="106"/>
    <x v="15"/>
    <s v="Mumbai Indians"/>
    <n v="3"/>
    <n v="3"/>
    <n v="0"/>
    <n v="0"/>
    <n v="0"/>
    <n v="1"/>
    <n v="100"/>
    <m/>
  </r>
  <r>
    <x v="107"/>
    <x v="14"/>
    <s v="Rajasthan Royals"/>
    <n v="8"/>
    <n v="6"/>
    <n v="0"/>
    <n v="1"/>
    <n v="0"/>
    <n v="1"/>
    <n v="133.33000000000001"/>
    <m/>
  </r>
  <r>
    <x v="107"/>
    <x v="3"/>
    <s v="Sunrisers Hyderabad"/>
    <n v="65"/>
    <n v="34"/>
    <n v="4"/>
    <n v="6"/>
    <n v="3"/>
    <n v="4"/>
    <n v="191.18"/>
    <n v="21.67"/>
  </r>
  <r>
    <x v="107"/>
    <x v="10"/>
    <s v="Sunrisers Hyderabad"/>
    <n v="51"/>
    <n v="26"/>
    <n v="5"/>
    <n v="3"/>
    <n v="2"/>
    <n v="3"/>
    <n v="196.15"/>
    <n v="25.5"/>
  </r>
  <r>
    <x v="107"/>
    <x v="11"/>
    <s v="Mumbai Indians"/>
    <n v="96"/>
    <n v="58"/>
    <n v="5"/>
    <n v="8"/>
    <n v="4"/>
    <n v="6"/>
    <n v="165.52"/>
    <n v="24"/>
  </r>
  <r>
    <x v="107"/>
    <x v="15"/>
    <s v="Mumbai Indians"/>
    <n v="18"/>
    <n v="17"/>
    <n v="1"/>
    <n v="1"/>
    <n v="2"/>
    <n v="3"/>
    <n v="105.88"/>
    <n v="9"/>
  </r>
  <r>
    <x v="108"/>
    <x v="14"/>
    <s v="Kings XI Punjab"/>
    <n v="0"/>
    <n v="1"/>
    <n v="0"/>
    <n v="0"/>
    <n v="1"/>
    <n v="1"/>
    <n v="0"/>
    <n v="0"/>
  </r>
  <r>
    <x v="108"/>
    <x v="2"/>
    <s v="Kings XI Punjab"/>
    <n v="1"/>
    <n v="2"/>
    <n v="0"/>
    <n v="0"/>
    <n v="0"/>
    <n v="1"/>
    <n v="50"/>
    <m/>
  </r>
  <r>
    <x v="109"/>
    <x v="13"/>
    <s v="Kolkata Knight Riders"/>
    <n v="18"/>
    <n v="11"/>
    <n v="2"/>
    <n v="1"/>
    <n v="1"/>
    <n v="1"/>
    <n v="163.63999999999999"/>
    <n v="18"/>
  </r>
  <r>
    <x v="110"/>
    <x v="8"/>
    <s v="Kolkata Knight Riders"/>
    <n v="12"/>
    <n v="17"/>
    <n v="2"/>
    <n v="0"/>
    <n v="2"/>
    <n v="3"/>
    <n v="70.59"/>
    <n v="6"/>
  </r>
  <r>
    <x v="110"/>
    <x v="9"/>
    <s v="Kolkata Knight Riders"/>
    <n v="365"/>
    <n v="309"/>
    <n v="34"/>
    <n v="9"/>
    <n v="10"/>
    <n v="12"/>
    <n v="118.12"/>
    <n v="36.5"/>
  </r>
  <r>
    <x v="110"/>
    <x v="12"/>
    <s v="Kolkata Knight Riders"/>
    <n v="99"/>
    <n v="90"/>
    <n v="11"/>
    <n v="1"/>
    <n v="4"/>
    <n v="4"/>
    <n v="110"/>
    <n v="24.75"/>
  </r>
  <r>
    <x v="110"/>
    <x v="13"/>
    <s v="Kochi Tuskers Kerala"/>
    <n v="285"/>
    <n v="234"/>
    <n v="26"/>
    <n v="9"/>
    <n v="11"/>
    <n v="14"/>
    <n v="121.79"/>
    <n v="25.91"/>
  </r>
  <r>
    <x v="110"/>
    <x v="0"/>
    <s v="Rajasthan Royals"/>
    <n v="245"/>
    <n v="173"/>
    <n v="18"/>
    <n v="9"/>
    <n v="8"/>
    <n v="12"/>
    <n v="141.62"/>
    <n v="30.62"/>
  </r>
  <r>
    <x v="110"/>
    <x v="1"/>
    <s v="Rajasthan Royals"/>
    <n v="293"/>
    <n v="217"/>
    <n v="27"/>
    <n v="9"/>
    <n v="8"/>
    <n v="14"/>
    <n v="135.02000000000001"/>
    <n v="36.619999999999997"/>
  </r>
  <r>
    <x v="110"/>
    <x v="14"/>
    <s v="Rajasthan Royals"/>
    <n v="101"/>
    <n v="72"/>
    <n v="4"/>
    <n v="6"/>
    <n v="3"/>
    <n v="4"/>
    <n v="140.28"/>
    <n v="33.67"/>
  </r>
  <r>
    <x v="111"/>
    <x v="1"/>
    <s v="Delhi Daredevils"/>
    <n v="193"/>
    <n v="141"/>
    <n v="21"/>
    <n v="5"/>
    <n v="7"/>
    <n v="8"/>
    <n v="136.88"/>
    <n v="27.57"/>
  </r>
  <r>
    <x v="112"/>
    <x v="7"/>
    <s v="Gujarat Titans"/>
    <n v="20"/>
    <n v="10"/>
    <n v="1"/>
    <n v="2"/>
    <n v="1"/>
    <n v="1"/>
    <n v="200"/>
    <n v="20"/>
  </r>
  <r>
    <x v="113"/>
    <x v="1"/>
    <s v="Delhi Daredevils"/>
    <n v="23"/>
    <n v="27"/>
    <n v="0"/>
    <n v="0"/>
    <n v="3"/>
    <n v="3"/>
    <n v="85.19"/>
    <n v="7.67"/>
  </r>
  <r>
    <x v="114"/>
    <x v="14"/>
    <s v="Mumbai Indians"/>
    <n v="40"/>
    <n v="35"/>
    <n v="7"/>
    <n v="0"/>
    <n v="3"/>
    <n v="3"/>
    <n v="114.29"/>
    <n v="13.33"/>
  </r>
  <r>
    <x v="115"/>
    <x v="6"/>
    <s v="Gujarat Titans"/>
    <n v="2"/>
    <n v="5"/>
    <n v="0"/>
    <n v="0"/>
    <n v="1"/>
    <n v="1"/>
    <n v="40"/>
    <n v="2"/>
  </r>
  <r>
    <x v="116"/>
    <x v="10"/>
    <s v="Gujarat Lions"/>
    <n v="28"/>
    <n v="28"/>
    <n v="1"/>
    <n v="1"/>
    <n v="1"/>
    <n v="5"/>
    <n v="100"/>
    <n v="28"/>
  </r>
  <r>
    <x v="116"/>
    <x v="11"/>
    <s v="Sunrisers Hyderabad"/>
    <n v="3"/>
    <n v="6"/>
    <n v="0"/>
    <n v="0"/>
    <n v="1"/>
    <n v="1"/>
    <n v="50"/>
    <n v="3"/>
  </r>
  <r>
    <x v="116"/>
    <x v="15"/>
    <s v="Sunrisers Hyderabad"/>
    <n v="1"/>
    <n v="1"/>
    <n v="0"/>
    <n v="0"/>
    <n v="0"/>
    <n v="1"/>
    <n v="100"/>
    <m/>
  </r>
  <r>
    <x v="117"/>
    <x v="12"/>
    <s v="Kings XI Punjab"/>
    <n v="9"/>
    <n v="7"/>
    <n v="1"/>
    <n v="0"/>
    <n v="0"/>
    <n v="2"/>
    <n v="128.57"/>
    <m/>
  </r>
  <r>
    <x v="117"/>
    <x v="13"/>
    <s v="Kings XI Punjab"/>
    <n v="23"/>
    <n v="18"/>
    <n v="1"/>
    <n v="0"/>
    <n v="1"/>
    <n v="3"/>
    <n v="127.78"/>
    <n v="23"/>
  </r>
  <r>
    <x v="117"/>
    <x v="0"/>
    <s v="Kings XI Punjab"/>
    <n v="72"/>
    <n v="47"/>
    <n v="6"/>
    <n v="3"/>
    <n v="2"/>
    <n v="4"/>
    <n v="153.19"/>
    <n v="36"/>
  </r>
  <r>
    <x v="117"/>
    <x v="2"/>
    <s v="Sunrisers Hyderabad"/>
    <n v="1"/>
    <n v="2"/>
    <n v="0"/>
    <n v="0"/>
    <n v="1"/>
    <n v="1"/>
    <n v="50"/>
    <n v="1"/>
  </r>
  <r>
    <x v="117"/>
    <x v="3"/>
    <s v="Sunrisers Hyderabad"/>
    <n v="51"/>
    <n v="25"/>
    <n v="1"/>
    <n v="5"/>
    <n v="1"/>
    <n v="4"/>
    <n v="204"/>
    <n v="51"/>
  </r>
  <r>
    <x v="117"/>
    <x v="10"/>
    <s v="Sunrisers Hyderabad"/>
    <n v="31"/>
    <n v="24"/>
    <n v="2"/>
    <n v="1"/>
    <n v="1"/>
    <n v="3"/>
    <n v="129.16999999999999"/>
    <n v="31"/>
  </r>
  <r>
    <x v="118"/>
    <x v="7"/>
    <s v="Mumbai Indians"/>
    <n v="47"/>
    <n v="32"/>
    <n v="3"/>
    <n v="3"/>
    <n v="2"/>
    <n v="2"/>
    <n v="146.88"/>
    <n v="23.5"/>
  </r>
  <r>
    <x v="119"/>
    <x v="5"/>
    <s v="Mumbai Indians"/>
    <n v="452"/>
    <n v="279"/>
    <n v="40"/>
    <n v="22"/>
    <n v="10"/>
    <n v="16"/>
    <n v="162.01"/>
    <n v="45.2"/>
  </r>
  <r>
    <x v="119"/>
    <x v="6"/>
    <s v="Royal Challengers Bengaluru"/>
    <n v="255"/>
    <n v="178"/>
    <n v="22"/>
    <n v="10"/>
    <n v="10"/>
    <n v="12"/>
    <n v="143.26"/>
    <n v="25.5"/>
  </r>
  <r>
    <x v="120"/>
    <x v="12"/>
    <s v="Mumbai Indians"/>
    <n v="15"/>
    <n v="18"/>
    <n v="3"/>
    <n v="0"/>
    <n v="1"/>
    <n v="1"/>
    <n v="83.33"/>
    <n v="15"/>
  </r>
  <r>
    <x v="121"/>
    <x v="3"/>
    <s v="Kolkata Knight Riders"/>
    <n v="30"/>
    <n v="30"/>
    <n v="3"/>
    <n v="0"/>
    <n v="1"/>
    <n v="3"/>
    <n v="100"/>
    <n v="30"/>
  </r>
  <r>
    <x v="121"/>
    <x v="11"/>
    <s v="Delhi Daredevils"/>
    <n v="63"/>
    <n v="41"/>
    <n v="7"/>
    <n v="4"/>
    <n v="4"/>
    <n v="4"/>
    <n v="153.66"/>
    <n v="15.75"/>
  </r>
  <r>
    <x v="121"/>
    <x v="15"/>
    <s v="Delhi Capitals"/>
    <n v="84"/>
    <n v="70"/>
    <n v="9"/>
    <n v="4"/>
    <n v="4"/>
    <n v="4"/>
    <n v="120"/>
    <n v="21"/>
  </r>
  <r>
    <x v="122"/>
    <x v="9"/>
    <s v="Mumbai Indians"/>
    <n v="0"/>
    <n v="1"/>
    <n v="0"/>
    <n v="0"/>
    <n v="1"/>
    <n v="1"/>
    <n v="0"/>
    <n v="0"/>
  </r>
  <r>
    <x v="123"/>
    <x v="17"/>
    <s v="Rajasthan Royals"/>
    <n v="16"/>
    <n v="24"/>
    <n v="2"/>
    <n v="0"/>
    <n v="4"/>
    <n v="5"/>
    <n v="66.67"/>
    <n v="4"/>
  </r>
  <r>
    <x v="123"/>
    <x v="5"/>
    <s v="Delhi Capitals"/>
    <n v="4"/>
    <n v="6"/>
    <n v="1"/>
    <n v="0"/>
    <n v="1"/>
    <n v="2"/>
    <n v="66.67"/>
    <n v="4"/>
  </r>
  <r>
    <x v="124"/>
    <x v="10"/>
    <s v="Kolkata Knight Riders"/>
    <n v="126"/>
    <n v="92"/>
    <n v="10"/>
    <n v="6"/>
    <n v="8"/>
    <n v="9"/>
    <n v="136.96"/>
    <n v="15.75"/>
  </r>
  <r>
    <x v="124"/>
    <x v="11"/>
    <s v="Royal Challengers Bangalore"/>
    <n v="131"/>
    <n v="83"/>
    <n v="4"/>
    <n v="10"/>
    <n v="4"/>
    <n v="8"/>
    <n v="157.83000000000001"/>
    <n v="32.75"/>
  </r>
  <r>
    <x v="124"/>
    <x v="15"/>
    <s v="Royal Challengers Bangalore"/>
    <n v="46"/>
    <n v="49"/>
    <n v="4"/>
    <n v="2"/>
    <n v="3"/>
    <n v="4"/>
    <n v="93.88"/>
    <n v="15.33"/>
  </r>
  <r>
    <x v="125"/>
    <x v="13"/>
    <s v="Delhi Daredevils"/>
    <n v="21"/>
    <n v="25"/>
    <n v="2"/>
    <n v="0"/>
    <n v="2"/>
    <n v="3"/>
    <n v="84"/>
    <n v="10.5"/>
  </r>
  <r>
    <x v="125"/>
    <x v="15"/>
    <s v="Delhi Capitals"/>
    <n v="184"/>
    <n v="154"/>
    <n v="20"/>
    <n v="5"/>
    <n v="10"/>
    <n v="12"/>
    <n v="119.48"/>
    <n v="18.399999999999999"/>
  </r>
  <r>
    <x v="126"/>
    <x v="0"/>
    <s v="Deccan Chargers"/>
    <n v="6"/>
    <n v="9"/>
    <n v="1"/>
    <n v="0"/>
    <n v="1"/>
    <n v="1"/>
    <n v="66.67"/>
    <n v="6"/>
  </r>
  <r>
    <x v="126"/>
    <x v="14"/>
    <s v="Kolkata Knight Riders"/>
    <n v="58"/>
    <n v="49"/>
    <n v="5"/>
    <n v="3"/>
    <n v="2"/>
    <n v="2"/>
    <n v="118.37"/>
    <n v="29"/>
  </r>
  <r>
    <x v="126"/>
    <x v="3"/>
    <s v="Kolkata Knight Riders"/>
    <n v="25"/>
    <n v="22"/>
    <n v="0"/>
    <n v="1"/>
    <n v="1"/>
    <n v="2"/>
    <n v="113.64"/>
    <n v="25"/>
  </r>
  <r>
    <x v="126"/>
    <x v="10"/>
    <s v="Kolkata Knight Riders"/>
    <n v="295"/>
    <n v="161"/>
    <n v="25"/>
    <n v="19"/>
    <n v="6"/>
    <n v="7"/>
    <n v="183.23"/>
    <n v="49.17"/>
  </r>
  <r>
    <x v="126"/>
    <x v="11"/>
    <s v="Kolkata Knight Riders"/>
    <n v="491"/>
    <n v="377"/>
    <n v="56"/>
    <n v="18"/>
    <n v="14"/>
    <n v="16"/>
    <n v="130.24"/>
    <n v="35.07"/>
  </r>
  <r>
    <x v="126"/>
    <x v="15"/>
    <s v="Kolkata Knight Riders"/>
    <n v="405"/>
    <n v="288"/>
    <n v="41"/>
    <n v="22"/>
    <n v="13"/>
    <n v="13"/>
    <n v="140.62"/>
    <n v="31.15"/>
  </r>
  <r>
    <x v="126"/>
    <x v="17"/>
    <s v="Mumbai Indians"/>
    <n v="49"/>
    <n v="35"/>
    <n v="4"/>
    <n v="3"/>
    <n v="2"/>
    <n v="1"/>
    <n v="140"/>
    <n v="24.5"/>
  </r>
  <r>
    <x v="127"/>
    <x v="12"/>
    <s v="Kolkata Knight Riders"/>
    <n v="122"/>
    <n v="115"/>
    <n v="14"/>
    <n v="3"/>
    <n v="4"/>
    <n v="6"/>
    <n v="106.09"/>
    <n v="30.5"/>
  </r>
  <r>
    <x v="127"/>
    <x v="13"/>
    <s v="Royal Challengers Bangalore"/>
    <n v="34"/>
    <n v="31"/>
    <n v="4"/>
    <n v="0"/>
    <n v="3"/>
    <n v="3"/>
    <n v="109.68"/>
    <n v="11.33"/>
  </r>
  <r>
    <x v="127"/>
    <x v="0"/>
    <s v="Royal Challengers Bangalore"/>
    <n v="17"/>
    <n v="22"/>
    <n v="1"/>
    <n v="1"/>
    <n v="3"/>
    <n v="3"/>
    <n v="77.27"/>
    <n v="5.67"/>
  </r>
  <r>
    <x v="127"/>
    <x v="1"/>
    <s v="Royal Challengers Bangalore"/>
    <n v="92"/>
    <n v="99"/>
    <n v="14"/>
    <n v="0"/>
    <n v="4"/>
    <n v="4"/>
    <n v="92.93"/>
    <n v="23"/>
  </r>
  <r>
    <x v="127"/>
    <x v="14"/>
    <s v="Kings XI Punjab"/>
    <n v="125"/>
    <n v="123"/>
    <n v="17"/>
    <n v="0"/>
    <n v="4"/>
    <n v="6"/>
    <n v="101.63"/>
    <n v="31.25"/>
  </r>
  <r>
    <x v="128"/>
    <x v="9"/>
    <s v="Kolkata Knight Riders"/>
    <n v="184"/>
    <n v="148"/>
    <n v="18"/>
    <n v="10"/>
    <n v="7"/>
    <n v="7"/>
    <n v="124.32"/>
    <n v="26.29"/>
  </r>
  <r>
    <x v="128"/>
    <x v="12"/>
    <s v="Kolkata Knight Riders"/>
    <n v="292"/>
    <n v="183"/>
    <n v="30"/>
    <n v="16"/>
    <n v="9"/>
    <n v="9"/>
    <n v="159.56"/>
    <n v="32.44"/>
  </r>
  <r>
    <x v="128"/>
    <x v="13"/>
    <s v="Royal Challengers Bangalore"/>
    <n v="608"/>
    <n v="331"/>
    <n v="57"/>
    <n v="44"/>
    <n v="9"/>
    <n v="12"/>
    <n v="183.69"/>
    <n v="67.56"/>
  </r>
  <r>
    <x v="128"/>
    <x v="0"/>
    <s v="Royal Challengers Bangalore"/>
    <n v="733"/>
    <n v="451"/>
    <n v="46"/>
    <n v="59"/>
    <n v="12"/>
    <n v="14"/>
    <n v="162.53"/>
    <n v="61.08"/>
  </r>
  <r>
    <x v="128"/>
    <x v="1"/>
    <s v="Royal Challengers Bangalore"/>
    <n v="720"/>
    <n v="454"/>
    <n v="57"/>
    <n v="52"/>
    <n v="12"/>
    <n v="16"/>
    <n v="158.59"/>
    <n v="60"/>
  </r>
  <r>
    <x v="128"/>
    <x v="14"/>
    <s v="Royal Challengers Bangalore"/>
    <n v="196"/>
    <n v="184"/>
    <n v="18"/>
    <n v="12"/>
    <n v="9"/>
    <n v="9"/>
    <n v="106.52"/>
    <n v="21.78"/>
  </r>
  <r>
    <x v="128"/>
    <x v="2"/>
    <s v="Royal Challengers Bangalore"/>
    <n v="491"/>
    <n v="331"/>
    <n v="39"/>
    <n v="38"/>
    <n v="13"/>
    <n v="14"/>
    <n v="148.34"/>
    <n v="37.770000000000003"/>
  </r>
  <r>
    <x v="128"/>
    <x v="3"/>
    <s v="Royal Challengers Bangalore"/>
    <n v="227"/>
    <n v="150"/>
    <n v="17"/>
    <n v="21"/>
    <n v="10"/>
    <n v="10"/>
    <n v="151.33000000000001"/>
    <n v="22.7"/>
  </r>
  <r>
    <x v="128"/>
    <x v="10"/>
    <s v="Royal Challengers Bangalore"/>
    <n v="200"/>
    <n v="162"/>
    <n v="15"/>
    <n v="14"/>
    <n v="9"/>
    <n v="9"/>
    <n v="123.46"/>
    <n v="22.22"/>
  </r>
  <r>
    <x v="128"/>
    <x v="11"/>
    <s v="Kings XI Punjab"/>
    <n v="368"/>
    <n v="252"/>
    <n v="30"/>
    <n v="27"/>
    <n v="9"/>
    <n v="11"/>
    <n v="146.03"/>
    <n v="40.89"/>
  </r>
  <r>
    <x v="128"/>
    <x v="15"/>
    <s v="Kings XI Punjab"/>
    <n v="490"/>
    <n v="319"/>
    <n v="45"/>
    <n v="34"/>
    <n v="12"/>
    <n v="13"/>
    <n v="153.61000000000001"/>
    <n v="40.83"/>
  </r>
  <r>
    <x v="128"/>
    <x v="16"/>
    <s v="Kings XI Punjab"/>
    <n v="295"/>
    <n v="212"/>
    <n v="15"/>
    <n v="24"/>
    <n v="6"/>
    <n v="7"/>
    <n v="139.15"/>
    <n v="49.17"/>
  </r>
  <r>
    <x v="128"/>
    <x v="17"/>
    <s v="Punjab Kings"/>
    <n v="193"/>
    <n v="154"/>
    <n v="21"/>
    <n v="8"/>
    <n v="11"/>
    <n v="10"/>
    <n v="125.32"/>
    <n v="17.55"/>
  </r>
  <r>
    <x v="129"/>
    <x v="1"/>
    <s v="Chennai Super Kings"/>
    <n v="14"/>
    <n v="16"/>
    <n v="0"/>
    <n v="0"/>
    <n v="2"/>
    <n v="6"/>
    <n v="87.5"/>
    <n v="7"/>
  </r>
  <r>
    <x v="129"/>
    <x v="2"/>
    <s v="Rajasthan Royals"/>
    <n v="76"/>
    <n v="45"/>
    <n v="3"/>
    <n v="5"/>
    <n v="2"/>
    <n v="7"/>
    <n v="168.89"/>
    <n v="38"/>
  </r>
  <r>
    <x v="129"/>
    <x v="3"/>
    <s v="Delhi Daredevils"/>
    <n v="195"/>
    <n v="109"/>
    <n v="15"/>
    <n v="12"/>
    <n v="4"/>
    <n v="7"/>
    <n v="178.9"/>
    <n v="48.75"/>
  </r>
  <r>
    <x v="129"/>
    <x v="10"/>
    <s v="Delhi Daredevils"/>
    <n v="154"/>
    <n v="94"/>
    <n v="15"/>
    <n v="6"/>
    <n v="5"/>
    <n v="8"/>
    <n v="163.83000000000001"/>
    <n v="30.8"/>
  </r>
  <r>
    <x v="129"/>
    <x v="11"/>
    <s v="Delhi Daredevils"/>
    <n v="46"/>
    <n v="26"/>
    <n v="3"/>
    <n v="2"/>
    <n v="1"/>
    <n v="3"/>
    <n v="176.92"/>
    <n v="46"/>
  </r>
  <r>
    <x v="129"/>
    <x v="15"/>
    <s v="Delhi Capitals"/>
    <n v="32"/>
    <n v="37"/>
    <n v="1"/>
    <n v="2"/>
    <n v="6"/>
    <n v="6"/>
    <n v="86.49"/>
    <n v="5.33"/>
  </r>
  <r>
    <x v="129"/>
    <x v="16"/>
    <s v="Royal Challengers Bangalore"/>
    <n v="34"/>
    <n v="21"/>
    <n v="2"/>
    <n v="3"/>
    <n v="4"/>
    <n v="5"/>
    <n v="161.9"/>
    <n v="8.5"/>
  </r>
  <r>
    <x v="129"/>
    <x v="17"/>
    <s v="Rajasthan Royals"/>
    <n v="67"/>
    <n v="49"/>
    <n v="2"/>
    <n v="5"/>
    <n v="5"/>
    <n v="7"/>
    <n v="136.72999999999999"/>
    <n v="13.4"/>
  </r>
  <r>
    <x v="130"/>
    <x v="14"/>
    <s v="Mumbai Indians"/>
    <n v="265"/>
    <n v="181"/>
    <n v="21"/>
    <n v="15"/>
    <n v="9"/>
    <n v="11"/>
    <n v="146.41"/>
    <n v="29.44"/>
  </r>
  <r>
    <x v="130"/>
    <x v="2"/>
    <s v="Mumbai Indians"/>
    <n v="114"/>
    <n v="96"/>
    <n v="11"/>
    <n v="6"/>
    <n v="3"/>
    <n v="4"/>
    <n v="118.75"/>
    <n v="38"/>
  </r>
  <r>
    <x v="130"/>
    <x v="10"/>
    <s v="Delhi Daredevils"/>
    <n v="142"/>
    <n v="122"/>
    <n v="8"/>
    <n v="9"/>
    <n v="7"/>
    <n v="11"/>
    <n v="116.39"/>
    <n v="20.29"/>
  </r>
  <r>
    <x v="130"/>
    <x v="11"/>
    <s v="Royal Challengers Bangalore"/>
    <n v="17"/>
    <n v="22"/>
    <n v="0"/>
    <n v="1"/>
    <n v="3"/>
    <n v="3"/>
    <n v="77.27"/>
    <n v="5.67"/>
  </r>
  <r>
    <x v="131"/>
    <x v="13"/>
    <s v="Pune Warriors"/>
    <n v="48"/>
    <n v="54"/>
    <n v="6"/>
    <n v="0"/>
    <n v="2"/>
    <n v="4"/>
    <n v="88.89"/>
    <n v="24"/>
  </r>
  <r>
    <x v="131"/>
    <x v="0"/>
    <s v="Pune Warriors"/>
    <n v="50"/>
    <n v="63"/>
    <n v="3"/>
    <n v="0"/>
    <n v="4"/>
    <n v="4"/>
    <n v="79.37"/>
    <n v="12.5"/>
  </r>
  <r>
    <x v="132"/>
    <x v="3"/>
    <s v="Royal Challengers Bangalore"/>
    <n v="3"/>
    <n v="4"/>
    <n v="0"/>
    <n v="0"/>
    <n v="0"/>
    <n v="1"/>
    <n v="75"/>
    <m/>
  </r>
  <r>
    <x v="132"/>
    <x v="10"/>
    <s v="Sunrisers Hyderabad"/>
    <n v="0"/>
    <n v="1"/>
    <n v="0"/>
    <n v="0"/>
    <n v="1"/>
    <n v="1"/>
    <n v="0"/>
    <n v="0"/>
  </r>
  <r>
    <x v="132"/>
    <x v="16"/>
    <s v="Kings XI Punjab"/>
    <n v="29"/>
    <n v="31"/>
    <n v="2"/>
    <n v="0"/>
    <n v="3"/>
    <n v="4"/>
    <n v="93.55"/>
    <n v="9.67"/>
  </r>
  <r>
    <x v="132"/>
    <x v="17"/>
    <s v="Punjab Kings"/>
    <n v="32"/>
    <n v="21"/>
    <n v="1"/>
    <n v="3"/>
    <n v="2"/>
    <n v="2"/>
    <n v="152.38"/>
    <n v="16"/>
  </r>
  <r>
    <x v="132"/>
    <x v="4"/>
    <s v="Chennai Super Kings"/>
    <n v="11"/>
    <n v="8"/>
    <n v="0"/>
    <n v="0"/>
    <n v="1"/>
    <n v="2"/>
    <n v="137.5"/>
    <n v="11"/>
  </r>
  <r>
    <x v="132"/>
    <x v="5"/>
    <s v="Mumbai Indians"/>
    <n v="6"/>
    <n v="12"/>
    <n v="0"/>
    <n v="0"/>
    <n v="2"/>
    <n v="2"/>
    <n v="50"/>
    <n v="3"/>
  </r>
  <r>
    <x v="133"/>
    <x v="0"/>
    <s v="Mumbai Indians"/>
    <n v="8"/>
    <n v="15"/>
    <n v="0"/>
    <n v="0"/>
    <n v="1"/>
    <n v="1"/>
    <n v="53.33"/>
    <n v="8"/>
  </r>
  <r>
    <x v="134"/>
    <x v="8"/>
    <s v="Chennai Super Kings"/>
    <n v="16"/>
    <n v="22"/>
    <n v="0"/>
    <n v="0"/>
    <n v="3"/>
    <n v="3"/>
    <n v="72.73"/>
    <n v="5.33"/>
  </r>
  <r>
    <x v="135"/>
    <x v="12"/>
    <s v="Kolkata Knight Riders"/>
    <n v="0"/>
    <n v="1"/>
    <n v="0"/>
    <n v="0"/>
    <n v="1"/>
    <n v="1"/>
    <n v="0"/>
    <n v="0"/>
  </r>
  <r>
    <x v="135"/>
    <x v="13"/>
    <s v="Royal Challengers Bangalore"/>
    <n v="8"/>
    <n v="8"/>
    <n v="0"/>
    <n v="1"/>
    <n v="1"/>
    <n v="1"/>
    <n v="100"/>
    <n v="8"/>
  </r>
  <r>
    <x v="136"/>
    <x v="8"/>
    <s v="Royal Challengers Bangalore"/>
    <n v="114"/>
    <n v="100"/>
    <n v="8"/>
    <n v="4"/>
    <n v="5"/>
    <n v="8"/>
    <n v="114"/>
    <n v="22.8"/>
  </r>
  <r>
    <x v="136"/>
    <x v="12"/>
    <s v="Royal Challengers Bangalore"/>
    <n v="48"/>
    <n v="33"/>
    <n v="3"/>
    <n v="3"/>
    <n v="2"/>
    <n v="5"/>
    <n v="145.44999999999999"/>
    <n v="24"/>
  </r>
  <r>
    <x v="136"/>
    <x v="13"/>
    <s v="Deccan Chargers"/>
    <n v="104"/>
    <n v="109"/>
    <n v="6"/>
    <n v="2"/>
    <n v="4"/>
    <n v="6"/>
    <n v="95.41"/>
    <n v="26"/>
  </r>
  <r>
    <x v="136"/>
    <x v="0"/>
    <s v="Deccan Chargers"/>
    <n v="479"/>
    <n v="319"/>
    <n v="41"/>
    <n v="20"/>
    <n v="12"/>
    <n v="13"/>
    <n v="150.16"/>
    <n v="39.92"/>
  </r>
  <r>
    <x v="136"/>
    <x v="1"/>
    <s v="Sunrisers Hyderabad"/>
    <n v="226"/>
    <n v="196"/>
    <n v="18"/>
    <n v="9"/>
    <n v="12"/>
    <n v="13"/>
    <n v="115.31"/>
    <n v="18.829999999999998"/>
  </r>
  <r>
    <x v="137"/>
    <x v="1"/>
    <s v="Delhi Daredevils"/>
    <n v="44"/>
    <n v="34"/>
    <n v="4"/>
    <n v="1"/>
    <n v="2"/>
    <n v="3"/>
    <n v="129.41"/>
    <n v="22"/>
  </r>
  <r>
    <x v="137"/>
    <x v="14"/>
    <s v="Mumbai Indians"/>
    <n v="121"/>
    <n v="110"/>
    <n v="13"/>
    <n v="5"/>
    <n v="6"/>
    <n v="9"/>
    <n v="110"/>
    <n v="20.170000000000002"/>
  </r>
  <r>
    <x v="137"/>
    <x v="2"/>
    <s v="Delhi Daredevils"/>
    <n v="4"/>
    <n v="5"/>
    <n v="0"/>
    <n v="0"/>
    <n v="1"/>
    <n v="1"/>
    <n v="80"/>
    <n v="4"/>
  </r>
  <r>
    <x v="138"/>
    <x v="3"/>
    <s v="Delhi Daredevils"/>
    <n v="83"/>
    <n v="38"/>
    <n v="6"/>
    <n v="8"/>
    <n v="6"/>
    <n v="6"/>
    <n v="218.42"/>
    <n v="13.83"/>
  </r>
  <r>
    <x v="138"/>
    <x v="10"/>
    <s v="Delhi Daredevils"/>
    <n v="12"/>
    <n v="15"/>
    <n v="2"/>
    <n v="0"/>
    <n v="2"/>
    <n v="2"/>
    <n v="80"/>
    <n v="6"/>
  </r>
  <r>
    <x v="138"/>
    <x v="11"/>
    <s v="Sunrisers Hyderabad"/>
    <n v="75"/>
    <n v="48"/>
    <n v="1"/>
    <n v="8"/>
    <n v="4"/>
    <n v="4"/>
    <n v="156.25"/>
    <n v="18.75"/>
  </r>
  <r>
    <x v="138"/>
    <x v="15"/>
    <s v="Kolkata Knight Riders"/>
    <n v="11"/>
    <n v="9"/>
    <n v="1"/>
    <n v="0"/>
    <n v="2"/>
    <n v="2"/>
    <n v="122.22"/>
    <n v="5.5"/>
  </r>
  <r>
    <x v="139"/>
    <x v="10"/>
    <s v="Kolkata Knight Riders"/>
    <n v="46"/>
    <n v="47"/>
    <n v="4"/>
    <n v="1"/>
    <n v="3"/>
    <n v="7"/>
    <n v="97.87"/>
    <n v="15.33"/>
  </r>
  <r>
    <x v="139"/>
    <x v="11"/>
    <s v="Royal Challengers Bangalore"/>
    <n v="17"/>
    <n v="19"/>
    <n v="1"/>
    <n v="1"/>
    <n v="2"/>
    <n v="4"/>
    <n v="89.47"/>
    <n v="8.5"/>
  </r>
  <r>
    <x v="139"/>
    <x v="17"/>
    <s v="Delhi Capitals"/>
    <n v="15"/>
    <n v="11"/>
    <n v="2"/>
    <n v="0"/>
    <n v="0"/>
    <n v="1"/>
    <n v="136.36000000000001"/>
    <m/>
  </r>
  <r>
    <x v="140"/>
    <x v="8"/>
    <s v="Mumbai Indians"/>
    <n v="2"/>
    <n v="1"/>
    <n v="0"/>
    <n v="0"/>
    <n v="1"/>
    <n v="1"/>
    <n v="200"/>
    <n v="2"/>
  </r>
  <r>
    <x v="140"/>
    <x v="12"/>
    <s v="Mumbai Indians"/>
    <n v="2"/>
    <n v="2"/>
    <n v="0"/>
    <n v="0"/>
    <n v="0"/>
    <n v="1"/>
    <n v="100"/>
    <m/>
  </r>
  <r>
    <x v="141"/>
    <x v="16"/>
    <s v="Kolkata Knight Riders"/>
    <n v="10"/>
    <n v="15"/>
    <n v="0"/>
    <n v="0"/>
    <n v="2"/>
    <n v="3"/>
    <n v="66.67"/>
    <n v="5"/>
  </r>
  <r>
    <x v="141"/>
    <x v="17"/>
    <s v="Kolkata Knight Riders"/>
    <n v="2"/>
    <n v="4"/>
    <n v="0"/>
    <n v="0"/>
    <n v="0"/>
    <n v="2"/>
    <n v="50"/>
    <m/>
  </r>
  <r>
    <x v="141"/>
    <x v="4"/>
    <s v="Kolkata Knight Riders"/>
    <n v="12"/>
    <n v="18"/>
    <n v="2"/>
    <n v="0"/>
    <n v="0"/>
    <n v="3"/>
    <n v="66.67"/>
    <m/>
  </r>
  <r>
    <x v="141"/>
    <x v="5"/>
    <s v="Kolkata Knight Riders"/>
    <n v="1"/>
    <n v="9"/>
    <n v="0"/>
    <n v="0"/>
    <n v="0"/>
    <n v="2"/>
    <n v="11.11"/>
    <m/>
  </r>
  <r>
    <x v="141"/>
    <x v="7"/>
    <s v="Kolkata Knight Riders"/>
    <n v="1"/>
    <n v="1"/>
    <n v="0"/>
    <n v="0"/>
    <n v="0"/>
    <n v="1"/>
    <n v="100"/>
    <m/>
  </r>
  <r>
    <x v="142"/>
    <x v="4"/>
    <s v="Mumbai Indians"/>
    <n v="161"/>
    <n v="113"/>
    <n v="14"/>
    <n v="11"/>
    <n v="7"/>
    <n v="7"/>
    <n v="142.47999999999999"/>
    <n v="23"/>
  </r>
  <r>
    <x v="142"/>
    <x v="6"/>
    <s v="Mumbai Indians"/>
    <n v="69"/>
    <n v="59"/>
    <n v="3"/>
    <n v="5"/>
    <n v="3"/>
    <n v="3"/>
    <n v="116.95"/>
    <n v="23"/>
  </r>
  <r>
    <x v="142"/>
    <x v="7"/>
    <s v="Chennai Super Kings"/>
    <n v="225"/>
    <n v="125"/>
    <n v="13"/>
    <n v="17"/>
    <n v="6"/>
    <n v="6"/>
    <n v="180"/>
    <n v="37.5"/>
  </r>
  <r>
    <x v="143"/>
    <x v="6"/>
    <s v="Rajasthan Royals"/>
    <n v="8"/>
    <n v="11"/>
    <n v="0"/>
    <n v="0"/>
    <n v="2"/>
    <n v="2"/>
    <n v="72.73"/>
    <n v="4"/>
  </r>
  <r>
    <x v="143"/>
    <x v="7"/>
    <s v="Delhi Capitals"/>
    <n v="1"/>
    <n v="3"/>
    <n v="0"/>
    <n v="0"/>
    <n v="1"/>
    <n v="1"/>
    <n v="33.33"/>
    <n v="1"/>
  </r>
  <r>
    <x v="144"/>
    <x v="8"/>
    <s v="Deccan Chargers"/>
    <n v="3"/>
    <n v="8"/>
    <n v="0"/>
    <n v="0"/>
    <n v="1"/>
    <n v="1"/>
    <n v="37.5"/>
    <n v="3"/>
  </r>
  <r>
    <x v="145"/>
    <x v="16"/>
    <s v="Royal Challengers Bangalore"/>
    <n v="473"/>
    <n v="378"/>
    <n v="51"/>
    <n v="8"/>
    <n v="14"/>
    <n v="15"/>
    <n v="125.13"/>
    <n v="33.79"/>
  </r>
  <r>
    <x v="145"/>
    <x v="17"/>
    <s v="Royal Challengers Bangalore"/>
    <n v="411"/>
    <n v="327"/>
    <n v="44"/>
    <n v="14"/>
    <n v="14"/>
    <n v="14"/>
    <n v="125.69"/>
    <n v="29.36"/>
  </r>
  <r>
    <x v="145"/>
    <x v="4"/>
    <s v="Rajasthan Royals"/>
    <n v="376"/>
    <n v="305"/>
    <n v="41"/>
    <n v="14"/>
    <n v="17"/>
    <n v="17"/>
    <n v="123.28"/>
    <n v="22.12"/>
  </r>
  <r>
    <x v="145"/>
    <x v="5"/>
    <s v="Rajasthan Royals"/>
    <n v="261"/>
    <n v="200"/>
    <n v="31"/>
    <n v="6"/>
    <n v="11"/>
    <n v="11"/>
    <n v="130.5"/>
    <n v="23.73"/>
  </r>
  <r>
    <x v="145"/>
    <x v="6"/>
    <s v="Lucknow Super Giants"/>
    <n v="38"/>
    <n v="52"/>
    <n v="3"/>
    <n v="0"/>
    <n v="7"/>
    <n v="7"/>
    <n v="73.08"/>
    <n v="5.43"/>
  </r>
  <r>
    <x v="145"/>
    <x v="7"/>
    <s v="Royal Challengers Bengaluru"/>
    <n v="247"/>
    <n v="163"/>
    <n v="22"/>
    <n v="14"/>
    <n v="9"/>
    <n v="10"/>
    <n v="151.53"/>
    <n v="27.44"/>
  </r>
  <r>
    <x v="146"/>
    <x v="4"/>
    <s v="Chennai Super Kings"/>
    <n v="44"/>
    <n v="28"/>
    <n v="3"/>
    <n v="3"/>
    <n v="4"/>
    <n v="5"/>
    <n v="157.13999999999999"/>
    <n v="11"/>
  </r>
  <r>
    <x v="147"/>
    <x v="8"/>
    <s v="Rajasthan Royals"/>
    <n v="33"/>
    <n v="24"/>
    <n v="5"/>
    <n v="0"/>
    <n v="1"/>
    <n v="3"/>
    <n v="137.5"/>
    <n v="33"/>
  </r>
  <r>
    <x v="148"/>
    <x v="2"/>
    <s v="Royal Challengers Bangalore"/>
    <n v="122"/>
    <n v="85"/>
    <n v="12"/>
    <n v="4"/>
    <n v="5"/>
    <n v="7"/>
    <n v="143.53"/>
    <n v="24.4"/>
  </r>
  <r>
    <x v="148"/>
    <x v="3"/>
    <s v="Royal Challengers Bangalore"/>
    <n v="5"/>
    <n v="4"/>
    <n v="0"/>
    <n v="0"/>
    <n v="0"/>
    <n v="1"/>
    <n v="125"/>
    <m/>
  </r>
  <r>
    <x v="148"/>
    <x v="5"/>
    <s v="Kolkata Knight Riders"/>
    <n v="21"/>
    <n v="11"/>
    <n v="0"/>
    <n v="3"/>
    <n v="1"/>
    <n v="3"/>
    <n v="190.91"/>
    <n v="21"/>
  </r>
  <r>
    <x v="149"/>
    <x v="9"/>
    <s v="Royal Challengers Bangalore"/>
    <n v="10"/>
    <n v="13"/>
    <n v="0"/>
    <n v="0"/>
    <n v="1"/>
    <n v="1"/>
    <n v="76.92"/>
    <n v="10"/>
  </r>
  <r>
    <x v="150"/>
    <x v="0"/>
    <s v="Kings XI Punjab"/>
    <n v="98"/>
    <n v="75"/>
    <n v="6"/>
    <n v="4"/>
    <n v="2"/>
    <n v="6"/>
    <n v="130.66999999999999"/>
    <n v="49"/>
  </r>
  <r>
    <x v="150"/>
    <x v="1"/>
    <s v="Kings XI Punjab"/>
    <n v="418"/>
    <n v="253"/>
    <n v="28"/>
    <n v="24"/>
    <n v="8"/>
    <n v="12"/>
    <n v="165.22"/>
    <n v="52.25"/>
  </r>
  <r>
    <x v="150"/>
    <x v="14"/>
    <s v="Kings XI Punjab"/>
    <n v="446"/>
    <n v="299"/>
    <n v="34"/>
    <n v="21"/>
    <n v="9"/>
    <n v="16"/>
    <n v="149.16"/>
    <n v="49.56"/>
  </r>
  <r>
    <x v="150"/>
    <x v="2"/>
    <s v="Kings XI Punjab"/>
    <n v="357"/>
    <n v="267"/>
    <n v="21"/>
    <n v="21"/>
    <n v="13"/>
    <n v="13"/>
    <n v="133.71"/>
    <n v="27.46"/>
  </r>
  <r>
    <x v="150"/>
    <x v="3"/>
    <s v="Kings XI Punjab"/>
    <n v="161"/>
    <n v="130"/>
    <n v="11"/>
    <n v="4"/>
    <n v="10"/>
    <n v="13"/>
    <n v="123.85"/>
    <n v="16.100000000000001"/>
  </r>
  <r>
    <x v="150"/>
    <x v="10"/>
    <s v="Kings XI Punjab"/>
    <n v="83"/>
    <n v="78"/>
    <n v="4"/>
    <n v="4"/>
    <n v="3"/>
    <n v="4"/>
    <n v="106.41"/>
    <n v="27.67"/>
  </r>
  <r>
    <x v="150"/>
    <x v="11"/>
    <s v="Kings XI Punjab"/>
    <n v="74"/>
    <n v="63"/>
    <n v="3"/>
    <n v="2"/>
    <n v="2"/>
    <n v="3"/>
    <n v="117.46"/>
    <n v="37"/>
  </r>
  <r>
    <x v="150"/>
    <x v="15"/>
    <s v="Kings XI Punjab"/>
    <n v="213"/>
    <n v="163"/>
    <n v="19"/>
    <n v="7"/>
    <n v="8"/>
    <n v="10"/>
    <n v="130.66999999999999"/>
    <n v="26.62"/>
  </r>
  <r>
    <x v="150"/>
    <x v="17"/>
    <s v="Rajasthan Royals"/>
    <n v="124"/>
    <n v="113"/>
    <n v="11"/>
    <n v="3"/>
    <n v="5"/>
    <n v="8"/>
    <n v="109.73"/>
    <n v="24.8"/>
  </r>
  <r>
    <x v="150"/>
    <x v="4"/>
    <s v="Gujarat Titans"/>
    <n v="481"/>
    <n v="335"/>
    <n v="32"/>
    <n v="23"/>
    <n v="9"/>
    <n v="16"/>
    <n v="143.58000000000001"/>
    <n v="53.44"/>
  </r>
  <r>
    <x v="150"/>
    <x v="5"/>
    <s v="Gujarat Titans"/>
    <n v="259"/>
    <n v="178"/>
    <n v="18"/>
    <n v="13"/>
    <n v="8"/>
    <n v="13"/>
    <n v="145.51"/>
    <n v="32.380000000000003"/>
  </r>
  <r>
    <x v="150"/>
    <x v="6"/>
    <s v="Gujarat Titans"/>
    <n v="210"/>
    <n v="139"/>
    <n v="20"/>
    <n v="8"/>
    <n v="7"/>
    <n v="9"/>
    <n v="151.08000000000001"/>
    <n v="30"/>
  </r>
  <r>
    <x v="150"/>
    <x v="7"/>
    <s v="Lucknow Super Giants"/>
    <n v="153"/>
    <n v="119"/>
    <n v="13"/>
    <n v="4"/>
    <n v="5"/>
    <n v="10"/>
    <n v="128.57"/>
    <n v="30.6"/>
  </r>
  <r>
    <x v="151"/>
    <x v="9"/>
    <s v="Delhi Daredevils"/>
    <n v="163"/>
    <n v="132"/>
    <n v="16"/>
    <n v="5"/>
    <n v="7"/>
    <n v="7"/>
    <n v="123.48"/>
    <n v="23.29"/>
  </r>
  <r>
    <x v="151"/>
    <x v="12"/>
    <s v="Delhi Daredevils"/>
    <n v="282"/>
    <n v="189"/>
    <n v="27"/>
    <n v="14"/>
    <n v="10"/>
    <n v="11"/>
    <n v="149.21"/>
    <n v="28.2"/>
  </r>
  <r>
    <x v="151"/>
    <x v="13"/>
    <s v="Delhi Daredevils"/>
    <n v="324"/>
    <n v="275"/>
    <n v="34"/>
    <n v="11"/>
    <n v="13"/>
    <n v="13"/>
    <n v="117.82"/>
    <n v="24.92"/>
  </r>
  <r>
    <x v="151"/>
    <x v="0"/>
    <s v="Delhi Daredevils"/>
    <n v="256"/>
    <n v="155"/>
    <n v="28"/>
    <n v="14"/>
    <n v="7"/>
    <n v="8"/>
    <n v="165.16"/>
    <n v="36.57"/>
  </r>
  <r>
    <x v="151"/>
    <x v="1"/>
    <s v="Delhi Daredevils"/>
    <n v="410"/>
    <n v="324"/>
    <n v="41"/>
    <n v="14"/>
    <n v="14"/>
    <n v="16"/>
    <n v="126.54"/>
    <n v="29.29"/>
  </r>
  <r>
    <x v="151"/>
    <x v="14"/>
    <s v="Sunrisers Hyderabad"/>
    <n v="528"/>
    <n v="371"/>
    <n v="39"/>
    <n v="24"/>
    <n v="12"/>
    <n v="14"/>
    <n v="142.32"/>
    <n v="44"/>
  </r>
  <r>
    <x v="151"/>
    <x v="2"/>
    <s v="Sunrisers Hyderabad"/>
    <n v="562"/>
    <n v="356"/>
    <n v="65"/>
    <n v="21"/>
    <n v="12"/>
    <n v="14"/>
    <n v="157.87"/>
    <n v="46.83"/>
  </r>
  <r>
    <x v="151"/>
    <x v="3"/>
    <s v="Sunrisers Hyderabad"/>
    <n v="848"/>
    <n v="558"/>
    <n v="88"/>
    <n v="31"/>
    <n v="16"/>
    <n v="17"/>
    <n v="151.97"/>
    <n v="53"/>
  </r>
  <r>
    <x v="151"/>
    <x v="10"/>
    <s v="Sunrisers Hyderabad"/>
    <n v="641"/>
    <n v="449"/>
    <n v="63"/>
    <n v="26"/>
    <n v="11"/>
    <n v="14"/>
    <n v="142.76"/>
    <n v="58.27"/>
  </r>
  <r>
    <x v="151"/>
    <x v="15"/>
    <s v="Sunrisers Hyderabad"/>
    <n v="692"/>
    <n v="481"/>
    <n v="57"/>
    <n v="21"/>
    <n v="12"/>
    <n v="12"/>
    <n v="143.87"/>
    <n v="57.67"/>
  </r>
  <r>
    <x v="151"/>
    <x v="16"/>
    <s v="Sunrisers Hyderabad"/>
    <n v="548"/>
    <n v="406"/>
    <n v="52"/>
    <n v="14"/>
    <n v="14"/>
    <n v="16"/>
    <n v="134.97999999999999"/>
    <n v="39.14"/>
  </r>
  <r>
    <x v="151"/>
    <x v="17"/>
    <s v="Sunrisers Hyderabad"/>
    <n v="197"/>
    <n v="184"/>
    <n v="15"/>
    <n v="6"/>
    <n v="6"/>
    <n v="8"/>
    <n v="107.07"/>
    <n v="32.83"/>
  </r>
  <r>
    <x v="151"/>
    <x v="4"/>
    <s v="Delhi Capitals"/>
    <n v="432"/>
    <n v="285"/>
    <n v="52"/>
    <n v="15"/>
    <n v="9"/>
    <n v="12"/>
    <n v="151.58000000000001"/>
    <n v="48"/>
  </r>
  <r>
    <x v="151"/>
    <x v="5"/>
    <s v="Delhi Capitals"/>
    <n v="516"/>
    <n v="391"/>
    <n v="69"/>
    <n v="10"/>
    <n v="13"/>
    <n v="14"/>
    <n v="131.97"/>
    <n v="39.69"/>
  </r>
  <r>
    <x v="151"/>
    <x v="6"/>
    <s v="Delhi Capitals"/>
    <n v="168"/>
    <n v="124"/>
    <n v="17"/>
    <n v="10"/>
    <n v="8"/>
    <n v="8"/>
    <n v="135.47999999999999"/>
    <n v="21"/>
  </r>
  <r>
    <x v="152"/>
    <x v="0"/>
    <s v="Delhi Daredevils"/>
    <n v="12"/>
    <n v="9"/>
    <n v="1"/>
    <n v="0"/>
    <n v="0"/>
    <n v="1"/>
    <n v="133.33000000000001"/>
    <m/>
  </r>
  <r>
    <x v="153"/>
    <x v="8"/>
    <s v="Kolkata Knight Riders"/>
    <n v="103"/>
    <n v="94"/>
    <n v="9"/>
    <n v="5"/>
    <n v="6"/>
    <n v="6"/>
    <n v="109.57"/>
    <n v="17.170000000000002"/>
  </r>
  <r>
    <x v="153"/>
    <x v="0"/>
    <s v="Kolkata Knight Riders"/>
    <n v="126"/>
    <n v="92"/>
    <n v="9"/>
    <n v="6"/>
    <n v="1"/>
    <n v="10"/>
    <n v="136.96"/>
    <n v="126"/>
  </r>
  <r>
    <x v="153"/>
    <x v="1"/>
    <s v="Kolkata Knight Riders"/>
    <n v="75"/>
    <n v="74"/>
    <n v="5"/>
    <n v="5"/>
    <n v="5"/>
    <n v="6"/>
    <n v="101.35"/>
    <n v="15"/>
  </r>
  <r>
    <x v="154"/>
    <x v="8"/>
    <s v="Deccan Chargers"/>
    <n v="109"/>
    <n v="81"/>
    <n v="10"/>
    <n v="5"/>
    <n v="6"/>
    <n v="6"/>
    <n v="134.57"/>
    <n v="18.170000000000002"/>
  </r>
  <r>
    <x v="154"/>
    <x v="9"/>
    <s v="Deccan Chargers"/>
    <n v="65"/>
    <n v="70"/>
    <n v="7"/>
    <n v="0"/>
    <n v="4"/>
    <n v="6"/>
    <n v="92.86"/>
    <n v="16.25"/>
  </r>
  <r>
    <x v="154"/>
    <x v="13"/>
    <s v="Deccan Chargers"/>
    <n v="183"/>
    <n v="143"/>
    <n v="17"/>
    <n v="4"/>
    <n v="7"/>
    <n v="9"/>
    <n v="127.97"/>
    <n v="26.14"/>
  </r>
  <r>
    <x v="154"/>
    <x v="0"/>
    <s v="Deccan Chargers"/>
    <n v="4"/>
    <n v="4"/>
    <n v="1"/>
    <n v="0"/>
    <n v="2"/>
    <n v="2"/>
    <n v="100"/>
    <n v="2"/>
  </r>
  <r>
    <x v="154"/>
    <x v="1"/>
    <s v="Sunrisers Hyderabad"/>
    <n v="14"/>
    <n v="17"/>
    <n v="0"/>
    <n v="0"/>
    <n v="1"/>
    <n v="2"/>
    <n v="82.35"/>
    <n v="14"/>
  </r>
  <r>
    <x v="155"/>
    <x v="12"/>
    <s v="Chennai Super Kings"/>
    <n v="18"/>
    <n v="16"/>
    <n v="1"/>
    <n v="1"/>
    <n v="0"/>
    <n v="2"/>
    <n v="112.5"/>
    <m/>
  </r>
  <r>
    <x v="155"/>
    <x v="13"/>
    <s v="Chennai Super Kings"/>
    <n v="0"/>
    <n v="1"/>
    <n v="0"/>
    <n v="0"/>
    <n v="0"/>
    <n v="1"/>
    <n v="0"/>
    <m/>
  </r>
  <r>
    <x v="155"/>
    <x v="0"/>
    <s v="Chennai Super Kings"/>
    <n v="3"/>
    <n v="5"/>
    <n v="0"/>
    <n v="0"/>
    <n v="1"/>
    <n v="1"/>
    <n v="60"/>
    <n v="3"/>
  </r>
  <r>
    <x v="156"/>
    <x v="5"/>
    <s v="Gujarat Titans"/>
    <n v="0"/>
    <n v="1"/>
    <n v="0"/>
    <n v="0"/>
    <n v="1"/>
    <n v="1"/>
    <n v="0"/>
    <n v="0"/>
  </r>
  <r>
    <x v="156"/>
    <x v="6"/>
    <s v="Gujarat Titans"/>
    <n v="12"/>
    <n v="11"/>
    <n v="0"/>
    <n v="1"/>
    <n v="1"/>
    <n v="1"/>
    <n v="109.09"/>
    <n v="12"/>
  </r>
  <r>
    <x v="157"/>
    <x v="13"/>
    <s v="Rajasthan Royals"/>
    <n v="16"/>
    <n v="21"/>
    <n v="1"/>
    <n v="0"/>
    <n v="1"/>
    <n v="4"/>
    <n v="76.19"/>
    <n v="16"/>
  </r>
  <r>
    <x v="157"/>
    <x v="0"/>
    <s v="Rajasthan Royals"/>
    <n v="25"/>
    <n v="13"/>
    <n v="5"/>
    <n v="0"/>
    <n v="1"/>
    <n v="3"/>
    <n v="192.31"/>
    <n v="25"/>
  </r>
  <r>
    <x v="157"/>
    <x v="1"/>
    <s v="Rajasthan Royals"/>
    <n v="125"/>
    <n v="93"/>
    <n v="17"/>
    <n v="2"/>
    <n v="7"/>
    <n v="9"/>
    <n v="134.41"/>
    <n v="17.86"/>
  </r>
  <r>
    <x v="157"/>
    <x v="14"/>
    <s v="Rajasthan Royals"/>
    <n v="4"/>
    <n v="6"/>
    <n v="0"/>
    <n v="0"/>
    <n v="0"/>
    <n v="1"/>
    <n v="66.67"/>
    <m/>
  </r>
  <r>
    <x v="158"/>
    <x v="8"/>
    <s v="Mumbai Indians"/>
    <n v="178"/>
    <n v="131"/>
    <n v="19"/>
    <n v="5"/>
    <n v="6"/>
    <n v="7"/>
    <n v="135.88"/>
    <n v="29.67"/>
  </r>
  <r>
    <x v="158"/>
    <x v="9"/>
    <s v="Mumbai Indians"/>
    <n v="218"/>
    <n v="201"/>
    <n v="15"/>
    <n v="8"/>
    <n v="8"/>
    <n v="10"/>
    <n v="108.46"/>
    <n v="27.25"/>
  </r>
  <r>
    <x v="158"/>
    <x v="12"/>
    <s v="Mumbai Indians"/>
    <n v="61"/>
    <n v="53"/>
    <n v="3"/>
    <n v="4"/>
    <n v="7"/>
    <n v="8"/>
    <n v="115.09"/>
    <n v="8.7100000000000009"/>
  </r>
  <r>
    <x v="158"/>
    <x v="13"/>
    <s v="Chennai Super Kings"/>
    <n v="11"/>
    <n v="6"/>
    <n v="1"/>
    <n v="1"/>
    <n v="1"/>
    <n v="2"/>
    <n v="183.33"/>
    <n v="11"/>
  </r>
  <r>
    <x v="158"/>
    <x v="0"/>
    <s v="Chennai Super Kings"/>
    <n v="371"/>
    <n v="262"/>
    <n v="20"/>
    <n v="20"/>
    <n v="8"/>
    <n v="16"/>
    <n v="141.6"/>
    <n v="46.38"/>
  </r>
  <r>
    <x v="158"/>
    <x v="1"/>
    <s v="Chennai Super Kings"/>
    <n v="121"/>
    <n v="106"/>
    <n v="11"/>
    <n v="3"/>
    <n v="8"/>
    <n v="12"/>
    <n v="114.15"/>
    <n v="15.12"/>
  </r>
  <r>
    <x v="158"/>
    <x v="14"/>
    <s v="Chennai Super Kings"/>
    <n v="8"/>
    <n v="3"/>
    <n v="0"/>
    <n v="1"/>
    <n v="0"/>
    <n v="1"/>
    <n v="266.67"/>
    <m/>
  </r>
  <r>
    <x v="158"/>
    <x v="2"/>
    <s v="Chennai Super Kings"/>
    <n v="195"/>
    <n v="148"/>
    <n v="22"/>
    <n v="5"/>
    <n v="8"/>
    <n v="13"/>
    <n v="131.76"/>
    <n v="24.38"/>
  </r>
  <r>
    <x v="158"/>
    <x v="3"/>
    <s v="Gujarat Lions"/>
    <n v="99"/>
    <n v="82"/>
    <n v="11"/>
    <n v="1"/>
    <n v="8"/>
    <n v="12"/>
    <n v="120.73"/>
    <n v="12.38"/>
  </r>
  <r>
    <x v="158"/>
    <x v="11"/>
    <s v="Chennai Super Kings"/>
    <n v="141"/>
    <n v="90"/>
    <n v="8"/>
    <n v="10"/>
    <n v="4"/>
    <n v="10"/>
    <n v="156.66999999999999"/>
    <n v="35.25"/>
  </r>
  <r>
    <x v="158"/>
    <x v="15"/>
    <s v="Chennai Super Kings"/>
    <n v="80"/>
    <n v="66"/>
    <n v="6"/>
    <n v="3"/>
    <n v="5"/>
    <n v="8"/>
    <n v="121.21"/>
    <n v="16"/>
  </r>
  <r>
    <x v="158"/>
    <x v="16"/>
    <s v="Chennai Super Kings"/>
    <n v="7"/>
    <n v="6"/>
    <n v="0"/>
    <n v="0"/>
    <n v="2"/>
    <n v="2"/>
    <n v="116.67"/>
    <n v="3.5"/>
  </r>
  <r>
    <x v="158"/>
    <x v="17"/>
    <s v="Chennai Super Kings"/>
    <n v="47"/>
    <n v="18"/>
    <n v="3"/>
    <n v="4"/>
    <n v="2"/>
    <n v="3"/>
    <n v="261.11"/>
    <n v="23.5"/>
  </r>
  <r>
    <x v="158"/>
    <x v="4"/>
    <s v="Chennai Super Kings"/>
    <n v="23"/>
    <n v="24"/>
    <n v="1"/>
    <n v="1"/>
    <n v="2"/>
    <n v="6"/>
    <n v="95.83"/>
    <n v="11.5"/>
  </r>
  <r>
    <x v="159"/>
    <x v="0"/>
    <s v="Deccan Chargers"/>
    <n v="111"/>
    <n v="101"/>
    <n v="11"/>
    <n v="5"/>
    <n v="3"/>
    <n v="4"/>
    <n v="109.9"/>
    <n v="37"/>
  </r>
  <r>
    <x v="160"/>
    <x v="2"/>
    <s v="Rajasthan Royals"/>
    <n v="151"/>
    <n v="95"/>
    <n v="6"/>
    <n v="11"/>
    <n v="9"/>
    <n v="9"/>
    <n v="158.94999999999999"/>
    <n v="16.78"/>
  </r>
  <r>
    <x v="160"/>
    <x v="3"/>
    <s v="Sunrisers Hyderabad"/>
    <n v="144"/>
    <n v="119"/>
    <n v="9"/>
    <n v="5"/>
    <n v="11"/>
    <n v="15"/>
    <n v="121.01"/>
    <n v="13.09"/>
  </r>
  <r>
    <x v="160"/>
    <x v="10"/>
    <s v="Sunrisers Hyderabad"/>
    <n v="78"/>
    <n v="52"/>
    <n v="5"/>
    <n v="4"/>
    <n v="3"/>
    <n v="6"/>
    <n v="150"/>
    <n v="26"/>
  </r>
  <r>
    <x v="160"/>
    <x v="11"/>
    <s v="Sunrisers Hyderabad"/>
    <n v="87"/>
    <n v="81"/>
    <n v="2"/>
    <n v="3"/>
    <n v="5"/>
    <n v="8"/>
    <n v="107.41"/>
    <n v="17.399999999999999"/>
  </r>
  <r>
    <x v="160"/>
    <x v="15"/>
    <s v="Sunrisers Hyderabad"/>
    <n v="64"/>
    <n v="63"/>
    <n v="5"/>
    <n v="1"/>
    <n v="6"/>
    <n v="7"/>
    <n v="101.59"/>
    <n v="10.67"/>
  </r>
  <r>
    <x v="160"/>
    <x v="16"/>
    <s v="Kings XI Punjab"/>
    <n v="102"/>
    <n v="72"/>
    <n v="5"/>
    <n v="5"/>
    <n v="1"/>
    <n v="5"/>
    <n v="141.66999999999999"/>
    <n v="102"/>
  </r>
  <r>
    <x v="160"/>
    <x v="17"/>
    <s v="Punjab Kings"/>
    <n v="160"/>
    <n v="121"/>
    <n v="9"/>
    <n v="9"/>
    <n v="9"/>
    <n v="11"/>
    <n v="132.22999999999999"/>
    <n v="17.78"/>
  </r>
  <r>
    <x v="160"/>
    <x v="4"/>
    <s v="Lucknow Super Giants"/>
    <n v="451"/>
    <n v="329"/>
    <n v="36"/>
    <n v="18"/>
    <n v="14"/>
    <n v="14"/>
    <n v="137.08000000000001"/>
    <n v="32.21"/>
  </r>
  <r>
    <x v="160"/>
    <x v="5"/>
    <s v="Lucknow Super Giants"/>
    <n v="84"/>
    <n v="90"/>
    <n v="3"/>
    <n v="2"/>
    <n v="11"/>
    <n v="12"/>
    <n v="93.33"/>
    <n v="7.64"/>
  </r>
  <r>
    <x v="160"/>
    <x v="6"/>
    <s v="Lucknow Super Giants"/>
    <n v="145"/>
    <n v="105"/>
    <n v="16"/>
    <n v="3"/>
    <n v="8"/>
    <n v="9"/>
    <n v="138.1"/>
    <n v="18.12"/>
  </r>
  <r>
    <x v="160"/>
    <x v="7"/>
    <s v="Chennai Super Kings"/>
    <n v="31"/>
    <n v="40"/>
    <n v="2"/>
    <n v="1"/>
    <n v="5"/>
    <n v="5"/>
    <n v="77.5"/>
    <n v="6.2"/>
  </r>
  <r>
    <x v="161"/>
    <x v="8"/>
    <s v="Kolkata Knight Riders"/>
    <n v="319"/>
    <n v="258"/>
    <n v="19"/>
    <n v="17"/>
    <n v="11"/>
    <n v="13"/>
    <n v="123.64"/>
    <n v="29"/>
  </r>
  <r>
    <x v="161"/>
    <x v="9"/>
    <s v="Kolkata Knight Riders"/>
    <n v="98"/>
    <n v="57"/>
    <n v="7"/>
    <n v="6"/>
    <n v="3"/>
    <n v="4"/>
    <n v="171.93"/>
    <n v="32.67"/>
  </r>
  <r>
    <x v="161"/>
    <x v="12"/>
    <s v="Kolkata Knight Riders"/>
    <n v="94"/>
    <n v="85"/>
    <n v="5"/>
    <n v="5"/>
    <n v="4"/>
    <n v="6"/>
    <n v="110.59"/>
    <n v="23.5"/>
  </r>
  <r>
    <x v="161"/>
    <x v="13"/>
    <s v="Kings XI Punjab"/>
    <n v="64"/>
    <n v="63"/>
    <n v="3"/>
    <n v="3"/>
    <n v="6"/>
    <n v="8"/>
    <n v="101.59"/>
    <n v="10.67"/>
  </r>
  <r>
    <x v="161"/>
    <x v="0"/>
    <s v="Kings XI Punjab"/>
    <n v="396"/>
    <n v="305"/>
    <n v="28"/>
    <n v="17"/>
    <n v="12"/>
    <n v="15"/>
    <n v="129.84"/>
    <n v="33"/>
  </r>
  <r>
    <x v="161"/>
    <x v="1"/>
    <s v="Kings XI Punjab"/>
    <n v="235"/>
    <n v="208"/>
    <n v="20"/>
    <n v="6"/>
    <n v="11"/>
    <n v="11"/>
    <n v="112.98"/>
    <n v="21.36"/>
  </r>
  <r>
    <x v="161"/>
    <x v="14"/>
    <s v="Chennai Super Kings"/>
    <n v="116"/>
    <n v="94"/>
    <n v="8"/>
    <n v="6"/>
    <n v="2"/>
    <n v="4"/>
    <n v="123.4"/>
    <n v="58"/>
  </r>
  <r>
    <x v="162"/>
    <x v="13"/>
    <s v="Mumbai Indians"/>
    <n v="92"/>
    <n v="88"/>
    <n v="10"/>
    <n v="4"/>
    <n v="6"/>
    <n v="6"/>
    <n v="104.55"/>
    <n v="15.33"/>
  </r>
  <r>
    <x v="162"/>
    <x v="0"/>
    <s v="Mumbai Indians"/>
    <n v="0"/>
    <n v="10"/>
    <n v="0"/>
    <n v="0"/>
    <n v="1"/>
    <n v="1"/>
    <n v="0"/>
    <n v="0"/>
  </r>
  <r>
    <x v="163"/>
    <x v="17"/>
    <s v="Punjab Kings"/>
    <n v="26"/>
    <n v="26"/>
    <n v="1"/>
    <n v="1"/>
    <n v="1"/>
    <n v="1"/>
    <n v="100"/>
    <n v="26"/>
  </r>
  <r>
    <x v="164"/>
    <x v="4"/>
    <s v="Rajasthan Royals"/>
    <n v="33"/>
    <n v="44"/>
    <n v="1"/>
    <n v="0"/>
    <n v="2"/>
    <n v="2"/>
    <n v="75"/>
    <n v="16.5"/>
  </r>
  <r>
    <x v="164"/>
    <x v="6"/>
    <s v="Chennai Super Kings"/>
    <n v="318"/>
    <n v="223"/>
    <n v="27"/>
    <n v="10"/>
    <n v="11"/>
    <n v="13"/>
    <n v="142.6"/>
    <n v="28.91"/>
  </r>
  <r>
    <x v="165"/>
    <x v="2"/>
    <s v="Delhi Daredevils"/>
    <n v="1"/>
    <n v="3"/>
    <n v="0"/>
    <n v="0"/>
    <n v="1"/>
    <n v="1"/>
    <n v="33.33"/>
    <n v="1"/>
  </r>
  <r>
    <x v="166"/>
    <x v="8"/>
    <s v="Mumbai Indians"/>
    <n v="39"/>
    <n v="53"/>
    <n v="2"/>
    <n v="2"/>
    <n v="3"/>
    <n v="4"/>
    <n v="73.58"/>
    <n v="13"/>
  </r>
  <r>
    <x v="167"/>
    <x v="4"/>
    <s v="Royal Challengers Bangalore"/>
    <n v="18"/>
    <n v="30"/>
    <n v="3"/>
    <n v="0"/>
    <n v="3"/>
    <n v="2"/>
    <n v="60"/>
    <n v="6"/>
  </r>
  <r>
    <x v="167"/>
    <x v="5"/>
    <s v="Royal Challengers Bangalore"/>
    <n v="35"/>
    <n v="32"/>
    <n v="4"/>
    <n v="0"/>
    <n v="0"/>
    <n v="3"/>
    <n v="109.38"/>
    <m/>
  </r>
  <r>
    <x v="168"/>
    <x v="1"/>
    <s v="Sunrisers Hyderabad"/>
    <n v="174"/>
    <n v="132"/>
    <n v="11"/>
    <n v="10"/>
    <n v="6"/>
    <n v="9"/>
    <n v="131.82"/>
    <n v="29"/>
  </r>
  <r>
    <x v="168"/>
    <x v="14"/>
    <s v="Sunrisers Hyderabad"/>
    <n v="108"/>
    <n v="91"/>
    <n v="4"/>
    <n v="8"/>
    <n v="7"/>
    <n v="9"/>
    <n v="118.68"/>
    <n v="15.43"/>
  </r>
  <r>
    <x v="168"/>
    <x v="2"/>
    <s v="Royal Challengers Bangalore"/>
    <n v="13"/>
    <n v="18"/>
    <n v="0"/>
    <n v="0"/>
    <n v="2"/>
    <n v="2"/>
    <n v="72.22"/>
    <n v="6.5"/>
  </r>
  <r>
    <x v="169"/>
    <x v="11"/>
    <s v="Rajasthan Royals"/>
    <n v="115"/>
    <n v="99"/>
    <n v="11"/>
    <n v="5"/>
    <n v="7"/>
    <n v="7"/>
    <n v="116.16"/>
    <n v="16.43"/>
  </r>
  <r>
    <x v="170"/>
    <x v="10"/>
    <s v="Rising Pune Supergiant"/>
    <n v="14"/>
    <n v="6"/>
    <n v="0"/>
    <n v="2"/>
    <n v="1"/>
    <n v="1"/>
    <n v="233.33"/>
    <n v="14"/>
  </r>
  <r>
    <x v="170"/>
    <x v="11"/>
    <s v="Chennai Super Kings"/>
    <n v="50"/>
    <n v="29"/>
    <n v="1"/>
    <n v="4"/>
    <n v="3"/>
    <n v="4"/>
    <n v="172.41"/>
    <n v="16.670000000000002"/>
  </r>
  <r>
    <x v="170"/>
    <x v="15"/>
    <s v="Chennai Super Kings"/>
    <n v="7"/>
    <n v="9"/>
    <n v="1"/>
    <n v="0"/>
    <n v="2"/>
    <n v="2"/>
    <n v="77.78"/>
    <n v="3.5"/>
  </r>
  <r>
    <x v="170"/>
    <x v="16"/>
    <s v="Chennai Super Kings"/>
    <n v="7"/>
    <n v="12"/>
    <n v="0"/>
    <n v="0"/>
    <n v="1"/>
    <n v="3"/>
    <n v="58.33"/>
    <n v="7"/>
  </r>
  <r>
    <x v="170"/>
    <x v="17"/>
    <s v="Chennai Super Kings"/>
    <n v="1"/>
    <n v="1"/>
    <n v="0"/>
    <n v="0"/>
    <n v="0"/>
    <n v="1"/>
    <n v="100"/>
    <m/>
  </r>
  <r>
    <x v="170"/>
    <x v="5"/>
    <s v="Chennai Super Kings"/>
    <n v="1"/>
    <n v="2"/>
    <n v="0"/>
    <n v="0"/>
    <n v="0"/>
    <n v="1"/>
    <n v="50"/>
    <m/>
  </r>
  <r>
    <x v="170"/>
    <x v="7"/>
    <s v="Mumbai Indians"/>
    <n v="37"/>
    <n v="25"/>
    <n v="3"/>
    <n v="2"/>
    <n v="1"/>
    <n v="4"/>
    <n v="148"/>
    <n v="37"/>
  </r>
  <r>
    <x v="171"/>
    <x v="9"/>
    <s v="Delhi Daredevils"/>
    <n v="34"/>
    <n v="31"/>
    <n v="3"/>
    <n v="0"/>
    <n v="2"/>
    <n v="3"/>
    <n v="109.68"/>
    <n v="17"/>
  </r>
  <r>
    <x v="171"/>
    <x v="12"/>
    <s v="Delhi Daredevils"/>
    <n v="33"/>
    <n v="27"/>
    <n v="4"/>
    <n v="0"/>
    <n v="1"/>
    <n v="3"/>
    <n v="122.22"/>
    <n v="33"/>
  </r>
  <r>
    <x v="171"/>
    <x v="13"/>
    <s v="Royal Challengers Bangalore"/>
    <n v="23"/>
    <n v="28"/>
    <n v="1"/>
    <n v="1"/>
    <n v="1"/>
    <n v="4"/>
    <n v="82.14"/>
    <n v="23"/>
  </r>
  <r>
    <x v="171"/>
    <x v="0"/>
    <s v="Royal Challengers Bangalore"/>
    <n v="31"/>
    <n v="26"/>
    <n v="3"/>
    <n v="1"/>
    <n v="3"/>
    <n v="6"/>
    <n v="119.23"/>
    <n v="10.33"/>
  </r>
  <r>
    <x v="172"/>
    <x v="10"/>
    <s v="Kolkata Knight Riders"/>
    <n v="6"/>
    <n v="5"/>
    <n v="1"/>
    <n v="0"/>
    <n v="0"/>
    <n v="1"/>
    <n v="120"/>
    <m/>
  </r>
  <r>
    <x v="173"/>
    <x v="8"/>
    <s v="Deccan Chargers"/>
    <n v="11"/>
    <n v="9"/>
    <n v="1"/>
    <n v="0"/>
    <n v="1"/>
    <n v="2"/>
    <n v="122.22"/>
    <n v="11"/>
  </r>
  <r>
    <x v="174"/>
    <x v="4"/>
    <s v="Chennai Super Kings"/>
    <n v="252"/>
    <n v="172"/>
    <n v="23"/>
    <n v="12"/>
    <n v="6"/>
    <n v="7"/>
    <n v="146.51"/>
    <n v="42"/>
  </r>
  <r>
    <x v="174"/>
    <x v="5"/>
    <s v="Chennai Super Kings"/>
    <n v="672"/>
    <n v="479"/>
    <n v="77"/>
    <n v="18"/>
    <n v="14"/>
    <n v="15"/>
    <n v="140.29"/>
    <n v="48"/>
  </r>
  <r>
    <x v="174"/>
    <x v="7"/>
    <s v="Chennai Super Kings"/>
    <n v="156"/>
    <n v="119"/>
    <n v="17"/>
    <n v="4"/>
    <n v="5"/>
    <n v="6"/>
    <n v="131.09"/>
    <n v="31.2"/>
  </r>
  <r>
    <x v="175"/>
    <x v="12"/>
    <s v="Delhi Daredevils"/>
    <n v="4"/>
    <n v="13"/>
    <n v="0"/>
    <n v="0"/>
    <n v="1"/>
    <n v="2"/>
    <n v="30.77"/>
    <n v="4"/>
  </r>
  <r>
    <x v="176"/>
    <x v="8"/>
    <s v="Deccan Chargers"/>
    <n v="1"/>
    <n v="1"/>
    <n v="0"/>
    <n v="0"/>
    <n v="0"/>
    <n v="1"/>
    <n v="100"/>
    <m/>
  </r>
  <r>
    <x v="177"/>
    <x v="8"/>
    <s v="Kings XI Punjab"/>
    <n v="179"/>
    <n v="131"/>
    <n v="15"/>
    <n v="7"/>
    <n v="9"/>
    <n v="12"/>
    <n v="136.63999999999999"/>
    <n v="19.89"/>
  </r>
  <r>
    <x v="177"/>
    <x v="9"/>
    <s v="Kings XI Punjab"/>
    <n v="219"/>
    <n v="165"/>
    <n v="17"/>
    <n v="7"/>
    <n v="7"/>
    <n v="10"/>
    <n v="132.72999999999999"/>
    <n v="31.29"/>
  </r>
  <r>
    <x v="177"/>
    <x v="12"/>
    <s v="Kings XI Punjab"/>
    <n v="445"/>
    <n v="299"/>
    <n v="55"/>
    <n v="12"/>
    <n v="12"/>
    <n v="13"/>
    <n v="148.83000000000001"/>
    <n v="37.08"/>
  </r>
  <r>
    <x v="177"/>
    <x v="13"/>
    <s v="Kochi Tuskers Kerala"/>
    <n v="299"/>
    <n v="257"/>
    <n v="35"/>
    <n v="5"/>
    <n v="12"/>
    <n v="13"/>
    <n v="116.34"/>
    <n v="24.92"/>
  </r>
  <r>
    <x v="177"/>
    <x v="0"/>
    <s v="Delhi Daredevils"/>
    <n v="335"/>
    <n v="298"/>
    <n v="39"/>
    <n v="3"/>
    <n v="10"/>
    <n v="15"/>
    <n v="112.42"/>
    <n v="33.5"/>
  </r>
  <r>
    <x v="177"/>
    <x v="1"/>
    <s v="Delhi Daredevils"/>
    <n v="331"/>
    <n v="312"/>
    <n v="39"/>
    <n v="6"/>
    <n v="14"/>
    <n v="15"/>
    <n v="106.09"/>
    <n v="23.64"/>
  </r>
  <r>
    <x v="178"/>
    <x v="12"/>
    <s v="Rajasthan Royals"/>
    <n v="19"/>
    <n v="24"/>
    <n v="1"/>
    <n v="0"/>
    <n v="2"/>
    <n v="1"/>
    <n v="79.17"/>
    <n v="9.5"/>
  </r>
  <r>
    <x v="179"/>
    <x v="16"/>
    <s v="Delhi Capitals"/>
    <n v="0"/>
    <n v="2"/>
    <n v="0"/>
    <n v="0"/>
    <n v="1"/>
    <n v="1"/>
    <n v="0"/>
    <n v="0"/>
  </r>
  <r>
    <x v="179"/>
    <x v="17"/>
    <s v="Royal Challengers Bangalore"/>
    <n v="6"/>
    <n v="6"/>
    <n v="0"/>
    <n v="0"/>
    <n v="1"/>
    <n v="2"/>
    <n v="100"/>
    <n v="6"/>
  </r>
  <r>
    <x v="179"/>
    <x v="4"/>
    <s v="Mumbai Indians"/>
    <n v="38"/>
    <n v="36"/>
    <n v="1"/>
    <n v="3"/>
    <n v="8"/>
    <n v="10"/>
    <n v="105.56"/>
    <n v="4.75"/>
  </r>
  <r>
    <x v="180"/>
    <x v="11"/>
    <s v="Chennai Super Kings"/>
    <n v="8"/>
    <n v="9"/>
    <n v="0"/>
    <n v="1"/>
    <n v="1"/>
    <n v="1"/>
    <n v="88.89"/>
    <n v="8"/>
  </r>
  <r>
    <x v="180"/>
    <x v="15"/>
    <s v="Chennai Super Kings"/>
    <n v="5"/>
    <n v="8"/>
    <n v="0"/>
    <n v="0"/>
    <n v="1"/>
    <n v="1"/>
    <n v="62.5"/>
    <n v="5"/>
  </r>
  <r>
    <x v="181"/>
    <x v="8"/>
    <s v="Mumbai Indians"/>
    <n v="45"/>
    <n v="40"/>
    <n v="5"/>
    <n v="1"/>
    <n v="2"/>
    <n v="3"/>
    <n v="112.5"/>
    <n v="22.5"/>
  </r>
  <r>
    <x v="181"/>
    <x v="9"/>
    <s v="Deccan Chargers"/>
    <n v="215"/>
    <n v="131"/>
    <n v="12"/>
    <n v="15"/>
    <n v="8"/>
    <n v="8"/>
    <n v="164.12"/>
    <n v="26.88"/>
  </r>
  <r>
    <x v="181"/>
    <x v="12"/>
    <s v="Deccan Chargers"/>
    <n v="22"/>
    <n v="25"/>
    <n v="1"/>
    <n v="1"/>
    <n v="2"/>
    <n v="3"/>
    <n v="88"/>
    <n v="11"/>
  </r>
  <r>
    <x v="181"/>
    <x v="0"/>
    <s v="Mumbai Indians"/>
    <n v="157"/>
    <n v="97"/>
    <n v="18"/>
    <n v="7"/>
    <n v="4"/>
    <n v="6"/>
    <n v="161.86000000000001"/>
    <n v="39.25"/>
  </r>
  <r>
    <x v="181"/>
    <x v="1"/>
    <s v="Mumbai Indians"/>
    <n v="418"/>
    <n v="340"/>
    <n v="40"/>
    <n v="19"/>
    <n v="13"/>
    <n v="13"/>
    <n v="122.94"/>
    <n v="32.15"/>
  </r>
  <r>
    <x v="181"/>
    <x v="14"/>
    <s v="Chennai Super Kings"/>
    <n v="566"/>
    <n v="415"/>
    <n v="50"/>
    <n v="34"/>
    <n v="17"/>
    <n v="16"/>
    <n v="136.38999999999999"/>
    <n v="33.29"/>
  </r>
  <r>
    <x v="181"/>
    <x v="2"/>
    <s v="Chennai Super Kings"/>
    <n v="399"/>
    <n v="331"/>
    <n v="52"/>
    <n v="16"/>
    <n v="14"/>
    <n v="16"/>
    <n v="120.54"/>
    <n v="28.5"/>
  </r>
  <r>
    <x v="181"/>
    <x v="3"/>
    <s v="Gujarat Lions"/>
    <n v="324"/>
    <n v="220"/>
    <n v="35"/>
    <n v="16"/>
    <n v="11"/>
    <n v="12"/>
    <n v="147.27000000000001"/>
    <n v="29.45"/>
  </r>
  <r>
    <x v="181"/>
    <x v="10"/>
    <s v="Gujarat Lions"/>
    <n v="239"/>
    <n v="156"/>
    <n v="32"/>
    <n v="8"/>
    <n v="10"/>
    <n v="11"/>
    <n v="153.21"/>
    <n v="23.9"/>
  </r>
  <r>
    <x v="182"/>
    <x v="8"/>
    <s v="Mumbai Indians"/>
    <n v="2"/>
    <n v="16"/>
    <n v="0"/>
    <n v="0"/>
    <n v="0"/>
    <n v="1"/>
    <n v="12.5"/>
    <m/>
  </r>
  <r>
    <x v="182"/>
    <x v="9"/>
    <s v="Mumbai Indians"/>
    <n v="9"/>
    <n v="17"/>
    <n v="0"/>
    <n v="0"/>
    <n v="2"/>
    <n v="3"/>
    <n v="52.94"/>
    <n v="4.5"/>
  </r>
  <r>
    <x v="182"/>
    <x v="13"/>
    <s v="Mumbai Indians"/>
    <n v="2"/>
    <n v="4"/>
    <n v="0"/>
    <n v="0"/>
    <n v="1"/>
    <n v="1"/>
    <n v="50"/>
    <n v="2"/>
  </r>
  <r>
    <x v="182"/>
    <x v="0"/>
    <s v="Mumbai Indians"/>
    <n v="10"/>
    <n v="5"/>
    <n v="2"/>
    <n v="0"/>
    <n v="0"/>
    <n v="1"/>
    <n v="200"/>
    <m/>
  </r>
  <r>
    <x v="182"/>
    <x v="14"/>
    <s v="Rajasthan Royals"/>
    <n v="35"/>
    <n v="25"/>
    <n v="1"/>
    <n v="2"/>
    <n v="1"/>
    <n v="2"/>
    <n v="140"/>
    <n v="35"/>
  </r>
  <r>
    <x v="182"/>
    <x v="2"/>
    <s v="Rajasthan Royals"/>
    <n v="4"/>
    <n v="11"/>
    <n v="0"/>
    <n v="0"/>
    <n v="2"/>
    <n v="2"/>
    <n v="36.36"/>
    <n v="2"/>
  </r>
  <r>
    <x v="182"/>
    <x v="3"/>
    <s v="Gujarat Lions"/>
    <n v="27"/>
    <n v="16"/>
    <n v="3"/>
    <n v="0"/>
    <n v="2"/>
    <n v="5"/>
    <n v="168.75"/>
    <n v="13.5"/>
  </r>
  <r>
    <x v="182"/>
    <x v="10"/>
    <s v="Gujarat Lions"/>
    <n v="1"/>
    <n v="2"/>
    <n v="0"/>
    <n v="0"/>
    <n v="1"/>
    <n v="1"/>
    <n v="50"/>
    <n v="1"/>
  </r>
  <r>
    <x v="182"/>
    <x v="11"/>
    <s v="Rajasthan Royals"/>
    <n v="6"/>
    <n v="7"/>
    <n v="0"/>
    <n v="0"/>
    <n v="0"/>
    <n v="2"/>
    <n v="85.71"/>
    <m/>
  </r>
  <r>
    <x v="182"/>
    <x v="15"/>
    <s v="Rajasthan Royals"/>
    <n v="5"/>
    <n v="3"/>
    <n v="1"/>
    <n v="0"/>
    <n v="0"/>
    <n v="1"/>
    <n v="166.67"/>
    <m/>
  </r>
  <r>
    <x v="182"/>
    <x v="16"/>
    <s v="Mumbai Indians"/>
    <n v="3"/>
    <n v="2"/>
    <n v="0"/>
    <n v="0"/>
    <n v="0"/>
    <n v="1"/>
    <n v="150"/>
    <m/>
  </r>
  <r>
    <x v="183"/>
    <x v="8"/>
    <s v="Rajasthan Royals"/>
    <n v="18"/>
    <n v="18"/>
    <n v="3"/>
    <n v="0"/>
    <n v="2"/>
    <n v="2"/>
    <n v="100"/>
    <n v="9"/>
  </r>
  <r>
    <x v="184"/>
    <x v="7"/>
    <s v="Lucknow Super Giants"/>
    <n v="1"/>
    <n v="3"/>
    <n v="0"/>
    <n v="0"/>
    <n v="1"/>
    <n v="1"/>
    <n v="33.33"/>
    <n v="1"/>
  </r>
  <r>
    <x v="185"/>
    <x v="13"/>
    <s v="Deccan Chargers"/>
    <n v="190"/>
    <n v="157"/>
    <n v="9"/>
    <n v="7"/>
    <n v="10"/>
    <n v="13"/>
    <n v="121.02"/>
    <n v="19"/>
  </r>
  <r>
    <x v="185"/>
    <x v="0"/>
    <s v="Deccan Chargers"/>
    <n v="145"/>
    <n v="118"/>
    <n v="8"/>
    <n v="6"/>
    <n v="5"/>
    <n v="7"/>
    <n v="122.88"/>
    <n v="29"/>
  </r>
  <r>
    <x v="185"/>
    <x v="1"/>
    <s v="Royal Challengers Bangalore"/>
    <n v="6"/>
    <n v="15"/>
    <n v="0"/>
    <n v="0"/>
    <n v="2"/>
    <n v="2"/>
    <n v="40"/>
    <n v="3"/>
  </r>
  <r>
    <x v="185"/>
    <x v="10"/>
    <s v="Rising Pune Supergiant"/>
    <n v="79"/>
    <n v="49"/>
    <n v="5"/>
    <n v="5"/>
    <n v="6"/>
    <n v="9"/>
    <n v="161.22"/>
    <n v="13.17"/>
  </r>
  <r>
    <x v="185"/>
    <x v="11"/>
    <s v="Delhi Daredevils"/>
    <n v="26"/>
    <n v="32"/>
    <n v="0"/>
    <n v="1"/>
    <n v="1"/>
    <n v="3"/>
    <n v="81.25"/>
    <n v="26"/>
  </r>
  <r>
    <x v="185"/>
    <x v="17"/>
    <s v="Royal Challengers Bangalore"/>
    <n v="14"/>
    <n v="23"/>
    <n v="1"/>
    <n v="0"/>
    <n v="4"/>
    <n v="7"/>
    <n v="60.87"/>
    <n v="3.5"/>
  </r>
  <r>
    <x v="186"/>
    <x v="8"/>
    <s v="Royal Challengers Bangalore"/>
    <n v="13"/>
    <n v="13"/>
    <n v="1"/>
    <n v="0"/>
    <n v="1"/>
    <n v="2"/>
    <n v="100"/>
    <n v="13"/>
  </r>
  <r>
    <x v="187"/>
    <x v="8"/>
    <s v="Royal Challengers Bangalore"/>
    <n v="2"/>
    <n v="5"/>
    <n v="0"/>
    <n v="0"/>
    <n v="2"/>
    <n v="2"/>
    <n v="40"/>
    <n v="1"/>
  </r>
  <r>
    <x v="187"/>
    <x v="9"/>
    <s v="Royal Challengers Bangalore"/>
    <n v="0"/>
    <n v="3"/>
    <n v="0"/>
    <n v="0"/>
    <n v="1"/>
    <n v="1"/>
    <n v="0"/>
    <n v="0"/>
  </r>
  <r>
    <x v="187"/>
    <x v="12"/>
    <s v="Royal Challengers Bangalore"/>
    <n v="13"/>
    <n v="17"/>
    <n v="2"/>
    <n v="0"/>
    <n v="4"/>
    <n v="4"/>
    <n v="76.47"/>
    <n v="3.25"/>
  </r>
  <r>
    <x v="187"/>
    <x v="13"/>
    <s v="Deccan Chargers"/>
    <n v="36"/>
    <n v="35"/>
    <n v="3"/>
    <n v="0"/>
    <n v="3"/>
    <n v="5"/>
    <n v="102.86"/>
    <n v="12"/>
  </r>
  <r>
    <x v="187"/>
    <x v="0"/>
    <s v="Deccan Chargers"/>
    <n v="19"/>
    <n v="21"/>
    <n v="0"/>
    <n v="1"/>
    <n v="5"/>
    <n v="5"/>
    <n v="90.48"/>
    <n v="3.8"/>
  </r>
  <r>
    <x v="187"/>
    <x v="1"/>
    <s v="Sunrisers Hyderabad"/>
    <n v="53"/>
    <n v="36"/>
    <n v="5"/>
    <n v="2"/>
    <n v="2"/>
    <n v="8"/>
    <n v="147.22"/>
    <n v="26.5"/>
  </r>
  <r>
    <x v="187"/>
    <x v="14"/>
    <s v="Sunrisers Hyderabad"/>
    <n v="22"/>
    <n v="26"/>
    <n v="1"/>
    <n v="0"/>
    <n v="2"/>
    <n v="3"/>
    <n v="84.62"/>
    <n v="11"/>
  </r>
  <r>
    <x v="187"/>
    <x v="2"/>
    <s v="Sunrisers Hyderabad"/>
    <n v="20"/>
    <n v="13"/>
    <n v="3"/>
    <n v="0"/>
    <n v="2"/>
    <n v="3"/>
    <n v="153.85"/>
    <n v="10"/>
  </r>
  <r>
    <x v="187"/>
    <x v="3"/>
    <s v="Gujarat Lions"/>
    <n v="1"/>
    <n v="2"/>
    <n v="0"/>
    <n v="0"/>
    <n v="1"/>
    <n v="1"/>
    <n v="50"/>
    <n v="1"/>
  </r>
  <r>
    <x v="187"/>
    <x v="16"/>
    <s v="Royal Challengers Bangalore"/>
    <n v="1"/>
    <n v="2"/>
    <n v="0"/>
    <n v="0"/>
    <n v="0"/>
    <n v="1"/>
    <n v="50"/>
    <m/>
  </r>
  <r>
    <x v="188"/>
    <x v="5"/>
    <s v="Rajasthan Royals"/>
    <n v="152"/>
    <n v="88"/>
    <n v="11"/>
    <n v="9"/>
    <n v="6"/>
    <n v="11"/>
    <n v="172.73"/>
    <n v="25.33"/>
  </r>
  <r>
    <x v="188"/>
    <x v="6"/>
    <s v="Rajasthan Royals"/>
    <n v="195"/>
    <n v="141"/>
    <n v="18"/>
    <n v="7"/>
    <n v="7"/>
    <n v="11"/>
    <n v="138.30000000000001"/>
    <n v="27.86"/>
  </r>
  <r>
    <x v="188"/>
    <x v="7"/>
    <s v="Rajasthan Royals"/>
    <n v="333"/>
    <n v="213"/>
    <n v="22"/>
    <n v="22"/>
    <n v="9"/>
    <n v="13"/>
    <n v="156.34"/>
    <n v="37"/>
  </r>
  <r>
    <x v="189"/>
    <x v="11"/>
    <s v="Mumbai Indians"/>
    <n v="382"/>
    <n v="276"/>
    <n v="32"/>
    <n v="24"/>
    <n v="13"/>
    <n v="13"/>
    <n v="138.41"/>
    <n v="29.38"/>
  </r>
  <r>
    <x v="189"/>
    <x v="15"/>
    <s v="Mumbai Indians"/>
    <n v="48"/>
    <n v="52"/>
    <n v="4"/>
    <n v="2"/>
    <n v="3"/>
    <n v="3"/>
    <n v="92.31"/>
    <n v="16"/>
  </r>
  <r>
    <x v="189"/>
    <x v="17"/>
    <s v="Rajasthan Royals"/>
    <n v="151"/>
    <n v="93"/>
    <n v="18"/>
    <n v="7"/>
    <n v="5"/>
    <n v="5"/>
    <n v="162.37"/>
    <n v="30.2"/>
  </r>
  <r>
    <x v="189"/>
    <x v="4"/>
    <s v="Lucknow Super Giants"/>
    <n v="73"/>
    <n v="56"/>
    <n v="8"/>
    <n v="3"/>
    <n v="3"/>
    <n v="5"/>
    <n v="130.36000000000001"/>
    <n v="24.33"/>
  </r>
  <r>
    <x v="190"/>
    <x v="12"/>
    <s v="Royal Challengers Bangalore"/>
    <n v="35"/>
    <n v="30"/>
    <n v="2"/>
    <n v="1"/>
    <n v="3"/>
    <n v="4"/>
    <n v="116.67"/>
    <n v="11.67"/>
  </r>
  <r>
    <x v="190"/>
    <x v="13"/>
    <s v="Kolkata Knight Riders"/>
    <n v="137"/>
    <n v="117"/>
    <n v="17"/>
    <n v="3"/>
    <n v="8"/>
    <n v="9"/>
    <n v="117.09"/>
    <n v="17.12"/>
  </r>
  <r>
    <x v="190"/>
    <x v="1"/>
    <s v="Kolkata Knight Riders"/>
    <n v="307"/>
    <n v="240"/>
    <n v="28"/>
    <n v="13"/>
    <n v="10"/>
    <n v="13"/>
    <n v="127.92"/>
    <n v="30.7"/>
  </r>
  <r>
    <x v="190"/>
    <x v="2"/>
    <s v="Sunrisers Hyderabad"/>
    <n v="187"/>
    <n v="151"/>
    <n v="11"/>
    <n v="11"/>
    <n v="8"/>
    <n v="9"/>
    <n v="123.84"/>
    <n v="23.38"/>
  </r>
  <r>
    <x v="190"/>
    <x v="3"/>
    <s v="Sunrisers Hyderabad"/>
    <n v="123"/>
    <n v="105"/>
    <n v="8"/>
    <n v="4"/>
    <n v="5"/>
    <n v="6"/>
    <n v="117.14"/>
    <n v="24.6"/>
  </r>
  <r>
    <x v="190"/>
    <x v="10"/>
    <s v="Kings XI Punjab"/>
    <n v="65"/>
    <n v="62"/>
    <n v="6"/>
    <n v="2"/>
    <n v="4"/>
    <n v="4"/>
    <n v="104.84"/>
    <n v="16.25"/>
  </r>
  <r>
    <x v="190"/>
    <x v="16"/>
    <s v="Kolkata Knight Riders"/>
    <n v="419"/>
    <n v="303"/>
    <n v="32"/>
    <n v="24"/>
    <n v="11"/>
    <n v="14"/>
    <n v="138.28"/>
    <n v="38.090000000000003"/>
  </r>
  <r>
    <x v="190"/>
    <x v="17"/>
    <s v="Kolkata Knight Riders"/>
    <n v="133"/>
    <n v="139"/>
    <n v="8"/>
    <n v="6"/>
    <n v="12"/>
    <n v="15"/>
    <n v="95.68"/>
    <n v="11.08"/>
  </r>
  <r>
    <x v="191"/>
    <x v="3"/>
    <s v="Gujarat Lions"/>
    <n v="24"/>
    <n v="14"/>
    <n v="2"/>
    <n v="2"/>
    <n v="2"/>
    <n v="2"/>
    <n v="171.43"/>
    <n v="12"/>
  </r>
  <r>
    <x v="192"/>
    <x v="3"/>
    <s v="Kings XI Punjab"/>
    <n v="14"/>
    <n v="13"/>
    <n v="2"/>
    <n v="0"/>
    <n v="2"/>
    <n v="3"/>
    <n v="107.69"/>
    <n v="7"/>
  </r>
  <r>
    <x v="193"/>
    <x v="0"/>
    <s v="Chennai Super Kings"/>
    <n v="398"/>
    <n v="303"/>
    <n v="29"/>
    <n v="17"/>
    <n v="11"/>
    <n v="12"/>
    <n v="131.35"/>
    <n v="36.18"/>
  </r>
  <r>
    <x v="193"/>
    <x v="14"/>
    <s v="Chennai Super Kings"/>
    <n v="303"/>
    <n v="235"/>
    <n v="26"/>
    <n v="7"/>
    <n v="10"/>
    <n v="12"/>
    <n v="128.94"/>
    <n v="30.3"/>
  </r>
  <r>
    <x v="193"/>
    <x v="2"/>
    <s v="Chennai Super Kings"/>
    <n v="380"/>
    <n v="304"/>
    <n v="37"/>
    <n v="5"/>
    <n v="11"/>
    <n v="15"/>
    <n v="125"/>
    <n v="34.549999999999997"/>
  </r>
  <r>
    <x v="193"/>
    <x v="3"/>
    <s v="Rising Pune Supergiants"/>
    <n v="206"/>
    <n v="162"/>
    <n v="17"/>
    <n v="9"/>
    <n v="6"/>
    <n v="6"/>
    <n v="127.16"/>
    <n v="34.33"/>
  </r>
  <r>
    <x v="193"/>
    <x v="10"/>
    <s v="Rising Pune Supergiant"/>
    <n v="8"/>
    <n v="7"/>
    <n v="1"/>
    <n v="0"/>
    <n v="1"/>
    <n v="1"/>
    <n v="114.29"/>
    <n v="8"/>
  </r>
  <r>
    <x v="193"/>
    <x v="11"/>
    <s v="Chennai Super Kings"/>
    <n v="162"/>
    <n v="128"/>
    <n v="17"/>
    <n v="6"/>
    <n v="6"/>
    <n v="6"/>
    <n v="126.56"/>
    <n v="27"/>
  </r>
  <r>
    <x v="193"/>
    <x v="15"/>
    <s v="Chennai Super Kings"/>
    <n v="396"/>
    <n v="321"/>
    <n v="36"/>
    <n v="15"/>
    <n v="11"/>
    <n v="12"/>
    <n v="123.36"/>
    <n v="36"/>
  </r>
  <r>
    <x v="193"/>
    <x v="16"/>
    <s v="Chennai Super Kings"/>
    <n v="449"/>
    <n v="319"/>
    <n v="42"/>
    <n v="14"/>
    <n v="11"/>
    <n v="13"/>
    <n v="140.75"/>
    <n v="40.82"/>
  </r>
  <r>
    <x v="193"/>
    <x v="17"/>
    <s v="Chennai Super Kings"/>
    <n v="633"/>
    <n v="456"/>
    <n v="61"/>
    <n v="23"/>
    <n v="14"/>
    <n v="16"/>
    <n v="138.82"/>
    <n v="45.21"/>
  </r>
  <r>
    <x v="193"/>
    <x v="4"/>
    <s v="Royal Challengers Bangalore"/>
    <n v="468"/>
    <n v="367"/>
    <n v="49"/>
    <n v="13"/>
    <n v="16"/>
    <n v="16"/>
    <n v="127.52"/>
    <n v="29.25"/>
  </r>
  <r>
    <x v="193"/>
    <x v="5"/>
    <s v="Royal Challengers Bangalore"/>
    <n v="730"/>
    <n v="472"/>
    <n v="60"/>
    <n v="36"/>
    <n v="13"/>
    <n v="14"/>
    <n v="154.66"/>
    <n v="56.15"/>
  </r>
  <r>
    <x v="193"/>
    <x v="6"/>
    <s v="Royal Challengers Bengaluru"/>
    <n v="438"/>
    <n v="271"/>
    <n v="47"/>
    <n v="21"/>
    <n v="15"/>
    <n v="15"/>
    <n v="161.62"/>
    <n v="29.2"/>
  </r>
  <r>
    <x v="193"/>
    <x v="7"/>
    <s v="Delhi Capitals"/>
    <n v="202"/>
    <n v="161"/>
    <n v="18"/>
    <n v="8"/>
    <n v="10"/>
    <n v="9"/>
    <n v="125.47"/>
    <n v="20.2"/>
  </r>
  <r>
    <x v="194"/>
    <x v="17"/>
    <s v="Punjab Kings"/>
    <n v="6"/>
    <n v="11"/>
    <n v="0"/>
    <n v="0"/>
    <n v="1"/>
    <n v="2"/>
    <n v="54.55"/>
    <n v="6"/>
  </r>
  <r>
    <x v="194"/>
    <x v="4"/>
    <s v="Mumbai Indians"/>
    <n v="8"/>
    <n v="7"/>
    <n v="1"/>
    <n v="0"/>
    <n v="1"/>
    <n v="1"/>
    <n v="114.29"/>
    <n v="8"/>
  </r>
  <r>
    <x v="195"/>
    <x v="9"/>
    <s v="Deccan Chargers"/>
    <n v="4"/>
    <n v="5"/>
    <n v="0"/>
    <n v="0"/>
    <n v="1"/>
    <n v="2"/>
    <n v="80"/>
    <n v="4"/>
  </r>
  <r>
    <x v="196"/>
    <x v="12"/>
    <s v="Rajasthan Royals"/>
    <n v="164"/>
    <n v="153"/>
    <n v="19"/>
    <n v="1"/>
    <n v="8"/>
    <n v="9"/>
    <n v="107.19"/>
    <n v="20.5"/>
  </r>
  <r>
    <x v="196"/>
    <x v="13"/>
    <s v="Rajasthan Royals"/>
    <n v="19"/>
    <n v="19"/>
    <n v="3"/>
    <n v="0"/>
    <n v="1"/>
    <n v="2"/>
    <n v="100"/>
    <n v="19"/>
  </r>
  <r>
    <x v="197"/>
    <x v="4"/>
    <s v="Sunrisers Hyderabad"/>
    <n v="2"/>
    <n v="8"/>
    <n v="0"/>
    <n v="0"/>
    <n v="0"/>
    <n v="1"/>
    <n v="25"/>
    <m/>
  </r>
  <r>
    <x v="197"/>
    <x v="5"/>
    <s v="Sunrisers Hyderabad"/>
    <n v="1"/>
    <n v="5"/>
    <n v="0"/>
    <n v="0"/>
    <n v="0"/>
    <n v="1"/>
    <n v="20"/>
    <m/>
  </r>
  <r>
    <x v="197"/>
    <x v="7"/>
    <s v="Rajasthan Royals"/>
    <n v="2"/>
    <n v="2"/>
    <n v="0"/>
    <n v="0"/>
    <n v="0"/>
    <n v="1"/>
    <n v="100"/>
    <m/>
  </r>
  <r>
    <x v="198"/>
    <x v="6"/>
    <s v="Mumbai Indians"/>
    <n v="14"/>
    <n v="22"/>
    <n v="0"/>
    <n v="1"/>
    <n v="4"/>
    <n v="5"/>
    <n v="63.64"/>
    <n v="3.5"/>
  </r>
  <r>
    <x v="198"/>
    <x v="7"/>
    <s v="Gujarat Titans"/>
    <n v="17"/>
    <n v="10"/>
    <n v="2"/>
    <n v="1"/>
    <n v="2"/>
    <n v="2"/>
    <n v="170"/>
    <n v="8.5"/>
  </r>
  <r>
    <x v="199"/>
    <x v="8"/>
    <s v="Delhi Daredevils"/>
    <n v="534"/>
    <n v="378"/>
    <n v="68"/>
    <n v="8"/>
    <n v="14"/>
    <n v="14"/>
    <n v="141.27000000000001"/>
    <n v="38.14"/>
  </r>
  <r>
    <x v="199"/>
    <x v="9"/>
    <s v="Delhi Daredevils"/>
    <n v="286"/>
    <n v="276"/>
    <n v="32"/>
    <n v="2"/>
    <n v="13"/>
    <n v="15"/>
    <n v="103.62"/>
    <n v="22"/>
  </r>
  <r>
    <x v="199"/>
    <x v="12"/>
    <s v="Delhi Daredevils"/>
    <n v="277"/>
    <n v="217"/>
    <n v="32"/>
    <n v="2"/>
    <n v="10"/>
    <n v="10"/>
    <n v="127.65"/>
    <n v="27.7"/>
  </r>
  <r>
    <x v="199"/>
    <x v="13"/>
    <s v="Kolkata Knight Riders"/>
    <n v="378"/>
    <n v="314"/>
    <n v="44"/>
    <n v="3"/>
    <n v="11"/>
    <n v="15"/>
    <n v="120.38"/>
    <n v="34.36"/>
  </r>
  <r>
    <x v="199"/>
    <x v="0"/>
    <s v="Kolkata Knight Riders"/>
    <n v="590"/>
    <n v="411"/>
    <n v="64"/>
    <n v="17"/>
    <n v="14"/>
    <n v="17"/>
    <n v="143.55000000000001"/>
    <n v="42.14"/>
  </r>
  <r>
    <x v="199"/>
    <x v="1"/>
    <s v="Kolkata Knight Riders"/>
    <n v="406"/>
    <n v="342"/>
    <n v="51"/>
    <n v="5"/>
    <n v="15"/>
    <n v="15"/>
    <n v="118.71"/>
    <n v="27.07"/>
  </r>
  <r>
    <x v="199"/>
    <x v="14"/>
    <s v="Kolkata Knight Riders"/>
    <n v="335"/>
    <n v="290"/>
    <n v="36"/>
    <n v="4"/>
    <n v="14"/>
    <n v="16"/>
    <n v="115.52"/>
    <n v="23.93"/>
  </r>
  <r>
    <x v="199"/>
    <x v="2"/>
    <s v="Kolkata Knight Riders"/>
    <n v="327"/>
    <n v="278"/>
    <n v="41"/>
    <n v="4"/>
    <n v="14"/>
    <n v="13"/>
    <n v="117.63"/>
    <n v="23.36"/>
  </r>
  <r>
    <x v="199"/>
    <x v="3"/>
    <s v="Kolkata Knight Riders"/>
    <n v="501"/>
    <n v="411"/>
    <n v="54"/>
    <n v="6"/>
    <n v="12"/>
    <n v="15"/>
    <n v="121.9"/>
    <n v="41.75"/>
  </r>
  <r>
    <x v="199"/>
    <x v="10"/>
    <s v="Kolkata Knight Riders"/>
    <n v="498"/>
    <n v="389"/>
    <n v="62"/>
    <n v="7"/>
    <n v="14"/>
    <n v="16"/>
    <n v="128.02000000000001"/>
    <n v="35.57"/>
  </r>
  <r>
    <x v="199"/>
    <x v="11"/>
    <s v="Delhi Daredevils"/>
    <n v="85"/>
    <n v="88"/>
    <n v="8"/>
    <n v="1"/>
    <n v="4"/>
    <n v="5"/>
    <n v="96.59"/>
    <n v="21.25"/>
  </r>
  <r>
    <x v="200"/>
    <x v="0"/>
    <s v="Rajasthan Royals"/>
    <n v="15"/>
    <n v="16"/>
    <n v="1"/>
    <n v="0"/>
    <n v="2"/>
    <n v="2"/>
    <n v="93.75"/>
    <n v="7.5"/>
  </r>
  <r>
    <x v="200"/>
    <x v="2"/>
    <s v="Kolkata Knight Riders"/>
    <n v="7"/>
    <n v="6"/>
    <n v="0"/>
    <n v="0"/>
    <n v="0"/>
    <n v="2"/>
    <n v="116.67"/>
    <m/>
  </r>
  <r>
    <x v="201"/>
    <x v="8"/>
    <s v="Rajasthan Royals"/>
    <n v="441"/>
    <n v="361"/>
    <n v="54"/>
    <n v="8"/>
    <n v="12"/>
    <n v="11"/>
    <n v="122.16"/>
    <n v="36.75"/>
  </r>
  <r>
    <x v="201"/>
    <x v="9"/>
    <s v="Rajasthan Royals"/>
    <n v="212"/>
    <n v="213"/>
    <n v="27"/>
    <n v="1"/>
    <n v="11"/>
    <n v="12"/>
    <n v="99.53"/>
    <n v="19.27"/>
  </r>
  <r>
    <x v="201"/>
    <x v="12"/>
    <s v="Rajasthan Royals"/>
    <n v="44"/>
    <n v="39"/>
    <n v="7"/>
    <n v="0"/>
    <n v="3"/>
    <n v="2"/>
    <n v="112.82"/>
    <n v="14.67"/>
  </r>
  <r>
    <x v="201"/>
    <x v="13"/>
    <s v="Pune Warriors"/>
    <n v="42"/>
    <n v="51"/>
    <n v="6"/>
    <n v="0"/>
    <n v="4"/>
    <n v="4"/>
    <n v="82.35"/>
    <n v="10.5"/>
  </r>
  <r>
    <x v="202"/>
    <x v="15"/>
    <s v="Kings XI Punjab"/>
    <n v="3"/>
    <n v="7"/>
    <n v="0"/>
    <n v="0"/>
    <n v="2"/>
    <n v="3"/>
    <n v="42.86"/>
    <n v="1.5"/>
  </r>
  <r>
    <x v="203"/>
    <x v="8"/>
    <s v="Delhi Daredevils"/>
    <n v="4"/>
    <n v="5"/>
    <n v="1"/>
    <n v="0"/>
    <n v="1"/>
    <n v="2"/>
    <n v="80"/>
    <n v="4"/>
  </r>
  <r>
    <x v="204"/>
    <x v="17"/>
    <s v="Rajasthan Royals"/>
    <n v="26"/>
    <n v="32"/>
    <n v="1"/>
    <n v="2"/>
    <n v="2"/>
    <n v="3"/>
    <n v="81.25"/>
    <n v="13"/>
  </r>
  <r>
    <x v="204"/>
    <x v="5"/>
    <s v="Sunrisers Hyderabad"/>
    <n v="39"/>
    <n v="22"/>
    <n v="2"/>
    <n v="4"/>
    <n v="5"/>
    <n v="5"/>
    <n v="177.27"/>
    <n v="7.8"/>
  </r>
  <r>
    <x v="205"/>
    <x v="1"/>
    <s v="Sunrisers Hyderabad"/>
    <n v="241"/>
    <n v="277"/>
    <n v="17"/>
    <n v="1"/>
    <n v="14"/>
    <n v="17"/>
    <n v="87"/>
    <n v="17.21"/>
  </r>
  <r>
    <x v="205"/>
    <x v="2"/>
    <s v="Sunrisers Hyderabad"/>
    <n v="39"/>
    <n v="34"/>
    <n v="6"/>
    <n v="0"/>
    <n v="4"/>
    <n v="4"/>
    <n v="114.71"/>
    <n v="9.75"/>
  </r>
  <r>
    <x v="205"/>
    <x v="15"/>
    <s v="Delhi Capitals"/>
    <n v="4"/>
    <n v="8"/>
    <n v="0"/>
    <n v="0"/>
    <n v="2"/>
    <n v="2"/>
    <n v="50"/>
    <n v="2"/>
  </r>
  <r>
    <x v="206"/>
    <x v="17"/>
    <s v="Royal Challengers Bangalore"/>
    <n v="2"/>
    <n v="4"/>
    <n v="0"/>
    <n v="0"/>
    <n v="1"/>
    <n v="2"/>
    <n v="50"/>
    <n v="2"/>
  </r>
  <r>
    <x v="207"/>
    <x v="9"/>
    <s v="Chennai Super Kings"/>
    <n v="45"/>
    <n v="39"/>
    <n v="7"/>
    <n v="0"/>
    <n v="3"/>
    <n v="2"/>
    <n v="115.38"/>
    <n v="15"/>
  </r>
  <r>
    <x v="207"/>
    <x v="12"/>
    <s v="Chennai Super Kings"/>
    <n v="18"/>
    <n v="27"/>
    <n v="2"/>
    <n v="0"/>
    <n v="2"/>
    <n v="1"/>
    <n v="66.67"/>
    <n v="9"/>
  </r>
  <r>
    <x v="207"/>
    <x v="14"/>
    <s v="Kings XI Punjab"/>
    <n v="257"/>
    <n v="188"/>
    <n v="19"/>
    <n v="10"/>
    <n v="10"/>
    <n v="16"/>
    <n v="136.69999999999999"/>
    <n v="25.7"/>
  </r>
  <r>
    <x v="207"/>
    <x v="2"/>
    <s v="Kings XI Punjab"/>
    <n v="259"/>
    <n v="190"/>
    <n v="22"/>
    <n v="7"/>
    <n v="10"/>
    <n v="12"/>
    <n v="136.32"/>
    <n v="25.9"/>
  </r>
  <r>
    <x v="207"/>
    <x v="3"/>
    <s v="Rising Pune Supergiants"/>
    <n v="84"/>
    <n v="97"/>
    <n v="9"/>
    <n v="2"/>
    <n v="4"/>
    <n v="5"/>
    <n v="86.6"/>
    <n v="21"/>
  </r>
  <r>
    <x v="208"/>
    <x v="0"/>
    <s v="Delhi Daredevils"/>
    <n v="6"/>
    <n v="11"/>
    <n v="0"/>
    <n v="0"/>
    <n v="1"/>
    <n v="2"/>
    <n v="54.55"/>
    <n v="6"/>
  </r>
  <r>
    <x v="208"/>
    <x v="1"/>
    <s v="Mumbai Indians"/>
    <n v="36"/>
    <n v="27"/>
    <n v="1"/>
    <n v="4"/>
    <n v="2"/>
    <n v="3"/>
    <n v="133.33000000000001"/>
    <n v="18"/>
  </r>
  <r>
    <x v="208"/>
    <x v="14"/>
    <s v="Kings XI Punjab"/>
    <n v="552"/>
    <n v="291"/>
    <n v="48"/>
    <n v="36"/>
    <n v="17"/>
    <n v="16"/>
    <n v="189.69"/>
    <n v="32.47"/>
  </r>
  <r>
    <x v="208"/>
    <x v="2"/>
    <s v="Kings XI Punjab"/>
    <n v="146"/>
    <n v="113"/>
    <n v="13"/>
    <n v="8"/>
    <n v="11"/>
    <n v="11"/>
    <n v="129.19999999999999"/>
    <n v="13.27"/>
  </r>
  <r>
    <x v="208"/>
    <x v="3"/>
    <s v="Kings XI Punjab"/>
    <n v="179"/>
    <n v="124"/>
    <n v="14"/>
    <n v="8"/>
    <n v="9"/>
    <n v="10"/>
    <n v="144.35"/>
    <n v="19.89"/>
  </r>
  <r>
    <x v="208"/>
    <x v="10"/>
    <s v="Kings XI Punjab"/>
    <n v="310"/>
    <n v="178"/>
    <n v="20"/>
    <n v="26"/>
    <n v="10"/>
    <n v="13"/>
    <n v="174.16"/>
    <n v="31"/>
  </r>
  <r>
    <x v="208"/>
    <x v="11"/>
    <s v="Delhi Daredevils"/>
    <n v="169"/>
    <n v="120"/>
    <n v="14"/>
    <n v="9"/>
    <n v="12"/>
    <n v="12"/>
    <n v="140.83000000000001"/>
    <n v="14.08"/>
  </r>
  <r>
    <x v="208"/>
    <x v="16"/>
    <s v="Kings XI Punjab"/>
    <n v="108"/>
    <n v="105"/>
    <n v="9"/>
    <n v="0"/>
    <n v="7"/>
    <n v="11"/>
    <n v="102.86"/>
    <n v="15.43"/>
  </r>
  <r>
    <x v="208"/>
    <x v="17"/>
    <s v="Royal Challengers Bangalore"/>
    <n v="513"/>
    <n v="354"/>
    <n v="48"/>
    <n v="21"/>
    <n v="11"/>
    <n v="14"/>
    <n v="144.91999999999999"/>
    <n v="46.64"/>
  </r>
  <r>
    <x v="208"/>
    <x v="4"/>
    <s v="Royal Challengers Bangalore"/>
    <n v="301"/>
    <n v="177"/>
    <n v="31"/>
    <n v="15"/>
    <n v="10"/>
    <n v="13"/>
    <n v="170.06"/>
    <n v="30.1"/>
  </r>
  <r>
    <x v="208"/>
    <x v="5"/>
    <s v="Royal Challengers Bangalore"/>
    <n v="400"/>
    <n v="218"/>
    <n v="29"/>
    <n v="31"/>
    <n v="12"/>
    <n v="14"/>
    <n v="183.49"/>
    <n v="33.33"/>
  </r>
  <r>
    <x v="208"/>
    <x v="6"/>
    <s v="Royal Challengers Bengaluru"/>
    <n v="52"/>
    <n v="43"/>
    <n v="6"/>
    <n v="2"/>
    <n v="9"/>
    <n v="9"/>
    <n v="120.93"/>
    <n v="5.78"/>
  </r>
  <r>
    <x v="208"/>
    <x v="7"/>
    <s v="Punjab Kings"/>
    <n v="48"/>
    <n v="49"/>
    <n v="5"/>
    <n v="1"/>
    <n v="6"/>
    <n v="6"/>
    <n v="97.96"/>
    <n v="8"/>
  </r>
  <r>
    <x v="209"/>
    <x v="9"/>
    <s v="Mumbai Indians"/>
    <n v="15"/>
    <n v="16"/>
    <n v="1"/>
    <n v="0"/>
    <n v="1"/>
    <n v="1"/>
    <n v="93.75"/>
    <n v="15"/>
  </r>
  <r>
    <x v="210"/>
    <x v="6"/>
    <s v="Delhi Capitals"/>
    <n v="19"/>
    <n v="15"/>
    <n v="1"/>
    <n v="1"/>
    <n v="1"/>
    <n v="1"/>
    <n v="126.67"/>
    <n v="19"/>
  </r>
  <r>
    <x v="211"/>
    <x v="0"/>
    <s v="Kings XI Punjab"/>
    <n v="86"/>
    <n v="52"/>
    <n v="12"/>
    <n v="2"/>
    <n v="3"/>
    <n v="4"/>
    <n v="165.38"/>
    <n v="28.67"/>
  </r>
  <r>
    <x v="211"/>
    <x v="1"/>
    <s v="Kings XI Punjab"/>
    <n v="108"/>
    <n v="95"/>
    <n v="10"/>
    <n v="3"/>
    <n v="9"/>
    <n v="9"/>
    <n v="113.68"/>
    <n v="12"/>
  </r>
  <r>
    <x v="211"/>
    <x v="2"/>
    <s v="Kings XI Punjab"/>
    <n v="35"/>
    <n v="39"/>
    <n v="3"/>
    <n v="1"/>
    <n v="5"/>
    <n v="5"/>
    <n v="89.74"/>
    <n v="7"/>
  </r>
  <r>
    <x v="211"/>
    <x v="3"/>
    <s v="Kings XI Punjab"/>
    <n v="113"/>
    <n v="86"/>
    <n v="11"/>
    <n v="3"/>
    <n v="6"/>
    <n v="6"/>
    <n v="131.4"/>
    <n v="18.829999999999998"/>
  </r>
  <r>
    <x v="211"/>
    <x v="15"/>
    <s v="Royal Challengers Bangalore"/>
    <n v="98"/>
    <n v="70"/>
    <n v="11"/>
    <n v="2"/>
    <n v="3"/>
    <n v="3"/>
    <n v="140"/>
    <n v="32.67"/>
  </r>
  <r>
    <x v="211"/>
    <x v="16"/>
    <s v="Royal Challengers Bangalore"/>
    <n v="71"/>
    <n v="80"/>
    <n v="8"/>
    <n v="0"/>
    <n v="1"/>
    <n v="5"/>
    <n v="88.75"/>
    <n v="71"/>
  </r>
  <r>
    <x v="212"/>
    <x v="8"/>
    <s v="Deccan Chargers"/>
    <n v="2"/>
    <n v="5"/>
    <n v="0"/>
    <n v="0"/>
    <n v="1"/>
    <n v="1"/>
    <n v="40"/>
    <n v="2"/>
  </r>
  <r>
    <x v="213"/>
    <x v="11"/>
    <s v="Rajasthan Royals"/>
    <n v="57"/>
    <n v="47"/>
    <n v="5"/>
    <n v="1"/>
    <n v="3"/>
    <n v="4"/>
    <n v="121.28"/>
    <n v="19"/>
  </r>
  <r>
    <x v="213"/>
    <x v="15"/>
    <s v="Royal Challengers Bangalore"/>
    <n v="9"/>
    <n v="9"/>
    <n v="0"/>
    <n v="0"/>
    <n v="2"/>
    <n v="2"/>
    <n v="100"/>
    <n v="4.5"/>
  </r>
  <r>
    <x v="213"/>
    <x v="5"/>
    <s v="Sunrisers Hyderabad"/>
    <n v="448"/>
    <n v="251"/>
    <n v="32"/>
    <n v="25"/>
    <n v="9"/>
    <n v="11"/>
    <n v="178.49"/>
    <n v="49.78"/>
  </r>
  <r>
    <x v="213"/>
    <x v="6"/>
    <s v="Sunrisers Hyderabad"/>
    <n v="479"/>
    <n v="277"/>
    <n v="19"/>
    <n v="38"/>
    <n v="12"/>
    <n v="15"/>
    <n v="172.92"/>
    <n v="39.92"/>
  </r>
  <r>
    <x v="213"/>
    <x v="7"/>
    <s v="Sunrisers Hyderabad"/>
    <n v="487"/>
    <n v="279"/>
    <n v="42"/>
    <n v="25"/>
    <n v="10"/>
    <n v="13"/>
    <n v="174.55"/>
    <n v="48.7"/>
  </r>
  <r>
    <x v="214"/>
    <x v="5"/>
    <s v="Sunrisers Hyderabad"/>
    <n v="190"/>
    <n v="153"/>
    <n v="23"/>
    <n v="4"/>
    <n v="9"/>
    <n v="11"/>
    <n v="124.18"/>
    <n v="21.11"/>
  </r>
  <r>
    <x v="215"/>
    <x v="4"/>
    <s v="Rajasthan Royals"/>
    <n v="22"/>
    <n v="24"/>
    <n v="2"/>
    <n v="0"/>
    <n v="2"/>
    <n v="3"/>
    <n v="91.67"/>
    <n v="11"/>
  </r>
  <r>
    <x v="216"/>
    <x v="15"/>
    <s v="Kolkata Knight Riders"/>
    <n v="1"/>
    <n v="5"/>
    <n v="0"/>
    <n v="0"/>
    <n v="0"/>
    <n v="1"/>
    <n v="20"/>
    <m/>
  </r>
  <r>
    <x v="217"/>
    <x v="8"/>
    <s v="Deccan Chargers"/>
    <n v="167"/>
    <n v="153"/>
    <n v="17"/>
    <n v="8"/>
    <n v="9"/>
    <n v="9"/>
    <n v="109.15"/>
    <n v="18.559999999999999"/>
  </r>
  <r>
    <x v="217"/>
    <x v="9"/>
    <s v="Deccan Chargers"/>
    <n v="371"/>
    <n v="330"/>
    <n v="32"/>
    <n v="12"/>
    <n v="11"/>
    <n v="14"/>
    <n v="112.42"/>
    <n v="33.729999999999997"/>
  </r>
  <r>
    <x v="217"/>
    <x v="12"/>
    <s v="Deccan Chargers"/>
    <n v="267"/>
    <n v="234"/>
    <n v="26"/>
    <n v="9"/>
    <n v="10"/>
    <n v="10"/>
    <n v="114.1"/>
    <n v="26.7"/>
  </r>
  <r>
    <x v="217"/>
    <x v="0"/>
    <s v="Mumbai Indians"/>
    <n v="81"/>
    <n v="88"/>
    <n v="8"/>
    <n v="2"/>
    <n v="2"/>
    <n v="3"/>
    <n v="92.05"/>
    <n v="40.5"/>
  </r>
  <r>
    <x v="218"/>
    <x v="2"/>
    <s v="Mumbai Indians"/>
    <n v="112"/>
    <n v="60"/>
    <n v="9"/>
    <n v="8"/>
    <n v="5"/>
    <n v="8"/>
    <n v="186.67"/>
    <n v="22.4"/>
  </r>
  <r>
    <x v="218"/>
    <x v="3"/>
    <s v="Mumbai Indians"/>
    <n v="44"/>
    <n v="63"/>
    <n v="4"/>
    <n v="0"/>
    <n v="7"/>
    <n v="9"/>
    <n v="69.84"/>
    <n v="6.29"/>
  </r>
  <r>
    <x v="218"/>
    <x v="10"/>
    <s v="Mumbai Indians"/>
    <n v="250"/>
    <n v="159"/>
    <n v="11"/>
    <n v="20"/>
    <n v="9"/>
    <n v="16"/>
    <n v="157.22999999999999"/>
    <n v="27.78"/>
  </r>
  <r>
    <x v="218"/>
    <x v="11"/>
    <s v="Mumbai Indians"/>
    <n v="260"/>
    <n v="195"/>
    <n v="20"/>
    <n v="11"/>
    <n v="9"/>
    <n v="13"/>
    <n v="133.33000000000001"/>
    <n v="28.89"/>
  </r>
  <r>
    <x v="218"/>
    <x v="15"/>
    <s v="Mumbai Indians"/>
    <n v="409"/>
    <n v="211"/>
    <n v="28"/>
    <n v="30"/>
    <n v="9"/>
    <n v="15"/>
    <n v="193.84"/>
    <n v="45.44"/>
  </r>
  <r>
    <x v="218"/>
    <x v="16"/>
    <s v="Mumbai Indians"/>
    <n v="283"/>
    <n v="158"/>
    <n v="14"/>
    <n v="25"/>
    <n v="8"/>
    <n v="13"/>
    <n v="179.11"/>
    <n v="35.380000000000003"/>
  </r>
  <r>
    <x v="218"/>
    <x v="17"/>
    <s v="Mumbai Indians"/>
    <n v="127"/>
    <n v="111"/>
    <n v="11"/>
    <n v="5"/>
    <n v="9"/>
    <n v="11"/>
    <n v="114.41"/>
    <n v="14.11"/>
  </r>
  <r>
    <x v="218"/>
    <x v="4"/>
    <s v="Gujarat Titans"/>
    <n v="487"/>
    <n v="370"/>
    <n v="49"/>
    <n v="12"/>
    <n v="10"/>
    <n v="15"/>
    <n v="131.62"/>
    <n v="48.7"/>
  </r>
  <r>
    <x v="218"/>
    <x v="5"/>
    <s v="Gujarat Titans"/>
    <n v="346"/>
    <n v="251"/>
    <n v="26"/>
    <n v="15"/>
    <n v="11"/>
    <n v="15"/>
    <n v="137.85"/>
    <n v="31.45"/>
  </r>
  <r>
    <x v="218"/>
    <x v="6"/>
    <s v="Mumbai Indians"/>
    <n v="216"/>
    <n v="151"/>
    <n v="17"/>
    <n v="11"/>
    <n v="12"/>
    <n v="13"/>
    <n v="143.05000000000001"/>
    <n v="18"/>
  </r>
  <r>
    <x v="218"/>
    <x v="7"/>
    <s v="Mumbai Indians"/>
    <n v="224"/>
    <n v="137"/>
    <n v="18"/>
    <n v="13"/>
    <n v="10"/>
    <n v="12"/>
    <n v="163.5"/>
    <n v="22.4"/>
  </r>
  <r>
    <x v="219"/>
    <x v="3"/>
    <s v="Kings XI Punjab"/>
    <n v="157"/>
    <n v="119"/>
    <n v="20"/>
    <n v="4"/>
    <n v="6"/>
    <n v="6"/>
    <n v="131.93"/>
    <n v="26.17"/>
  </r>
  <r>
    <x v="219"/>
    <x v="10"/>
    <s v="Kings XI Punjab"/>
    <n v="420"/>
    <n v="287"/>
    <n v="40"/>
    <n v="17"/>
    <n v="7"/>
    <n v="10"/>
    <n v="146.34"/>
    <n v="60"/>
  </r>
  <r>
    <x v="220"/>
    <x v="4"/>
    <s v="Mumbai Indians"/>
    <n v="43"/>
    <n v="48"/>
    <n v="5"/>
    <n v="0"/>
    <n v="2"/>
    <n v="2"/>
    <n v="89.58"/>
    <n v="21.5"/>
  </r>
  <r>
    <x v="220"/>
    <x v="5"/>
    <s v="Mumbai Indians"/>
    <n v="23"/>
    <n v="17"/>
    <n v="4"/>
    <n v="0"/>
    <n v="1"/>
    <n v="3"/>
    <n v="135.29"/>
    <n v="23"/>
  </r>
  <r>
    <x v="221"/>
    <x v="0"/>
    <s v="Royal Challengers Bangalore"/>
    <n v="15"/>
    <n v="15"/>
    <n v="1"/>
    <n v="0"/>
    <n v="2"/>
    <n v="3"/>
    <n v="100"/>
    <n v="7.5"/>
  </r>
  <r>
    <x v="221"/>
    <x v="14"/>
    <s v="Royal Challengers Bangalore"/>
    <n v="13"/>
    <n v="7"/>
    <n v="1"/>
    <n v="1"/>
    <n v="2"/>
    <n v="3"/>
    <n v="185.71"/>
    <n v="6.5"/>
  </r>
  <r>
    <x v="221"/>
    <x v="2"/>
    <s v="Royal Challengers Bangalore"/>
    <n v="19"/>
    <n v="12"/>
    <n v="0"/>
    <n v="2"/>
    <n v="4"/>
    <n v="6"/>
    <n v="158.33000000000001"/>
    <n v="4.75"/>
  </r>
  <r>
    <x v="221"/>
    <x v="11"/>
    <s v="Delhi Daredevils"/>
    <n v="60"/>
    <n v="33"/>
    <n v="1"/>
    <n v="6"/>
    <n v="0"/>
    <n v="2"/>
    <n v="181.82"/>
    <m/>
  </r>
  <r>
    <x v="221"/>
    <x v="15"/>
    <s v="Delhi Capitals"/>
    <n v="0"/>
    <n v="2"/>
    <n v="0"/>
    <n v="0"/>
    <n v="1"/>
    <n v="1"/>
    <n v="0"/>
    <n v="0"/>
  </r>
  <r>
    <x v="221"/>
    <x v="16"/>
    <s v="Delhi Capitals"/>
    <n v="21"/>
    <n v="24"/>
    <n v="2"/>
    <n v="0"/>
    <n v="2"/>
    <n v="2"/>
    <n v="87.5"/>
    <n v="10.5"/>
  </r>
  <r>
    <x v="221"/>
    <x v="17"/>
    <s v="Royal Challengers Bangalore"/>
    <n v="59"/>
    <n v="46"/>
    <n v="6"/>
    <n v="2"/>
    <n v="6"/>
    <n v="7"/>
    <n v="128.26"/>
    <n v="9.83"/>
  </r>
  <r>
    <x v="221"/>
    <x v="4"/>
    <s v="Royal Challengers Bangalore"/>
    <n v="43"/>
    <n v="39"/>
    <n v="4"/>
    <n v="2"/>
    <n v="4"/>
    <n v="7"/>
    <n v="110.26"/>
    <n v="10.75"/>
  </r>
  <r>
    <x v="221"/>
    <x v="5"/>
    <s v="Royal Challengers Bangalore"/>
    <n v="6"/>
    <n v="6"/>
    <n v="0"/>
    <n v="1"/>
    <n v="2"/>
    <n v="2"/>
    <n v="100"/>
    <n v="3"/>
  </r>
  <r>
    <x v="221"/>
    <x v="6"/>
    <s v="Punjab Kings"/>
    <n v="13"/>
    <n v="19"/>
    <n v="1"/>
    <n v="1"/>
    <n v="3"/>
    <n v="4"/>
    <n v="68.42"/>
    <n v="4.33"/>
  </r>
  <r>
    <x v="221"/>
    <x v="7"/>
    <s v="Sunrisers Hyderabad"/>
    <n v="21"/>
    <n v="26"/>
    <n v="0"/>
    <n v="0"/>
    <n v="2"/>
    <n v="4"/>
    <n v="80.77"/>
    <n v="10.5"/>
  </r>
  <r>
    <x v="222"/>
    <x v="8"/>
    <s v="Mumbai Indians"/>
    <n v="30"/>
    <n v="17"/>
    <n v="1"/>
    <n v="3"/>
    <n v="2"/>
    <n v="3"/>
    <n v="176.47"/>
    <n v="15"/>
  </r>
  <r>
    <x v="222"/>
    <x v="9"/>
    <s v="Mumbai Indians"/>
    <n v="84"/>
    <n v="53"/>
    <n v="6"/>
    <n v="5"/>
    <n v="9"/>
    <n v="10"/>
    <n v="158.49"/>
    <n v="9.33"/>
  </r>
  <r>
    <x v="222"/>
    <x v="12"/>
    <s v="Mumbai Indians"/>
    <n v="105"/>
    <n v="60"/>
    <n v="12"/>
    <n v="5"/>
    <n v="6"/>
    <n v="7"/>
    <n v="175"/>
    <n v="17.5"/>
  </r>
  <r>
    <x v="222"/>
    <x v="13"/>
    <s v="Mumbai Indians"/>
    <n v="103"/>
    <n v="71"/>
    <n v="9"/>
    <n v="6"/>
    <n v="4"/>
    <n v="8"/>
    <n v="145.07"/>
    <n v="25.75"/>
  </r>
  <r>
    <x v="222"/>
    <x v="0"/>
    <s v="Mumbai Indians"/>
    <n v="108"/>
    <n v="80"/>
    <n v="14"/>
    <n v="3"/>
    <n v="9"/>
    <n v="11"/>
    <n v="135"/>
    <n v="12"/>
  </r>
  <r>
    <x v="222"/>
    <x v="1"/>
    <s v="Mumbai Indians"/>
    <n v="116"/>
    <n v="79"/>
    <n v="12"/>
    <n v="5"/>
    <n v="5"/>
    <n v="13"/>
    <n v="146.84"/>
    <n v="23.2"/>
  </r>
  <r>
    <x v="222"/>
    <x v="14"/>
    <s v="Mumbai Indians"/>
    <n v="28"/>
    <n v="25"/>
    <n v="2"/>
    <n v="2"/>
    <n v="6"/>
    <n v="7"/>
    <n v="112"/>
    <n v="4.67"/>
  </r>
  <r>
    <x v="222"/>
    <x v="2"/>
    <s v="Mumbai Indians"/>
    <n v="117"/>
    <n v="72"/>
    <n v="9"/>
    <n v="9"/>
    <n v="7"/>
    <n v="9"/>
    <n v="162.5"/>
    <n v="16.71"/>
  </r>
  <r>
    <x v="222"/>
    <x v="3"/>
    <s v="Mumbai Indians"/>
    <n v="92"/>
    <n v="84"/>
    <n v="11"/>
    <n v="2"/>
    <n v="3"/>
    <n v="7"/>
    <n v="109.52"/>
    <n v="30.67"/>
  </r>
  <r>
    <x v="222"/>
    <x v="10"/>
    <s v="Mumbai Indians"/>
    <n v="16"/>
    <n v="16"/>
    <n v="0"/>
    <n v="1"/>
    <n v="2"/>
    <n v="7"/>
    <n v="100"/>
    <n v="8"/>
  </r>
  <r>
    <x v="222"/>
    <x v="11"/>
    <s v="Chennai Super Kings"/>
    <n v="29"/>
    <n v="35"/>
    <n v="3"/>
    <n v="1"/>
    <n v="2"/>
    <n v="3"/>
    <n v="82.86"/>
    <n v="14.5"/>
  </r>
  <r>
    <x v="222"/>
    <x v="15"/>
    <s v="Chennai Super Kings"/>
    <n v="1"/>
    <n v="3"/>
    <n v="0"/>
    <n v="0"/>
    <n v="1"/>
    <n v="1"/>
    <n v="33.33"/>
    <n v="1"/>
  </r>
  <r>
    <x v="222"/>
    <x v="17"/>
    <s v="Kolkata Knight Riders"/>
    <n v="4"/>
    <n v="4"/>
    <n v="0"/>
    <n v="0"/>
    <n v="0"/>
    <n v="2"/>
    <n v="100"/>
    <m/>
  </r>
  <r>
    <x v="223"/>
    <x v="12"/>
    <s v="Deccan Chargers"/>
    <n v="0"/>
    <n v="1"/>
    <n v="0"/>
    <n v="0"/>
    <n v="1"/>
    <n v="1"/>
    <n v="0"/>
    <n v="0"/>
  </r>
  <r>
    <x v="223"/>
    <x v="0"/>
    <s v="Kings XI Punjab"/>
    <n v="15"/>
    <n v="7"/>
    <n v="3"/>
    <n v="0"/>
    <n v="1"/>
    <n v="2"/>
    <n v="214.29"/>
    <n v="15"/>
  </r>
  <r>
    <x v="223"/>
    <x v="1"/>
    <s v="Kings XI Punjab"/>
    <n v="3"/>
    <n v="4"/>
    <n v="0"/>
    <n v="0"/>
    <n v="0"/>
    <n v="1"/>
    <n v="75"/>
    <m/>
  </r>
  <r>
    <x v="224"/>
    <x v="15"/>
    <s v="Kings XI Punjab"/>
    <n v="20"/>
    <n v="12"/>
    <n v="2"/>
    <n v="1"/>
    <n v="0"/>
    <n v="1"/>
    <n v="166.67"/>
    <m/>
  </r>
  <r>
    <x v="224"/>
    <x v="17"/>
    <s v="Punjab Kings"/>
    <n v="64"/>
    <n v="58"/>
    <n v="3"/>
    <n v="2"/>
    <n v="0"/>
    <n v="5"/>
    <n v="110.34"/>
    <m/>
  </r>
  <r>
    <x v="224"/>
    <x v="4"/>
    <s v="Punjab Kings"/>
    <n v="22"/>
    <n v="25"/>
    <n v="1"/>
    <n v="2"/>
    <n v="3"/>
    <n v="3"/>
    <n v="88"/>
    <n v="7.33"/>
  </r>
  <r>
    <x v="224"/>
    <x v="5"/>
    <s v="Punjab Kings"/>
    <n v="52"/>
    <n v="41"/>
    <n v="5"/>
    <n v="2"/>
    <n v="7"/>
    <n v="8"/>
    <n v="126.83"/>
    <n v="7.43"/>
  </r>
  <r>
    <x v="224"/>
    <x v="6"/>
    <s v="Punjab Kings"/>
    <n v="75"/>
    <n v="54"/>
    <n v="8"/>
    <n v="2"/>
    <n v="2"/>
    <n v="7"/>
    <n v="138.88999999999999"/>
    <n v="37.5"/>
  </r>
  <r>
    <x v="224"/>
    <x v="7"/>
    <s v="Punjab Kings"/>
    <n v="11"/>
    <n v="13"/>
    <n v="0"/>
    <n v="1"/>
    <n v="1"/>
    <n v="2"/>
    <n v="84.62"/>
    <n v="11"/>
  </r>
  <r>
    <x v="225"/>
    <x v="13"/>
    <s v="Pune Warriors"/>
    <n v="14"/>
    <n v="20"/>
    <n v="0"/>
    <n v="0"/>
    <n v="1"/>
    <n v="2"/>
    <n v="70"/>
    <n v="14"/>
  </r>
  <r>
    <x v="225"/>
    <x v="0"/>
    <s v="Pune Warriors"/>
    <n v="6"/>
    <n v="6"/>
    <n v="0"/>
    <n v="0"/>
    <n v="1"/>
    <n v="1"/>
    <n v="100"/>
    <n v="6"/>
  </r>
  <r>
    <x v="225"/>
    <x v="5"/>
    <s v="Punjab Kings"/>
    <n v="76"/>
    <n v="58"/>
    <n v="8"/>
    <n v="3"/>
    <n v="2"/>
    <n v="3"/>
    <n v="131.03"/>
    <n v="38"/>
  </r>
  <r>
    <x v="225"/>
    <x v="6"/>
    <s v="Punjab Kings"/>
    <n v="27"/>
    <n v="34"/>
    <n v="2"/>
    <n v="0"/>
    <n v="2"/>
    <n v="2"/>
    <n v="79.41"/>
    <n v="13.5"/>
  </r>
  <r>
    <x v="226"/>
    <x v="4"/>
    <s v="Kolkata Knight Riders"/>
    <n v="2"/>
    <n v="2"/>
    <n v="0"/>
    <n v="0"/>
    <n v="1"/>
    <n v="2"/>
    <n v="100"/>
    <n v="2"/>
  </r>
  <r>
    <x v="226"/>
    <x v="5"/>
    <s v="Kolkata Knight Riders"/>
    <n v="0"/>
    <n v="1"/>
    <n v="0"/>
    <n v="0"/>
    <n v="1"/>
    <n v="1"/>
    <n v="0"/>
    <n v="0"/>
  </r>
  <r>
    <x v="226"/>
    <x v="7"/>
    <s v="Kolkata Knight Riders"/>
    <n v="57"/>
    <n v="52"/>
    <n v="5"/>
    <n v="3"/>
    <n v="5"/>
    <n v="7"/>
    <n v="109.62"/>
    <n v="11.4"/>
  </r>
  <r>
    <x v="227"/>
    <x v="13"/>
    <s v="Deccan Chargers"/>
    <n v="7"/>
    <n v="4"/>
    <n v="1"/>
    <n v="0"/>
    <n v="0"/>
    <n v="1"/>
    <n v="175"/>
    <m/>
  </r>
  <r>
    <x v="228"/>
    <x v="8"/>
    <s v="Kolkata Knight Riders"/>
    <n v="11"/>
    <n v="11"/>
    <n v="1"/>
    <n v="0"/>
    <n v="1"/>
    <n v="5"/>
    <n v="100"/>
    <n v="11"/>
  </r>
  <r>
    <x v="228"/>
    <x v="9"/>
    <s v="Kolkata Knight Riders"/>
    <n v="16"/>
    <n v="13"/>
    <n v="1"/>
    <n v="1"/>
    <n v="2"/>
    <n v="3"/>
    <n v="123.08"/>
    <n v="8"/>
  </r>
  <r>
    <x v="228"/>
    <x v="12"/>
    <s v="Kolkata Knight Riders"/>
    <n v="6"/>
    <n v="17"/>
    <n v="0"/>
    <n v="0"/>
    <n v="2"/>
    <n v="2"/>
    <n v="35.29"/>
    <n v="3"/>
  </r>
  <r>
    <x v="228"/>
    <x v="13"/>
    <s v="Deccan Chargers"/>
    <n v="4"/>
    <n v="5"/>
    <n v="0"/>
    <n v="0"/>
    <n v="0"/>
    <n v="4"/>
    <n v="80"/>
    <m/>
  </r>
  <r>
    <x v="228"/>
    <x v="10"/>
    <s v="Kings XI Punjab"/>
    <n v="8"/>
    <n v="12"/>
    <n v="1"/>
    <n v="0"/>
    <n v="2"/>
    <n v="3"/>
    <n v="66.67"/>
    <n v="4"/>
  </r>
  <r>
    <x v="228"/>
    <x v="15"/>
    <s v="Delhi Capitals"/>
    <n v="10"/>
    <n v="3"/>
    <n v="1"/>
    <n v="1"/>
    <n v="0"/>
    <n v="1"/>
    <n v="333.33"/>
    <m/>
  </r>
  <r>
    <x v="228"/>
    <x v="5"/>
    <s v="Delhi Capitals"/>
    <n v="1"/>
    <n v="1"/>
    <n v="0"/>
    <n v="0"/>
    <n v="0"/>
    <n v="1"/>
    <n v="100"/>
    <m/>
  </r>
  <r>
    <x v="228"/>
    <x v="6"/>
    <s v="Delhi Capitals"/>
    <n v="1"/>
    <n v="7"/>
    <n v="0"/>
    <n v="0"/>
    <n v="0"/>
    <n v="2"/>
    <n v="14.29"/>
    <m/>
  </r>
  <r>
    <x v="229"/>
    <x v="16"/>
    <s v="Royal Challengers Bangalore"/>
    <n v="15"/>
    <n v="11"/>
    <n v="1"/>
    <n v="1"/>
    <n v="3"/>
    <n v="4"/>
    <n v="136.36000000000001"/>
    <n v="5"/>
  </r>
  <r>
    <x v="230"/>
    <x v="1"/>
    <s v="Pune Warriors"/>
    <n v="0"/>
    <n v="2"/>
    <n v="0"/>
    <n v="0"/>
    <n v="1"/>
    <n v="1"/>
    <n v="0"/>
    <n v="0"/>
  </r>
  <r>
    <x v="231"/>
    <x v="8"/>
    <s v="Kings XI Punjab"/>
    <n v="131"/>
    <n v="115"/>
    <n v="9"/>
    <n v="6"/>
    <n v="5"/>
    <n v="10"/>
    <n v="113.91"/>
    <n v="26.2"/>
  </r>
  <r>
    <x v="231"/>
    <x v="9"/>
    <s v="Kings XI Punjab"/>
    <n v="196"/>
    <n v="158"/>
    <n v="17"/>
    <n v="6"/>
    <n v="11"/>
    <n v="12"/>
    <n v="124.05"/>
    <n v="17.82"/>
  </r>
  <r>
    <x v="231"/>
    <x v="12"/>
    <s v="Kings XI Punjab"/>
    <n v="276"/>
    <n v="186"/>
    <n v="21"/>
    <n v="10"/>
    <n v="8"/>
    <n v="13"/>
    <n v="148.38999999999999"/>
    <n v="34.5"/>
  </r>
  <r>
    <x v="231"/>
    <x v="13"/>
    <s v="Delhi Daredevils"/>
    <n v="150"/>
    <n v="137"/>
    <n v="12"/>
    <n v="6"/>
    <n v="7"/>
    <n v="12"/>
    <n v="109.49"/>
    <n v="21.43"/>
  </r>
  <r>
    <x v="231"/>
    <x v="0"/>
    <s v="Delhi Daredevils"/>
    <n v="176"/>
    <n v="126"/>
    <n v="14"/>
    <n v="6"/>
    <n v="7"/>
    <n v="12"/>
    <n v="139.68"/>
    <n v="25.14"/>
  </r>
  <r>
    <x v="231"/>
    <x v="1"/>
    <s v="Delhi Daredevils"/>
    <n v="153"/>
    <n v="155"/>
    <n v="10"/>
    <n v="4"/>
    <n v="8"/>
    <n v="13"/>
    <n v="98.71"/>
    <n v="19.12"/>
  </r>
  <r>
    <x v="231"/>
    <x v="14"/>
    <s v="Sunrisers Hyderabad"/>
    <n v="55"/>
    <n v="54"/>
    <n v="5"/>
    <n v="0"/>
    <n v="4"/>
    <n v="6"/>
    <n v="101.85"/>
    <n v="13.75"/>
  </r>
  <r>
    <x v="231"/>
    <x v="3"/>
    <s v="Rising Pune Supergiants"/>
    <n v="11"/>
    <n v="13"/>
    <n v="0"/>
    <n v="0"/>
    <n v="2"/>
    <n v="3"/>
    <n v="84.62"/>
    <n v="5.5"/>
  </r>
  <r>
    <x v="231"/>
    <x v="10"/>
    <s v="Gujarat Lions"/>
    <n v="2"/>
    <n v="3"/>
    <n v="0"/>
    <n v="0"/>
    <n v="1"/>
    <n v="1"/>
    <n v="66.67"/>
    <n v="2"/>
  </r>
  <r>
    <x v="232"/>
    <x v="13"/>
    <s v="Deccan Chargers"/>
    <n v="28"/>
    <n v="37"/>
    <n v="3"/>
    <n v="0"/>
    <n v="2"/>
    <n v="2"/>
    <n v="75.680000000000007"/>
    <n v="14"/>
  </r>
  <r>
    <x v="232"/>
    <x v="0"/>
    <s v="Deccan Chargers"/>
    <n v="15"/>
    <n v="21"/>
    <n v="0"/>
    <n v="0"/>
    <n v="2"/>
    <n v="3"/>
    <n v="71.430000000000007"/>
    <n v="7.5"/>
  </r>
  <r>
    <x v="232"/>
    <x v="10"/>
    <s v="Kolkata Knight Riders"/>
    <n v="33"/>
    <n v="39"/>
    <n v="3"/>
    <n v="0"/>
    <n v="1"/>
    <n v="2"/>
    <n v="84.62"/>
    <n v="33"/>
  </r>
  <r>
    <x v="233"/>
    <x v="11"/>
    <s v="Rajasthan Royals"/>
    <n v="1"/>
    <n v="6"/>
    <n v="0"/>
    <n v="0"/>
    <n v="1"/>
    <n v="1"/>
    <n v="16.670000000000002"/>
    <n v="1"/>
  </r>
  <r>
    <x v="233"/>
    <x v="15"/>
    <s v="Rajasthan Royals"/>
    <n v="6"/>
    <n v="11"/>
    <n v="0"/>
    <n v="0"/>
    <n v="1"/>
    <n v="1"/>
    <n v="54.55"/>
    <n v="6"/>
  </r>
  <r>
    <x v="234"/>
    <x v="14"/>
    <s v="Delhi Daredevils"/>
    <n v="8"/>
    <n v="10"/>
    <n v="2"/>
    <n v="0"/>
    <n v="2"/>
    <n v="2"/>
    <n v="80"/>
    <n v="4"/>
  </r>
  <r>
    <x v="234"/>
    <x v="2"/>
    <s v="Delhi Daredevils"/>
    <n v="5"/>
    <n v="6"/>
    <n v="0"/>
    <n v="0"/>
    <n v="1"/>
    <n v="2"/>
    <n v="83.33"/>
    <n v="5"/>
  </r>
  <r>
    <x v="234"/>
    <x v="3"/>
    <s v="Delhi Daredevils"/>
    <n v="5"/>
    <n v="7"/>
    <n v="1"/>
    <n v="0"/>
    <n v="1"/>
    <n v="1"/>
    <n v="71.430000000000007"/>
    <n v="5"/>
  </r>
  <r>
    <x v="234"/>
    <x v="10"/>
    <s v="Rising Pune Supergiant"/>
    <n v="0"/>
    <n v="2"/>
    <n v="0"/>
    <n v="0"/>
    <n v="0"/>
    <n v="1"/>
    <n v="0"/>
    <m/>
  </r>
  <r>
    <x v="234"/>
    <x v="11"/>
    <s v="Chennai Super Kings"/>
    <n v="2"/>
    <n v="2"/>
    <n v="0"/>
    <n v="0"/>
    <n v="0"/>
    <n v="1"/>
    <n v="100"/>
    <m/>
  </r>
  <r>
    <x v="234"/>
    <x v="16"/>
    <s v="Chennai Super Kings"/>
    <n v="13"/>
    <n v="10"/>
    <n v="2"/>
    <n v="0"/>
    <n v="0"/>
    <n v="1"/>
    <n v="130"/>
    <m/>
  </r>
  <r>
    <x v="235"/>
    <x v="8"/>
    <s v="Kolkata Knight Riders"/>
    <n v="1"/>
    <n v="2"/>
    <n v="0"/>
    <n v="0"/>
    <n v="0"/>
    <n v="1"/>
    <n v="50"/>
    <m/>
  </r>
  <r>
    <x v="235"/>
    <x v="12"/>
    <s v="Kolkata Knight Riders"/>
    <n v="0"/>
    <n v="1"/>
    <n v="0"/>
    <n v="0"/>
    <n v="0"/>
    <n v="1"/>
    <n v="0"/>
    <m/>
  </r>
  <r>
    <x v="235"/>
    <x v="13"/>
    <s v="Kolkata Knight Riders"/>
    <n v="15"/>
    <n v="12"/>
    <n v="1"/>
    <n v="0"/>
    <n v="0"/>
    <n v="2"/>
    <n v="125"/>
    <m/>
  </r>
  <r>
    <x v="235"/>
    <x v="0"/>
    <s v="Kolkata Knight Riders"/>
    <n v="2"/>
    <n v="3"/>
    <n v="0"/>
    <n v="0"/>
    <n v="0"/>
    <n v="2"/>
    <n v="66.67"/>
    <m/>
  </r>
  <r>
    <x v="235"/>
    <x v="1"/>
    <s v="Kolkata Knight Riders"/>
    <n v="8"/>
    <n v="14"/>
    <n v="0"/>
    <n v="0"/>
    <n v="0"/>
    <n v="2"/>
    <n v="57.14"/>
    <m/>
  </r>
  <r>
    <x v="235"/>
    <x v="2"/>
    <s v="Royal Challengers Bangalore"/>
    <n v="20"/>
    <n v="17"/>
    <n v="4"/>
    <n v="0"/>
    <n v="1"/>
    <n v="2"/>
    <n v="117.65"/>
    <n v="20"/>
  </r>
  <r>
    <x v="235"/>
    <x v="3"/>
    <s v="Royal Challengers Bangalore"/>
    <n v="37"/>
    <n v="26"/>
    <n v="4"/>
    <n v="1"/>
    <n v="0"/>
    <n v="2"/>
    <n v="142.31"/>
    <m/>
  </r>
  <r>
    <x v="235"/>
    <x v="10"/>
    <s v="Royal Challengers Bangalore"/>
    <n v="5"/>
    <n v="7"/>
    <n v="0"/>
    <n v="0"/>
    <n v="0"/>
    <n v="1"/>
    <n v="71.430000000000007"/>
    <m/>
  </r>
  <r>
    <x v="236"/>
    <x v="3"/>
    <s v="Gujarat Lions"/>
    <n v="42"/>
    <n v="41"/>
    <n v="5"/>
    <n v="0"/>
    <n v="4"/>
    <n v="5"/>
    <n v="102.44"/>
    <n v="10.5"/>
  </r>
  <r>
    <x v="236"/>
    <x v="10"/>
    <s v="Gujarat Lions"/>
    <n v="277"/>
    <n v="205"/>
    <n v="29"/>
    <n v="13"/>
    <n v="10"/>
    <n v="10"/>
    <n v="135.12"/>
    <n v="27.7"/>
  </r>
  <r>
    <x v="236"/>
    <x v="11"/>
    <s v="Mumbai Indians"/>
    <n v="275"/>
    <n v="184"/>
    <n v="22"/>
    <n v="17"/>
    <n v="12"/>
    <n v="12"/>
    <n v="149.46"/>
    <n v="22.92"/>
  </r>
  <r>
    <x v="236"/>
    <x v="15"/>
    <s v="Mumbai Indians"/>
    <n v="101"/>
    <n v="100"/>
    <n v="8"/>
    <n v="4"/>
    <n v="5"/>
    <n v="6"/>
    <n v="101"/>
    <n v="20.2"/>
  </r>
  <r>
    <x v="236"/>
    <x v="16"/>
    <s v="Mumbai Indians"/>
    <n v="516"/>
    <n v="353"/>
    <n v="36"/>
    <n v="30"/>
    <n v="9"/>
    <n v="13"/>
    <n v="146.18"/>
    <n v="57.33"/>
  </r>
  <r>
    <x v="236"/>
    <x v="17"/>
    <s v="Mumbai Indians"/>
    <n v="241"/>
    <n v="177"/>
    <n v="21"/>
    <n v="10"/>
    <n v="9"/>
    <n v="10"/>
    <n v="136.16"/>
    <n v="26.78"/>
  </r>
  <r>
    <x v="236"/>
    <x v="4"/>
    <s v="Mumbai Indians"/>
    <n v="418"/>
    <n v="346"/>
    <n v="45"/>
    <n v="11"/>
    <n v="13"/>
    <n v="14"/>
    <n v="120.81"/>
    <n v="32.15"/>
  </r>
  <r>
    <x v="236"/>
    <x v="5"/>
    <s v="Mumbai Indians"/>
    <n v="454"/>
    <n v="318"/>
    <n v="54"/>
    <n v="18"/>
    <n v="15"/>
    <n v="15"/>
    <n v="142.77000000000001"/>
    <n v="30.27"/>
  </r>
  <r>
    <x v="236"/>
    <x v="6"/>
    <s v="Mumbai Indians"/>
    <n v="320"/>
    <n v="214"/>
    <n v="35"/>
    <n v="16"/>
    <n v="14"/>
    <n v="14"/>
    <n v="149.53"/>
    <n v="22.86"/>
  </r>
  <r>
    <x v="236"/>
    <x v="7"/>
    <s v="Sunrisers Hyderabad"/>
    <n v="354"/>
    <n v="231"/>
    <n v="33"/>
    <n v="15"/>
    <n v="10"/>
    <n v="13"/>
    <n v="153.25"/>
    <n v="35.4"/>
  </r>
  <r>
    <x v="237"/>
    <x v="8"/>
    <s v="Royal Challengers Bangalore"/>
    <n v="23"/>
    <n v="23"/>
    <n v="5"/>
    <n v="0"/>
    <n v="3"/>
    <n v="3"/>
    <n v="100"/>
    <n v="7.67"/>
  </r>
  <r>
    <x v="238"/>
    <x v="9"/>
    <s v="Rajasthan Royals"/>
    <n v="47"/>
    <n v="39"/>
    <n v="5"/>
    <n v="0"/>
    <n v="3"/>
    <n v="3"/>
    <n v="120.51"/>
    <n v="15.67"/>
  </r>
  <r>
    <x v="238"/>
    <x v="13"/>
    <s v="Rajasthan Royals"/>
    <n v="230"/>
    <n v="198"/>
    <n v="20"/>
    <n v="2"/>
    <n v="6"/>
    <n v="9"/>
    <n v="116.16"/>
    <n v="38.33"/>
  </r>
  <r>
    <x v="238"/>
    <x v="0"/>
    <s v="Rajasthan Royals"/>
    <n v="58"/>
    <n v="54"/>
    <n v="4"/>
    <n v="1"/>
    <n v="4"/>
    <n v="7"/>
    <n v="107.41"/>
    <n v="14.5"/>
  </r>
  <r>
    <x v="238"/>
    <x v="1"/>
    <s v="Delhi Daredevils"/>
    <n v="43"/>
    <n v="52"/>
    <n v="5"/>
    <n v="1"/>
    <n v="6"/>
    <n v="6"/>
    <n v="82.69"/>
    <n v="7.17"/>
  </r>
  <r>
    <x v="238"/>
    <x v="2"/>
    <s v="Kolkata Knight Riders"/>
    <n v="31"/>
    <n v="15"/>
    <n v="5"/>
    <n v="1"/>
    <n v="3"/>
    <n v="3"/>
    <n v="206.67"/>
    <n v="10.33"/>
  </r>
  <r>
    <x v="239"/>
    <x v="6"/>
    <s v="Delhi Capitals"/>
    <n v="330"/>
    <n v="139"/>
    <n v="32"/>
    <n v="28"/>
    <n v="8"/>
    <n v="9"/>
    <n v="237.41"/>
    <n v="41.25"/>
  </r>
  <r>
    <x v="239"/>
    <x v="7"/>
    <s v="Delhi Capitals"/>
    <n v="55"/>
    <n v="52"/>
    <n v="7"/>
    <n v="2"/>
    <n v="6"/>
    <n v="6"/>
    <n v="105.77"/>
    <n v="9.17"/>
  </r>
  <r>
    <x v="240"/>
    <x v="7"/>
    <s v="Chennai Super Kings"/>
    <n v="15"/>
    <n v="7"/>
    <n v="1"/>
    <n v="1"/>
    <n v="0"/>
    <n v="2"/>
    <n v="214.29"/>
    <m/>
  </r>
  <r>
    <x v="241"/>
    <x v="2"/>
    <s v="Mumbai Indians"/>
    <n v="48"/>
    <n v="32"/>
    <n v="4"/>
    <n v="2"/>
    <n v="1"/>
    <n v="5"/>
    <n v="150"/>
    <n v="48"/>
  </r>
  <r>
    <x v="241"/>
    <x v="15"/>
    <s v="Delhi Capitals"/>
    <n v="6"/>
    <n v="15"/>
    <n v="0"/>
    <n v="0"/>
    <n v="1"/>
    <n v="1"/>
    <n v="40"/>
    <n v="6"/>
  </r>
  <r>
    <x v="241"/>
    <x v="17"/>
    <s v="Sunrisers Hyderabad"/>
    <n v="14"/>
    <n v="6"/>
    <n v="2"/>
    <n v="1"/>
    <n v="0"/>
    <n v="1"/>
    <n v="233.33"/>
    <m/>
  </r>
  <r>
    <x v="241"/>
    <x v="4"/>
    <s v="Sunrisers Hyderabad"/>
    <n v="2"/>
    <n v="8"/>
    <n v="0"/>
    <n v="0"/>
    <n v="2"/>
    <n v="2"/>
    <n v="25"/>
    <n v="1"/>
  </r>
  <r>
    <x v="242"/>
    <x v="13"/>
    <s v="Royal Challengers Bangalore"/>
    <n v="15"/>
    <n v="12"/>
    <n v="2"/>
    <n v="0"/>
    <n v="0"/>
    <n v="2"/>
    <n v="125"/>
    <m/>
  </r>
  <r>
    <x v="242"/>
    <x v="0"/>
    <s v="Royal Challengers Bangalore"/>
    <n v="4"/>
    <n v="1"/>
    <n v="1"/>
    <n v="0"/>
    <n v="0"/>
    <n v="1"/>
    <n v="400"/>
    <m/>
  </r>
  <r>
    <x v="242"/>
    <x v="1"/>
    <s v="Royal Challengers Bangalore"/>
    <n v="10"/>
    <n v="13"/>
    <n v="1"/>
    <n v="0"/>
    <n v="2"/>
    <n v="2"/>
    <n v="76.92"/>
    <n v="5"/>
  </r>
  <r>
    <x v="243"/>
    <x v="12"/>
    <s v="Kings XI Punjab"/>
    <n v="2"/>
    <n v="5"/>
    <n v="0"/>
    <n v="0"/>
    <n v="2"/>
    <n v="2"/>
    <n v="40"/>
    <n v="1"/>
  </r>
  <r>
    <x v="243"/>
    <x v="0"/>
    <s v="Deccan Chargers"/>
    <n v="7"/>
    <n v="6"/>
    <n v="1"/>
    <n v="0"/>
    <n v="0"/>
    <n v="1"/>
    <n v="116.67"/>
    <m/>
  </r>
  <r>
    <x v="243"/>
    <x v="2"/>
    <s v="Rajasthan Royals"/>
    <n v="1"/>
    <n v="1"/>
    <n v="0"/>
    <n v="0"/>
    <n v="0"/>
    <n v="1"/>
    <n v="100"/>
    <m/>
  </r>
  <r>
    <x v="244"/>
    <x v="3"/>
    <s v="Delhi Daredevils"/>
    <n v="6"/>
    <n v="10"/>
    <n v="0"/>
    <n v="0"/>
    <n v="0"/>
    <n v="2"/>
    <n v="60"/>
    <m/>
  </r>
  <r>
    <x v="244"/>
    <x v="17"/>
    <s v="Mumbai Indians"/>
    <n v="34"/>
    <n v="26"/>
    <n v="2"/>
    <n v="1"/>
    <n v="2"/>
    <n v="2"/>
    <n v="130.77000000000001"/>
    <n v="17"/>
  </r>
  <r>
    <x v="245"/>
    <x v="8"/>
    <s v="Chennai Super Kings"/>
    <n v="241"/>
    <n v="162"/>
    <n v="18"/>
    <n v="14"/>
    <n v="8"/>
    <n v="10"/>
    <n v="148.77000000000001"/>
    <n v="30.12"/>
  </r>
  <r>
    <x v="245"/>
    <x v="9"/>
    <s v="Chennai Super Kings"/>
    <n v="97"/>
    <n v="70"/>
    <n v="8"/>
    <n v="4"/>
    <n v="5"/>
    <n v="10"/>
    <n v="138.57"/>
    <n v="19.399999999999999"/>
  </r>
  <r>
    <x v="245"/>
    <x v="12"/>
    <s v="Chennai Super Kings"/>
    <n v="199"/>
    <n v="131"/>
    <n v="10"/>
    <n v="13"/>
    <n v="7"/>
    <n v="11"/>
    <n v="151.91"/>
    <n v="28.43"/>
  </r>
  <r>
    <x v="245"/>
    <x v="13"/>
    <s v="Chennai Super Kings"/>
    <n v="138"/>
    <n v="100"/>
    <n v="8"/>
    <n v="8"/>
    <n v="5"/>
    <n v="12"/>
    <n v="138"/>
    <n v="27.6"/>
  </r>
  <r>
    <x v="245"/>
    <x v="0"/>
    <s v="Chennai Super Kings"/>
    <n v="107"/>
    <n v="68"/>
    <n v="5"/>
    <n v="6"/>
    <n v="7"/>
    <n v="12"/>
    <n v="157.35"/>
    <n v="15.29"/>
  </r>
  <r>
    <x v="245"/>
    <x v="1"/>
    <s v="Chennai Super Kings"/>
    <n v="46"/>
    <n v="37"/>
    <n v="2"/>
    <n v="3"/>
    <n v="3"/>
    <n v="3"/>
    <n v="124.32"/>
    <n v="15.33"/>
  </r>
  <r>
    <x v="245"/>
    <x v="14"/>
    <s v="Royal Challengers Bangalore"/>
    <n v="45"/>
    <n v="41"/>
    <n v="1"/>
    <n v="3"/>
    <n v="3"/>
    <n v="5"/>
    <n v="109.76"/>
    <n v="15"/>
  </r>
  <r>
    <x v="245"/>
    <x v="2"/>
    <s v="Delhi Daredevils"/>
    <n v="86"/>
    <n v="65"/>
    <n v="9"/>
    <n v="2"/>
    <n v="1"/>
    <n v="3"/>
    <n v="132.31"/>
    <n v="86"/>
  </r>
  <r>
    <x v="245"/>
    <x v="3"/>
    <s v="Rising Pune Supergiants"/>
    <n v="16"/>
    <n v="9"/>
    <n v="0"/>
    <n v="2"/>
    <n v="1"/>
    <n v="1"/>
    <n v="177.78"/>
    <n v="16"/>
  </r>
  <r>
    <x v="246"/>
    <x v="17"/>
    <s v="Punjab Kings"/>
    <n v="15"/>
    <n v="24"/>
    <n v="2"/>
    <n v="0"/>
    <n v="2"/>
    <n v="2"/>
    <n v="62.5"/>
    <n v="7.5"/>
  </r>
  <r>
    <x v="246"/>
    <x v="6"/>
    <s v="Delhi Capitals"/>
    <n v="2"/>
    <n v="2"/>
    <n v="0"/>
    <n v="0"/>
    <n v="1"/>
    <n v="1"/>
    <n v="100"/>
    <n v="2"/>
  </r>
  <r>
    <x v="247"/>
    <x v="11"/>
    <s v="Rajasthan Royals"/>
    <n v="15"/>
    <n v="19"/>
    <n v="2"/>
    <n v="0"/>
    <n v="5"/>
    <n v="6"/>
    <n v="78.95"/>
    <n v="3"/>
  </r>
  <r>
    <x v="247"/>
    <x v="15"/>
    <s v="Rajasthan Royals"/>
    <n v="67"/>
    <n v="40"/>
    <n v="4"/>
    <n v="4"/>
    <n v="2"/>
    <n v="5"/>
    <n v="167.5"/>
    <n v="33.5"/>
  </r>
  <r>
    <x v="247"/>
    <x v="16"/>
    <s v="Rajasthan Royals"/>
    <n v="113"/>
    <n v="60"/>
    <n v="5"/>
    <n v="10"/>
    <n v="6"/>
    <n v="10"/>
    <n v="188.33"/>
    <n v="18.829999999999998"/>
  </r>
  <r>
    <x v="247"/>
    <x v="5"/>
    <s v="Mumbai Indians"/>
    <n v="4"/>
    <n v="4"/>
    <n v="0"/>
    <n v="0"/>
    <n v="0"/>
    <n v="2"/>
    <n v="100"/>
    <m/>
  </r>
  <r>
    <x v="247"/>
    <x v="7"/>
    <s v="Rajasthan Royals"/>
    <n v="63"/>
    <n v="50"/>
    <n v="3"/>
    <n v="4"/>
    <n v="5"/>
    <n v="7"/>
    <n v="126"/>
    <n v="12.6"/>
  </r>
  <r>
    <x v="248"/>
    <x v="3"/>
    <s v="Mumbai Indians"/>
    <n v="255"/>
    <n v="183"/>
    <n v="23"/>
    <n v="11"/>
    <n v="11"/>
    <n v="14"/>
    <n v="139.34"/>
    <n v="23.18"/>
  </r>
  <r>
    <x v="248"/>
    <x v="10"/>
    <s v="Mumbai Indians"/>
    <n v="273"/>
    <n v="179"/>
    <n v="27"/>
    <n v="15"/>
    <n v="9"/>
    <n v="10"/>
    <n v="152.51"/>
    <n v="30.33"/>
  </r>
  <r>
    <x v="248"/>
    <x v="11"/>
    <s v="Rajasthan Royals"/>
    <n v="548"/>
    <n v="352"/>
    <n v="52"/>
    <n v="21"/>
    <n v="11"/>
    <n v="13"/>
    <n v="155.68"/>
    <n v="49.82"/>
  </r>
  <r>
    <x v="248"/>
    <x v="15"/>
    <s v="Rajasthan Royals"/>
    <n v="311"/>
    <n v="205"/>
    <n v="38"/>
    <n v="14"/>
    <n v="7"/>
    <n v="8"/>
    <n v="151.71"/>
    <n v="44.43"/>
  </r>
  <r>
    <x v="248"/>
    <x v="16"/>
    <s v="Rajasthan Royals"/>
    <n v="328"/>
    <n v="227"/>
    <n v="27"/>
    <n v="16"/>
    <n v="11"/>
    <n v="12"/>
    <n v="144.49"/>
    <n v="29.82"/>
  </r>
  <r>
    <x v="248"/>
    <x v="17"/>
    <s v="Rajasthan Royals"/>
    <n v="254"/>
    <n v="164"/>
    <n v="27"/>
    <n v="13"/>
    <n v="7"/>
    <n v="7"/>
    <n v="154.88"/>
    <n v="36.29"/>
  </r>
  <r>
    <x v="248"/>
    <x v="4"/>
    <s v="Rajasthan Royals"/>
    <n v="863"/>
    <n v="574"/>
    <n v="84"/>
    <n v="45"/>
    <n v="15"/>
    <n v="17"/>
    <n v="150.35"/>
    <n v="57.53"/>
  </r>
  <r>
    <x v="248"/>
    <x v="5"/>
    <s v="Rajasthan Royals"/>
    <n v="392"/>
    <n v="281"/>
    <n v="42"/>
    <n v="14"/>
    <n v="15"/>
    <n v="14"/>
    <n v="139.5"/>
    <n v="26.13"/>
  </r>
  <r>
    <x v="248"/>
    <x v="6"/>
    <s v="Rajasthan Royals"/>
    <n v="359"/>
    <n v="254"/>
    <n v="36"/>
    <n v="12"/>
    <n v="10"/>
    <n v="11"/>
    <n v="141.34"/>
    <n v="35.9"/>
  </r>
  <r>
    <x v="248"/>
    <x v="7"/>
    <s v="Gujarat Titans"/>
    <n v="538"/>
    <n v="330"/>
    <n v="52"/>
    <n v="24"/>
    <n v="10"/>
    <n v="13"/>
    <n v="163.03"/>
    <n v="53.8"/>
  </r>
  <r>
    <x v="249"/>
    <x v="9"/>
    <s v="Royal Challengers Bangalore"/>
    <n v="56"/>
    <n v="48"/>
    <n v="9"/>
    <n v="0"/>
    <n v="5"/>
    <n v="5"/>
    <n v="116.67"/>
    <n v="11.2"/>
  </r>
  <r>
    <x v="249"/>
    <x v="13"/>
    <s v="Pune Warriors"/>
    <n v="292"/>
    <n v="196"/>
    <n v="37"/>
    <n v="11"/>
    <n v="13"/>
    <n v="13"/>
    <n v="148.97999999999999"/>
    <n v="22.46"/>
  </r>
  <r>
    <x v="249"/>
    <x v="0"/>
    <s v="Pune Warriors"/>
    <n v="256"/>
    <n v="211"/>
    <n v="23"/>
    <n v="8"/>
    <n v="11"/>
    <n v="11"/>
    <n v="121.33"/>
    <n v="23.27"/>
  </r>
  <r>
    <x v="250"/>
    <x v="1"/>
    <s v="Royal Challengers Bangalore"/>
    <n v="2"/>
    <n v="2"/>
    <n v="0"/>
    <n v="0"/>
    <n v="0"/>
    <n v="2"/>
    <n v="100"/>
    <m/>
  </r>
  <r>
    <x v="250"/>
    <x v="14"/>
    <s v="Delhi Daredevils"/>
    <n v="1"/>
    <n v="6"/>
    <n v="0"/>
    <n v="0"/>
    <n v="1"/>
    <n v="2"/>
    <n v="16.670000000000002"/>
    <n v="1"/>
  </r>
  <r>
    <x v="250"/>
    <x v="10"/>
    <s v="Rising Pune Supergiant"/>
    <n v="2"/>
    <n v="5"/>
    <n v="0"/>
    <n v="0"/>
    <n v="0"/>
    <n v="1"/>
    <n v="40"/>
    <m/>
  </r>
  <r>
    <x v="250"/>
    <x v="11"/>
    <s v="Rajasthan Royals"/>
    <n v="49"/>
    <n v="38"/>
    <n v="6"/>
    <n v="1"/>
    <n v="5"/>
    <n v="5"/>
    <n v="128.94999999999999"/>
    <n v="9.8000000000000007"/>
  </r>
  <r>
    <x v="250"/>
    <x v="15"/>
    <s v="Rajasthan Royals"/>
    <n v="1"/>
    <n v="3"/>
    <n v="0"/>
    <n v="0"/>
    <n v="1"/>
    <n v="2"/>
    <n v="33.33"/>
    <n v="1"/>
  </r>
  <r>
    <x v="250"/>
    <x v="16"/>
    <s v="Rajasthan Royals"/>
    <n v="9"/>
    <n v="13"/>
    <n v="0"/>
    <n v="0"/>
    <n v="1"/>
    <n v="1"/>
    <n v="69.23"/>
    <n v="9"/>
  </r>
  <r>
    <x v="250"/>
    <x v="17"/>
    <s v="Rajasthan Royals"/>
    <n v="41"/>
    <n v="29"/>
    <n v="3"/>
    <n v="2"/>
    <n v="2"/>
    <n v="3"/>
    <n v="141.38"/>
    <n v="20.5"/>
  </r>
  <r>
    <x v="250"/>
    <x v="4"/>
    <s v="Mumbai Indians"/>
    <n v="59"/>
    <n v="37"/>
    <n v="4"/>
    <n v="3"/>
    <n v="1"/>
    <n v="5"/>
    <n v="159.46"/>
    <n v="59"/>
  </r>
  <r>
    <x v="250"/>
    <x v="5"/>
    <s v="Lucknow Super Giants"/>
    <n v="9"/>
    <n v="7"/>
    <n v="1"/>
    <n v="0"/>
    <n v="1"/>
    <n v="1"/>
    <n v="128.57"/>
    <n v="9"/>
  </r>
  <r>
    <x v="250"/>
    <x v="6"/>
    <s v="Sunrisers Hyderabad"/>
    <n v="24"/>
    <n v="26"/>
    <n v="2"/>
    <n v="1"/>
    <n v="2"/>
    <n v="5"/>
    <n v="92.31"/>
    <n v="12"/>
  </r>
  <r>
    <x v="251"/>
    <x v="8"/>
    <s v="Chennai Super Kings"/>
    <n v="18"/>
    <n v="12"/>
    <n v="1"/>
    <n v="1"/>
    <n v="1"/>
    <n v="2"/>
    <n v="150"/>
    <n v="18"/>
  </r>
  <r>
    <x v="251"/>
    <x v="9"/>
    <s v="Chennai Super Kings"/>
    <n v="88"/>
    <n v="92"/>
    <n v="5"/>
    <n v="4"/>
    <n v="6"/>
    <n v="8"/>
    <n v="95.65"/>
    <n v="14.67"/>
  </r>
  <r>
    <x v="251"/>
    <x v="13"/>
    <s v="Rajasthan Royals"/>
    <n v="0"/>
    <n v="3"/>
    <n v="0"/>
    <n v="0"/>
    <n v="1"/>
    <n v="1"/>
    <n v="0"/>
    <n v="0"/>
  </r>
  <r>
    <x v="252"/>
    <x v="14"/>
    <s v="Delhi Daredevils"/>
    <n v="42"/>
    <n v="46"/>
    <n v="3"/>
    <n v="1"/>
    <n v="3"/>
    <n v="3"/>
    <n v="91.3"/>
    <n v="14"/>
  </r>
  <r>
    <x v="252"/>
    <x v="16"/>
    <s v="Kings XI Punjab"/>
    <n v="19"/>
    <n v="18"/>
    <n v="0"/>
    <n v="1"/>
    <n v="2"/>
    <n v="3"/>
    <n v="105.56"/>
    <n v="9.5"/>
  </r>
  <r>
    <x v="252"/>
    <x v="17"/>
    <s v="Mumbai Indians"/>
    <n v="0"/>
    <n v="2"/>
    <n v="0"/>
    <n v="0"/>
    <n v="2"/>
    <n v="2"/>
    <n v="0"/>
    <n v="0"/>
  </r>
  <r>
    <x v="252"/>
    <x v="4"/>
    <s v="Rajasthan Royals"/>
    <n v="31"/>
    <n v="27"/>
    <n v="3"/>
    <n v="0"/>
    <n v="1"/>
    <n v="2"/>
    <n v="114.81"/>
    <n v="31"/>
  </r>
  <r>
    <x v="253"/>
    <x v="5"/>
    <s v="Rajasthan Royals"/>
    <n v="10"/>
    <n v="15"/>
    <n v="1"/>
    <n v="0"/>
    <n v="1"/>
    <n v="1"/>
    <n v="66.67"/>
    <n v="10"/>
  </r>
  <r>
    <x v="254"/>
    <x v="13"/>
    <s v="Pune Warriors"/>
    <n v="3"/>
    <n v="3"/>
    <n v="0"/>
    <n v="0"/>
    <n v="0"/>
    <n v="2"/>
    <n v="100"/>
    <m/>
  </r>
  <r>
    <x v="255"/>
    <x v="13"/>
    <s v="Mumbai Indians"/>
    <n v="107"/>
    <n v="78"/>
    <n v="10"/>
    <n v="2"/>
    <n v="2"/>
    <n v="5"/>
    <n v="137.18"/>
    <n v="53.5"/>
  </r>
  <r>
    <x v="255"/>
    <x v="0"/>
    <s v="Mumbai Indians"/>
    <n v="220"/>
    <n v="222"/>
    <n v="15"/>
    <n v="7"/>
    <n v="9"/>
    <n v="11"/>
    <n v="99.1"/>
    <n v="24.44"/>
  </r>
  <r>
    <x v="256"/>
    <x v="7"/>
    <s v="Royal Challengers Bengaluru"/>
    <n v="67"/>
    <n v="39"/>
    <n v="9"/>
    <n v="3"/>
    <n v="2"/>
    <n v="2"/>
    <n v="171.79"/>
    <n v="33.5"/>
  </r>
  <r>
    <x v="257"/>
    <x v="8"/>
    <s v="Royal Challengers Bangalore"/>
    <n v="199"/>
    <n v="183"/>
    <n v="23"/>
    <n v="4"/>
    <n v="11"/>
    <n v="11"/>
    <n v="108.74"/>
    <n v="18.09"/>
  </r>
  <r>
    <x v="257"/>
    <x v="9"/>
    <s v="Royal Challengers Bangalore"/>
    <n v="361"/>
    <n v="331"/>
    <n v="37"/>
    <n v="8"/>
    <n v="13"/>
    <n v="15"/>
    <n v="109.06"/>
    <n v="27.77"/>
  </r>
  <r>
    <x v="257"/>
    <x v="12"/>
    <s v="Royal Challengers Bangalore"/>
    <n v="572"/>
    <n v="489"/>
    <n v="67"/>
    <n v="9"/>
    <n v="12"/>
    <n v="16"/>
    <n v="116.97"/>
    <n v="47.67"/>
  </r>
  <r>
    <x v="257"/>
    <x v="13"/>
    <s v="Kolkata Knight Riders"/>
    <n v="424"/>
    <n v="378"/>
    <n v="46"/>
    <n v="6"/>
    <n v="15"/>
    <n v="14"/>
    <n v="112.17"/>
    <n v="28.27"/>
  </r>
  <r>
    <x v="257"/>
    <x v="0"/>
    <s v="Kolkata Knight Riders"/>
    <n v="409"/>
    <n v="382"/>
    <n v="34"/>
    <n v="10"/>
    <n v="17"/>
    <n v="17"/>
    <n v="107.07"/>
    <n v="24.06"/>
  </r>
  <r>
    <x v="257"/>
    <x v="1"/>
    <s v="Kolkata Knight Riders"/>
    <n v="311"/>
    <n v="322"/>
    <n v="35"/>
    <n v="3"/>
    <n v="15"/>
    <n v="15"/>
    <n v="96.58"/>
    <n v="20.73"/>
  </r>
  <r>
    <x v="257"/>
    <x v="14"/>
    <s v="Kolkata Knight Riders"/>
    <n v="151"/>
    <n v="128"/>
    <n v="13"/>
    <n v="4"/>
    <n v="6"/>
    <n v="7"/>
    <n v="117.97"/>
    <n v="25.17"/>
  </r>
  <r>
    <x v="258"/>
    <x v="14"/>
    <s v="Mumbai Indians"/>
    <n v="1"/>
    <n v="3"/>
    <n v="0"/>
    <n v="0"/>
    <n v="1"/>
    <n v="2"/>
    <n v="33.33"/>
    <n v="1"/>
  </r>
  <r>
    <x v="258"/>
    <x v="3"/>
    <s v="Mumbai Indians"/>
    <n v="8"/>
    <n v="11"/>
    <n v="1"/>
    <n v="0"/>
    <n v="1"/>
    <n v="2"/>
    <n v="72.73"/>
    <n v="8"/>
  </r>
  <r>
    <x v="258"/>
    <x v="10"/>
    <s v="Mumbai Indians"/>
    <n v="16"/>
    <n v="12"/>
    <n v="0"/>
    <n v="1"/>
    <n v="1"/>
    <n v="2"/>
    <n v="133.33000000000001"/>
    <n v="16"/>
  </r>
  <r>
    <x v="258"/>
    <x v="11"/>
    <s v="Mumbai Indians"/>
    <n v="10"/>
    <n v="10"/>
    <n v="1"/>
    <n v="0"/>
    <n v="1"/>
    <n v="3"/>
    <n v="100"/>
    <n v="10"/>
  </r>
  <r>
    <x v="258"/>
    <x v="15"/>
    <s v="Mumbai Indians"/>
    <n v="0"/>
    <n v="1"/>
    <n v="0"/>
    <n v="0"/>
    <n v="0"/>
    <n v="1"/>
    <n v="0"/>
    <m/>
  </r>
  <r>
    <x v="258"/>
    <x v="16"/>
    <s v="Mumbai Indians"/>
    <n v="5"/>
    <n v="3"/>
    <n v="0"/>
    <n v="0"/>
    <n v="0"/>
    <n v="1"/>
    <n v="166.67"/>
    <m/>
  </r>
  <r>
    <x v="258"/>
    <x v="17"/>
    <s v="Mumbai Indians"/>
    <n v="16"/>
    <n v="17"/>
    <n v="2"/>
    <n v="0"/>
    <n v="3"/>
    <n v="7"/>
    <n v="94.12"/>
    <n v="5.33"/>
  </r>
  <r>
    <x v="258"/>
    <x v="4"/>
    <s v="Mumbai Indians"/>
    <n v="0"/>
    <n v="8"/>
    <n v="0"/>
    <n v="0"/>
    <n v="1"/>
    <n v="4"/>
    <n v="0"/>
    <n v="0"/>
  </r>
  <r>
    <x v="258"/>
    <x v="6"/>
    <s v="Mumbai Indians"/>
    <n v="12"/>
    <n v="12"/>
    <n v="1"/>
    <n v="0"/>
    <n v="0"/>
    <n v="4"/>
    <n v="100"/>
    <m/>
  </r>
  <r>
    <x v="258"/>
    <x v="7"/>
    <s v="Mumbai Indians"/>
    <n v="0"/>
    <n v="1"/>
    <n v="0"/>
    <n v="0"/>
    <n v="0"/>
    <n v="1"/>
    <n v="0"/>
    <m/>
  </r>
  <r>
    <x v="259"/>
    <x v="10"/>
    <s v="Gujarat Lions"/>
    <n v="59"/>
    <n v="40"/>
    <n v="9"/>
    <n v="1"/>
    <n v="2"/>
    <n v="3"/>
    <n v="147.5"/>
    <n v="29.5"/>
  </r>
  <r>
    <x v="259"/>
    <x v="11"/>
    <s v="Delhi Daredevils"/>
    <n v="120"/>
    <n v="94"/>
    <n v="9"/>
    <n v="7"/>
    <n v="4"/>
    <n v="5"/>
    <n v="127.66"/>
    <n v="30"/>
  </r>
  <r>
    <x v="259"/>
    <x v="17"/>
    <s v="Sunrisers Hyderabad"/>
    <n v="150"/>
    <n v="120"/>
    <n v="21"/>
    <n v="1"/>
    <n v="5"/>
    <n v="5"/>
    <n v="125"/>
    <n v="30"/>
  </r>
  <r>
    <x v="259"/>
    <x v="5"/>
    <s v="Kolkata Knight Riders"/>
    <n v="285"/>
    <n v="187"/>
    <n v="36"/>
    <n v="12"/>
    <n v="8"/>
    <n v="8"/>
    <n v="152.41"/>
    <n v="35.619999999999997"/>
  </r>
  <r>
    <x v="260"/>
    <x v="13"/>
    <s v="Royal Challengers Bangalore"/>
    <n v="18"/>
    <n v="16"/>
    <n v="1"/>
    <n v="1"/>
    <n v="2"/>
    <n v="3"/>
    <n v="112.5"/>
    <n v="9"/>
  </r>
  <r>
    <x v="261"/>
    <x v="15"/>
    <s v="Kolkata Knight Riders"/>
    <n v="0"/>
    <n v="1"/>
    <n v="0"/>
    <n v="0"/>
    <n v="1"/>
    <n v="1"/>
    <n v="0"/>
    <n v="0"/>
  </r>
  <r>
    <x v="262"/>
    <x v="16"/>
    <s v="Mumbai Indians"/>
    <n v="15"/>
    <n v="13"/>
    <n v="2"/>
    <n v="0"/>
    <n v="1"/>
    <n v="2"/>
    <n v="115.38"/>
    <n v="15"/>
  </r>
  <r>
    <x v="263"/>
    <x v="15"/>
    <s v="Sunrisers Hyderabad"/>
    <n v="445"/>
    <n v="281"/>
    <n v="48"/>
    <n v="18"/>
    <n v="8"/>
    <n v="10"/>
    <n v="158.36000000000001"/>
    <n v="55.62"/>
  </r>
  <r>
    <x v="263"/>
    <x v="16"/>
    <s v="Sunrisers Hyderabad"/>
    <n v="345"/>
    <n v="272"/>
    <n v="31"/>
    <n v="13"/>
    <n v="12"/>
    <n v="11"/>
    <n v="126.84"/>
    <n v="28.75"/>
  </r>
  <r>
    <x v="263"/>
    <x v="17"/>
    <s v="Sunrisers Hyderabad"/>
    <n v="248"/>
    <n v="175"/>
    <n v="20"/>
    <n v="15"/>
    <n v="7"/>
    <n v="7"/>
    <n v="141.71"/>
    <n v="35.43"/>
  </r>
  <r>
    <x v="263"/>
    <x v="4"/>
    <s v="Punjab Kings"/>
    <n v="253"/>
    <n v="173"/>
    <n v="34"/>
    <n v="9"/>
    <n v="11"/>
    <n v="11"/>
    <n v="146.24"/>
    <n v="23"/>
  </r>
  <r>
    <x v="263"/>
    <x v="6"/>
    <s v="Punjab Kings"/>
    <n v="298"/>
    <n v="195"/>
    <n v="33"/>
    <n v="14"/>
    <n v="10"/>
    <n v="11"/>
    <n v="152.82"/>
    <n v="29.8"/>
  </r>
  <r>
    <x v="263"/>
    <x v="7"/>
    <s v="Mumbai Indians"/>
    <n v="85"/>
    <n v="46"/>
    <n v="7"/>
    <n v="5"/>
    <n v="2"/>
    <n v="2"/>
    <n v="184.78"/>
    <n v="42.5"/>
  </r>
  <r>
    <x v="264"/>
    <x v="12"/>
    <s v="Chennai Super Kings"/>
    <n v="26"/>
    <n v="24"/>
    <n v="1"/>
    <n v="1"/>
    <n v="2"/>
    <n v="2"/>
    <n v="108.33"/>
    <n v="13"/>
  </r>
  <r>
    <x v="265"/>
    <x v="4"/>
    <s v="Punjab Kings"/>
    <n v="234"/>
    <n v="143"/>
    <n v="22"/>
    <n v="12"/>
    <n v="8"/>
    <n v="10"/>
    <n v="163.63999999999999"/>
    <n v="29.25"/>
  </r>
  <r>
    <x v="265"/>
    <x v="5"/>
    <s v="Punjab Kings"/>
    <n v="309"/>
    <n v="196"/>
    <n v="22"/>
    <n v="21"/>
    <n v="13"/>
    <n v="14"/>
    <n v="157.65"/>
    <n v="23.77"/>
  </r>
  <r>
    <x v="265"/>
    <x v="6"/>
    <s v="Punjab Kings"/>
    <n v="187"/>
    <n v="142"/>
    <n v="9"/>
    <n v="12"/>
    <n v="11"/>
    <n v="12"/>
    <n v="131.69"/>
    <n v="17"/>
  </r>
  <r>
    <x v="265"/>
    <x v="7"/>
    <s v="Royal Challengers Bengaluru"/>
    <n v="261"/>
    <n v="147"/>
    <n v="24"/>
    <n v="17"/>
    <n v="7"/>
    <n v="11"/>
    <n v="177.55"/>
    <n v="37.29"/>
  </r>
  <r>
    <x v="266"/>
    <x v="14"/>
    <s v="Sunrisers Hyderabad"/>
    <n v="16"/>
    <n v="12"/>
    <n v="2"/>
    <n v="1"/>
    <n v="1"/>
    <n v="1"/>
    <n v="133.33000000000001"/>
    <n v="16"/>
  </r>
  <r>
    <x v="266"/>
    <x v="3"/>
    <s v="Kolkata Knight Riders"/>
    <n v="22"/>
    <n v="19"/>
    <n v="2"/>
    <n v="1"/>
    <n v="4"/>
    <n v="4"/>
    <n v="115.79"/>
    <n v="5.5"/>
  </r>
  <r>
    <x v="266"/>
    <x v="16"/>
    <s v="Sunrisers Hyderabad"/>
    <n v="66"/>
    <n v="53"/>
    <n v="5"/>
    <n v="3"/>
    <n v="2"/>
    <n v="4"/>
    <n v="124.53"/>
    <n v="33"/>
  </r>
  <r>
    <x v="266"/>
    <x v="17"/>
    <s v="Sunrisers Hyderabad"/>
    <n v="85"/>
    <n v="70"/>
    <n v="2"/>
    <n v="6"/>
    <n v="6"/>
    <n v="7"/>
    <n v="121.43"/>
    <n v="14.17"/>
  </r>
  <r>
    <x v="266"/>
    <x v="4"/>
    <s v="Lucknow Super Giants"/>
    <n v="58"/>
    <n v="44"/>
    <n v="2"/>
    <n v="6"/>
    <n v="6"/>
    <n v="8"/>
    <n v="131.82"/>
    <n v="9.67"/>
  </r>
  <r>
    <x v="266"/>
    <x v="5"/>
    <s v="Rajasthan Royals"/>
    <n v="12"/>
    <n v="11"/>
    <n v="0"/>
    <n v="1"/>
    <n v="2"/>
    <n v="3"/>
    <n v="109.09"/>
    <n v="6"/>
  </r>
  <r>
    <x v="267"/>
    <x v="5"/>
    <s v="Mumbai Indians"/>
    <n v="6"/>
    <n v="9"/>
    <n v="0"/>
    <n v="0"/>
    <n v="0"/>
    <n v="2"/>
    <n v="66.67"/>
    <m/>
  </r>
  <r>
    <x v="268"/>
    <x v="9"/>
    <s v="Mumbai Indians"/>
    <n v="372"/>
    <n v="325"/>
    <n v="26"/>
    <n v="11"/>
    <n v="8"/>
    <n v="12"/>
    <n v="114.46"/>
    <n v="46.5"/>
  </r>
  <r>
    <x v="268"/>
    <x v="12"/>
    <s v="Mumbai Indians"/>
    <n v="157"/>
    <n v="131"/>
    <n v="13"/>
    <n v="5"/>
    <n v="4"/>
    <n v="7"/>
    <n v="119.85"/>
    <n v="39.25"/>
  </r>
  <r>
    <x v="268"/>
    <x v="13"/>
    <s v="Deccan Chargers"/>
    <n v="205"/>
    <n v="173"/>
    <n v="9"/>
    <n v="8"/>
    <n v="10"/>
    <n v="10"/>
    <n v="118.5"/>
    <n v="20.5"/>
  </r>
  <r>
    <x v="268"/>
    <x v="0"/>
    <s v="Deccan Chargers"/>
    <n v="244"/>
    <n v="190"/>
    <n v="13"/>
    <n v="11"/>
    <n v="3"/>
    <n v="9"/>
    <n v="128.41999999999999"/>
    <n v="81.33"/>
  </r>
  <r>
    <x v="268"/>
    <x v="14"/>
    <s v="Delhi Daredevils"/>
    <n v="410"/>
    <n v="302"/>
    <n v="22"/>
    <n v="20"/>
    <n v="8"/>
    <n v="14"/>
    <n v="135.76"/>
    <n v="51.25"/>
  </r>
  <r>
    <x v="268"/>
    <x v="2"/>
    <s v="Delhi Daredevils"/>
    <n v="414"/>
    <n v="315"/>
    <n v="27"/>
    <n v="20"/>
    <n v="10"/>
    <n v="13"/>
    <n v="131.43"/>
    <n v="41.4"/>
  </r>
  <r>
    <x v="268"/>
    <x v="3"/>
    <s v="Delhi Daredevils"/>
    <n v="191"/>
    <n v="155"/>
    <n v="13"/>
    <n v="3"/>
    <n v="5"/>
    <n v="8"/>
    <n v="123.23"/>
    <n v="38.200000000000003"/>
  </r>
  <r>
    <x v="268"/>
    <x v="11"/>
    <s v="Mumbai Indians"/>
    <n v="36"/>
    <n v="40"/>
    <n v="3"/>
    <n v="1"/>
    <n v="1"/>
    <n v="2"/>
    <n v="90"/>
    <n v="36"/>
  </r>
  <r>
    <x v="269"/>
    <x v="0"/>
    <s v="Kings XI Punjab"/>
    <n v="14"/>
    <n v="13"/>
    <n v="0"/>
    <n v="0"/>
    <n v="1"/>
    <n v="2"/>
    <n v="107.69"/>
    <n v="14"/>
  </r>
  <r>
    <x v="269"/>
    <x v="1"/>
    <s v="Rajasthan Royals"/>
    <n v="57"/>
    <n v="57"/>
    <n v="5"/>
    <n v="2"/>
    <n v="5"/>
    <n v="9"/>
    <n v="100"/>
    <n v="11.4"/>
  </r>
  <r>
    <x v="269"/>
    <x v="14"/>
    <s v="Rajasthan Royals"/>
    <n v="181"/>
    <n v="93"/>
    <n v="8"/>
    <n v="16"/>
    <n v="5"/>
    <n v="12"/>
    <n v="194.62"/>
    <n v="36.200000000000003"/>
  </r>
  <r>
    <x v="269"/>
    <x v="2"/>
    <s v="Rajasthan Royals"/>
    <n v="144"/>
    <n v="108"/>
    <n v="12"/>
    <n v="5"/>
    <n v="9"/>
    <n v="11"/>
    <n v="133.33000000000001"/>
    <n v="16"/>
  </r>
  <r>
    <x v="269"/>
    <x v="3"/>
    <s v="Gujarat Lions"/>
    <n v="77"/>
    <n v="58"/>
    <n v="7"/>
    <n v="0"/>
    <n v="3"/>
    <n v="5"/>
    <n v="132.76"/>
    <n v="25.67"/>
  </r>
  <r>
    <x v="269"/>
    <x v="10"/>
    <s v="Gujarat Lions"/>
    <n v="54"/>
    <n v="56"/>
    <n v="4"/>
    <n v="0"/>
    <n v="5"/>
    <n v="6"/>
    <n v="96.43"/>
    <n v="10.8"/>
  </r>
  <r>
    <x v="270"/>
    <x v="7"/>
    <s v="Punjab Kings"/>
    <n v="278"/>
    <n v="171"/>
    <n v="26"/>
    <n v="16"/>
    <n v="10"/>
    <n v="11"/>
    <n v="162.57"/>
    <n v="27.8"/>
  </r>
  <r>
    <x v="271"/>
    <x v="11"/>
    <s v="Kolkata Knight Riders"/>
    <n v="8"/>
    <n v="6"/>
    <n v="0"/>
    <n v="1"/>
    <n v="1"/>
    <n v="2"/>
    <n v="133.33000000000001"/>
    <n v="8"/>
  </r>
  <r>
    <x v="272"/>
    <x v="4"/>
    <s v="Royal Challengers Bangalore"/>
    <n v="18"/>
    <n v="26"/>
    <n v="1"/>
    <n v="0"/>
    <n v="0"/>
    <n v="5"/>
    <n v="69.23"/>
    <m/>
  </r>
  <r>
    <x v="272"/>
    <x v="5"/>
    <s v="Royal Challengers Bangalore"/>
    <n v="1"/>
    <n v="2"/>
    <n v="0"/>
    <n v="0"/>
    <n v="0"/>
    <n v="1"/>
    <n v="50"/>
    <m/>
  </r>
  <r>
    <x v="272"/>
    <x v="7"/>
    <s v="Royal Challengers Bengaluru"/>
    <n v="0"/>
    <n v="1"/>
    <n v="0"/>
    <n v="0"/>
    <n v="0"/>
    <n v="1"/>
    <n v="0"/>
    <m/>
  </r>
  <r>
    <x v="273"/>
    <x v="8"/>
    <s v="Kings XI Punjab"/>
    <n v="221"/>
    <n v="148"/>
    <n v="27"/>
    <n v="8"/>
    <n v="11"/>
    <n v="11"/>
    <n v="149.32"/>
    <n v="20.09"/>
  </r>
  <r>
    <x v="273"/>
    <x v="13"/>
    <s v="Delhi Daredevils"/>
    <n v="196"/>
    <n v="157"/>
    <n v="22"/>
    <n v="3"/>
    <n v="6"/>
    <n v="8"/>
    <n v="124.84"/>
    <n v="32.67"/>
  </r>
  <r>
    <x v="274"/>
    <x v="16"/>
    <s v="Royal Challengers Bangalore"/>
    <n v="78"/>
    <n v="77"/>
    <n v="9"/>
    <n v="1"/>
    <n v="4"/>
    <n v="5"/>
    <n v="101.3"/>
    <n v="19.5"/>
  </r>
  <r>
    <x v="275"/>
    <x v="12"/>
    <s v="Deccan Chargers"/>
    <n v="8"/>
    <n v="11"/>
    <n v="0"/>
    <n v="0"/>
    <n v="2"/>
    <n v="4"/>
    <n v="72.73"/>
    <n v="4"/>
  </r>
  <r>
    <x v="276"/>
    <x v="8"/>
    <s v="Chennai Super Kings"/>
    <n v="16"/>
    <n v="11"/>
    <n v="1"/>
    <n v="1"/>
    <n v="2"/>
    <n v="2"/>
    <n v="145.44999999999999"/>
    <n v="8"/>
  </r>
  <r>
    <x v="276"/>
    <x v="9"/>
    <s v="Chennai Super Kings"/>
    <n v="20"/>
    <n v="18"/>
    <n v="0"/>
    <n v="1"/>
    <n v="1"/>
    <n v="2"/>
    <n v="111.11"/>
    <n v="20"/>
  </r>
  <r>
    <x v="276"/>
    <x v="13"/>
    <s v="Chennai Super Kings"/>
    <n v="0"/>
    <n v="1"/>
    <n v="0"/>
    <n v="0"/>
    <n v="1"/>
    <n v="1"/>
    <n v="0"/>
    <n v="0"/>
  </r>
  <r>
    <x v="277"/>
    <x v="8"/>
    <s v="Kings XI Punjab"/>
    <n v="76"/>
    <n v="78"/>
    <n v="7"/>
    <n v="4"/>
    <n v="5"/>
    <n v="6"/>
    <n v="97.44"/>
    <n v="15.2"/>
  </r>
  <r>
    <x v="277"/>
    <x v="9"/>
    <s v="Kings XI Punjab"/>
    <n v="124"/>
    <n v="133"/>
    <n v="9"/>
    <n v="4"/>
    <n v="8"/>
    <n v="8"/>
    <n v="93.23"/>
    <n v="15.5"/>
  </r>
  <r>
    <x v="277"/>
    <x v="12"/>
    <s v="Kings XI Punjab"/>
    <n v="18"/>
    <n v="20"/>
    <n v="1"/>
    <n v="1"/>
    <n v="1"/>
    <n v="2"/>
    <n v="90"/>
    <n v="18"/>
  </r>
  <r>
    <x v="278"/>
    <x v="11"/>
    <s v="Rajasthan Royals"/>
    <n v="126"/>
    <n v="64"/>
    <n v="9"/>
    <n v="9"/>
    <n v="9"/>
    <n v="13"/>
    <n v="196.88"/>
    <n v="14"/>
  </r>
  <r>
    <x v="278"/>
    <x v="15"/>
    <s v="Rajasthan Royals"/>
    <n v="18"/>
    <n v="19"/>
    <n v="1"/>
    <n v="1"/>
    <n v="3"/>
    <n v="4"/>
    <n v="94.74"/>
    <n v="6"/>
  </r>
  <r>
    <x v="278"/>
    <x v="16"/>
    <s v="Kings XI Punjab"/>
    <n v="42"/>
    <n v="27"/>
    <n v="3"/>
    <n v="2"/>
    <n v="1"/>
    <n v="2"/>
    <n v="155.56"/>
    <n v="42"/>
  </r>
  <r>
    <x v="278"/>
    <x v="4"/>
    <s v="Lucknow Super Giants"/>
    <n v="0"/>
    <n v="1"/>
    <n v="0"/>
    <n v="0"/>
    <n v="1"/>
    <n v="1"/>
    <n v="0"/>
    <n v="0"/>
  </r>
  <r>
    <x v="278"/>
    <x v="5"/>
    <s v="Lucknow Super Giants"/>
    <n v="61"/>
    <n v="36"/>
    <n v="2"/>
    <n v="5"/>
    <n v="4"/>
    <n v="7"/>
    <n v="169.44"/>
    <n v="15.25"/>
  </r>
  <r>
    <x v="279"/>
    <x v="4"/>
    <s v="Mumbai Indians"/>
    <n v="3"/>
    <n v="5"/>
    <n v="0"/>
    <n v="0"/>
    <n v="1"/>
    <n v="1"/>
    <n v="60"/>
    <n v="3"/>
  </r>
  <r>
    <x v="279"/>
    <x v="5"/>
    <s v="Mumbai Indians"/>
    <n v="6"/>
    <n v="7"/>
    <n v="1"/>
    <n v="0"/>
    <n v="1"/>
    <n v="1"/>
    <n v="85.71"/>
    <n v="6"/>
  </r>
  <r>
    <x v="279"/>
    <x v="7"/>
    <s v="Rajasthan Royals"/>
    <n v="3"/>
    <n v="5"/>
    <n v="0"/>
    <n v="0"/>
    <n v="1"/>
    <n v="2"/>
    <n v="60"/>
    <n v="3"/>
  </r>
  <r>
    <x v="280"/>
    <x v="10"/>
    <s v="Delhi Daredevils"/>
    <n v="55"/>
    <n v="64"/>
    <n v="5"/>
    <n v="1"/>
    <n v="3"/>
    <n v="3"/>
    <n v="85.94"/>
    <n v="18.329999999999998"/>
  </r>
  <r>
    <x v="280"/>
    <x v="15"/>
    <s v="Delhi Capitals"/>
    <n v="14"/>
    <n v="15"/>
    <n v="0"/>
    <n v="1"/>
    <n v="3"/>
    <n v="4"/>
    <n v="93.33"/>
    <n v="4.67"/>
  </r>
  <r>
    <x v="280"/>
    <x v="16"/>
    <s v="Delhi Capitals"/>
    <n v="56"/>
    <n v="49"/>
    <n v="4"/>
    <n v="2"/>
    <n v="3"/>
    <n v="6"/>
    <n v="114.29"/>
    <n v="18.670000000000002"/>
  </r>
  <r>
    <x v="280"/>
    <x v="17"/>
    <s v="Delhi Capitals"/>
    <n v="13"/>
    <n v="6"/>
    <n v="2"/>
    <n v="0"/>
    <n v="1"/>
    <n v="3"/>
    <n v="216.67"/>
    <n v="13"/>
  </r>
  <r>
    <x v="280"/>
    <x v="4"/>
    <s v="Punjab Kings"/>
    <n v="48"/>
    <n v="42"/>
    <n v="5"/>
    <n v="2"/>
    <n v="4"/>
    <n v="7"/>
    <n v="114.29"/>
    <n v="12"/>
  </r>
  <r>
    <x v="280"/>
    <x v="5"/>
    <s v="Punjab Kings"/>
    <n v="0"/>
    <n v="2"/>
    <n v="0"/>
    <n v="0"/>
    <n v="1"/>
    <n v="2"/>
    <n v="0"/>
    <n v="0"/>
  </r>
  <r>
    <x v="280"/>
    <x v="6"/>
    <s v="Punjab Kings"/>
    <n v="20"/>
    <n v="14"/>
    <n v="0"/>
    <n v="2"/>
    <n v="1"/>
    <n v="3"/>
    <n v="142.86000000000001"/>
    <n v="20"/>
  </r>
  <r>
    <x v="280"/>
    <x v="7"/>
    <s v="Gujarat Titans"/>
    <n v="9"/>
    <n v="8"/>
    <n v="0"/>
    <n v="1"/>
    <n v="2"/>
    <n v="2"/>
    <n v="112.5"/>
    <n v="4.5"/>
  </r>
  <r>
    <x v="281"/>
    <x v="0"/>
    <s v="Pune Warriors"/>
    <n v="11"/>
    <n v="8"/>
    <n v="0"/>
    <n v="1"/>
    <n v="0"/>
    <n v="1"/>
    <n v="137.5"/>
    <m/>
  </r>
  <r>
    <x v="281"/>
    <x v="1"/>
    <s v="Pune Warriors"/>
    <n v="1"/>
    <n v="1"/>
    <n v="0"/>
    <n v="0"/>
    <n v="0"/>
    <n v="1"/>
    <n v="100"/>
    <m/>
  </r>
  <r>
    <x v="282"/>
    <x v="17"/>
    <s v="Rajasthan Royals"/>
    <n v="0"/>
    <n v="4"/>
    <n v="0"/>
    <n v="0"/>
    <n v="0"/>
    <n v="1"/>
    <n v="0"/>
    <m/>
  </r>
  <r>
    <x v="283"/>
    <x v="17"/>
    <s v="Royal Challengers Bangalore"/>
    <n v="65"/>
    <n v="55"/>
    <n v="5"/>
    <n v="3"/>
    <n v="3"/>
    <n v="7"/>
    <n v="118.18"/>
    <n v="21.67"/>
  </r>
  <r>
    <x v="283"/>
    <x v="7"/>
    <s v="Punjab Kings"/>
    <n v="0"/>
    <n v="5"/>
    <n v="0"/>
    <n v="0"/>
    <n v="0"/>
    <n v="2"/>
    <n v="0"/>
    <m/>
  </r>
  <r>
    <x v="284"/>
    <x v="6"/>
    <s v="Rajasthan Royals"/>
    <n v="1"/>
    <n v="2"/>
    <n v="0"/>
    <n v="0"/>
    <n v="1"/>
    <n v="1"/>
    <n v="50"/>
    <n v="1"/>
  </r>
  <r>
    <x v="285"/>
    <x v="12"/>
    <s v="Mumbai Indians"/>
    <n v="273"/>
    <n v="146"/>
    <n v="23"/>
    <n v="17"/>
    <n v="14"/>
    <n v="14"/>
    <n v="186.99"/>
    <n v="19.5"/>
  </r>
  <r>
    <x v="285"/>
    <x v="13"/>
    <s v="Mumbai Indians"/>
    <n v="146"/>
    <n v="132"/>
    <n v="12"/>
    <n v="6"/>
    <n v="10"/>
    <n v="12"/>
    <n v="110.61"/>
    <n v="14.6"/>
  </r>
  <r>
    <x v="285"/>
    <x v="0"/>
    <s v="Mumbai Indians"/>
    <n v="220"/>
    <n v="158"/>
    <n v="15"/>
    <n v="14"/>
    <n v="9"/>
    <n v="11"/>
    <n v="139.24"/>
    <n v="24.44"/>
  </r>
  <r>
    <x v="285"/>
    <x v="1"/>
    <s v="Mumbai Indians"/>
    <n v="420"/>
    <n v="278"/>
    <n v="27"/>
    <n v="29"/>
    <n v="11"/>
    <n v="18"/>
    <n v="151.08000000000001"/>
    <n v="38.18"/>
  </r>
  <r>
    <x v="285"/>
    <x v="14"/>
    <s v="Mumbai Indians"/>
    <n v="273"/>
    <n v="202"/>
    <n v="15"/>
    <n v="15"/>
    <n v="9"/>
    <n v="15"/>
    <n v="135.15"/>
    <n v="30.33"/>
  </r>
  <r>
    <x v="285"/>
    <x v="2"/>
    <s v="Mumbai Indians"/>
    <n v="419"/>
    <n v="255"/>
    <n v="28"/>
    <n v="28"/>
    <n v="10"/>
    <n v="14"/>
    <n v="164.31"/>
    <n v="41.9"/>
  </r>
  <r>
    <x v="285"/>
    <x v="3"/>
    <s v="Mumbai Indians"/>
    <n v="207"/>
    <n v="144"/>
    <n v="11"/>
    <n v="16"/>
    <n v="8"/>
    <n v="12"/>
    <n v="143.75"/>
    <n v="25.88"/>
  </r>
  <r>
    <x v="285"/>
    <x v="10"/>
    <s v="Mumbai Indians"/>
    <n v="395"/>
    <n v="279"/>
    <n v="27"/>
    <n v="23"/>
    <n v="14"/>
    <n v="16"/>
    <n v="141.58000000000001"/>
    <n v="28.21"/>
  </r>
  <r>
    <x v="285"/>
    <x v="11"/>
    <s v="Mumbai Indians"/>
    <n v="133"/>
    <n v="99"/>
    <n v="10"/>
    <n v="7"/>
    <n v="7"/>
    <n v="8"/>
    <n v="134.34"/>
    <n v="19"/>
  </r>
  <r>
    <x v="285"/>
    <x v="15"/>
    <s v="Mumbai Indians"/>
    <n v="281"/>
    <n v="176"/>
    <n v="14"/>
    <n v="22"/>
    <n v="10"/>
    <n v="12"/>
    <n v="159.66"/>
    <n v="28.1"/>
  </r>
  <r>
    <x v="285"/>
    <x v="16"/>
    <s v="Mumbai Indians"/>
    <n v="281"/>
    <n v="149"/>
    <n v="17"/>
    <n v="22"/>
    <n v="7"/>
    <n v="12"/>
    <n v="188.59"/>
    <n v="40.14"/>
  </r>
  <r>
    <x v="285"/>
    <x v="17"/>
    <s v="Mumbai Indians"/>
    <n v="245"/>
    <n v="164"/>
    <n v="16"/>
    <n v="16"/>
    <n v="8"/>
    <n v="13"/>
    <n v="149.38999999999999"/>
    <n v="30.62"/>
  </r>
  <r>
    <x v="285"/>
    <x v="4"/>
    <s v="Mumbai Indians"/>
    <n v="144"/>
    <n v="133"/>
    <n v="6"/>
    <n v="9"/>
    <n v="12"/>
    <n v="11"/>
    <n v="108.27"/>
    <n v="12"/>
  </r>
  <r>
    <x v="286"/>
    <x v="12"/>
    <s v="Deccan Chargers"/>
    <n v="10"/>
    <n v="9"/>
    <n v="1"/>
    <n v="0"/>
    <n v="1"/>
    <n v="1"/>
    <n v="111.11"/>
    <n v="10"/>
  </r>
  <r>
    <x v="287"/>
    <x v="12"/>
    <s v="Chennai Super Kings"/>
    <n v="3"/>
    <n v="5"/>
    <n v="0"/>
    <n v="0"/>
    <n v="0"/>
    <n v="1"/>
    <n v="60"/>
    <m/>
  </r>
  <r>
    <x v="287"/>
    <x v="13"/>
    <s v="Royal Challengers Bangalore"/>
    <n v="7"/>
    <n v="8"/>
    <n v="1"/>
    <n v="0"/>
    <n v="2"/>
    <n v="2"/>
    <n v="87.5"/>
    <n v="3.5"/>
  </r>
  <r>
    <x v="287"/>
    <x v="1"/>
    <s v="Royal Challengers Bangalore"/>
    <n v="41"/>
    <n v="38"/>
    <n v="3"/>
    <n v="1"/>
    <n v="3"/>
    <n v="5"/>
    <n v="107.89"/>
    <n v="13.67"/>
  </r>
  <r>
    <x v="288"/>
    <x v="3"/>
    <s v="Kings XI Punjab"/>
    <n v="13"/>
    <n v="11"/>
    <n v="0"/>
    <n v="1"/>
    <n v="1"/>
    <n v="2"/>
    <n v="118.18"/>
    <n v="13"/>
  </r>
  <r>
    <x v="288"/>
    <x v="10"/>
    <s v="Kings XI Punjab"/>
    <n v="2"/>
    <n v="7"/>
    <n v="0"/>
    <n v="0"/>
    <n v="2"/>
    <n v="2"/>
    <n v="28.57"/>
    <n v="1"/>
  </r>
  <r>
    <x v="288"/>
    <x v="15"/>
    <s v="Kolkata Knight Riders"/>
    <n v="9"/>
    <n v="3"/>
    <n v="0"/>
    <n v="1"/>
    <n v="0"/>
    <n v="1"/>
    <n v="300"/>
    <m/>
  </r>
  <r>
    <x v="289"/>
    <x v="8"/>
    <s v="Kings XI Punjab"/>
    <n v="320"/>
    <n v="197"/>
    <n v="41"/>
    <n v="8"/>
    <n v="10"/>
    <n v="9"/>
    <n v="162.44"/>
    <n v="32"/>
  </r>
  <r>
    <x v="289"/>
    <x v="9"/>
    <s v="Kings XI Punjab"/>
    <n v="332"/>
    <n v="322"/>
    <n v="29"/>
    <n v="5"/>
    <n v="14"/>
    <n v="13"/>
    <n v="103.11"/>
    <n v="23.71"/>
  </r>
  <r>
    <x v="289"/>
    <x v="12"/>
    <s v="Kings XI Punjab"/>
    <n v="357"/>
    <n v="256"/>
    <n v="47"/>
    <n v="5"/>
    <n v="12"/>
    <n v="12"/>
    <n v="139.44999999999999"/>
    <n v="29.75"/>
  </r>
  <r>
    <x v="289"/>
    <x v="13"/>
    <s v="Deccan Chargers"/>
    <n v="358"/>
    <n v="291"/>
    <n v="44"/>
    <n v="5"/>
    <n v="13"/>
    <n v="13"/>
    <n v="123.02"/>
    <n v="27.54"/>
  </r>
  <r>
    <x v="289"/>
    <x v="0"/>
    <s v="Deccan Chargers"/>
    <n v="200"/>
    <n v="183"/>
    <n v="21"/>
    <n v="4"/>
    <n v="11"/>
    <n v="12"/>
    <n v="109.29"/>
    <n v="18.18"/>
  </r>
  <r>
    <x v="289"/>
    <x v="1"/>
    <s v="Sunrisers Hyderabad"/>
    <n v="120"/>
    <n v="136"/>
    <n v="13"/>
    <n v="0"/>
    <n v="9"/>
    <n v="9"/>
    <n v="88.24"/>
    <n v="13.33"/>
  </r>
  <r>
    <x v="290"/>
    <x v="8"/>
    <s v="Delhi Daredevils"/>
    <n v="145"/>
    <n v="107"/>
    <n v="13"/>
    <n v="4"/>
    <n v="7"/>
    <n v="8"/>
    <n v="135.51"/>
    <n v="20.71"/>
  </r>
  <r>
    <x v="290"/>
    <x v="9"/>
    <s v="Delhi Daredevils"/>
    <n v="288"/>
    <n v="217"/>
    <n v="20"/>
    <n v="9"/>
    <n v="8"/>
    <n v="13"/>
    <n v="132.72"/>
    <n v="36"/>
  </r>
  <r>
    <x v="290"/>
    <x v="12"/>
    <s v="Delhi Daredevils"/>
    <n v="278"/>
    <n v="236"/>
    <n v="26"/>
    <n v="6"/>
    <n v="12"/>
    <n v="14"/>
    <n v="117.8"/>
    <n v="23.17"/>
  </r>
  <r>
    <x v="290"/>
    <x v="13"/>
    <s v="Kings XI Punjab"/>
    <n v="282"/>
    <n v="220"/>
    <n v="32"/>
    <n v="7"/>
    <n v="12"/>
    <n v="13"/>
    <n v="128.18"/>
    <n v="23.5"/>
  </r>
  <r>
    <x v="290"/>
    <x v="0"/>
    <s v="Mumbai Indians"/>
    <n v="238"/>
    <n v="212"/>
    <n v="30"/>
    <n v="2"/>
    <n v="15"/>
    <n v="14"/>
    <n v="112.26"/>
    <n v="15.87"/>
  </r>
  <r>
    <x v="290"/>
    <x v="1"/>
    <s v="Mumbai Indians"/>
    <n v="510"/>
    <n v="409"/>
    <n v="54"/>
    <n v="14"/>
    <n v="20"/>
    <n v="19"/>
    <n v="124.69"/>
    <n v="25.5"/>
  </r>
  <r>
    <x v="290"/>
    <x v="14"/>
    <s v="Delhi Daredevils"/>
    <n v="325"/>
    <n v="258"/>
    <n v="28"/>
    <n v="11"/>
    <n v="14"/>
    <n v="14"/>
    <n v="125.97"/>
    <n v="23.21"/>
  </r>
  <r>
    <x v="290"/>
    <x v="2"/>
    <s v="Royal Challengers Bangalore"/>
    <n v="141"/>
    <n v="117"/>
    <n v="15"/>
    <n v="4"/>
    <n v="10"/>
    <n v="11"/>
    <n v="120.51"/>
    <n v="14.1"/>
  </r>
  <r>
    <x v="290"/>
    <x v="3"/>
    <s v="Gujarat Lions"/>
    <n v="335"/>
    <n v="266"/>
    <n v="38"/>
    <n v="3"/>
    <n v="14"/>
    <n v="15"/>
    <n v="125.94"/>
    <n v="23.93"/>
  </r>
  <r>
    <x v="290"/>
    <x v="10"/>
    <s v="Gujarat Lions"/>
    <n v="361"/>
    <n v="258"/>
    <n v="30"/>
    <n v="11"/>
    <n v="10"/>
    <n v="13"/>
    <n v="139.91999999999999"/>
    <n v="36.1"/>
  </r>
  <r>
    <x v="290"/>
    <x v="11"/>
    <s v="Kolkata Knight Riders"/>
    <n v="498"/>
    <n v="336"/>
    <n v="49"/>
    <n v="16"/>
    <n v="9"/>
    <n v="16"/>
    <n v="148.21"/>
    <n v="55.33"/>
  </r>
  <r>
    <x v="290"/>
    <x v="15"/>
    <s v="Kolkata Knight Riders"/>
    <n v="254"/>
    <n v="173"/>
    <n v="22"/>
    <n v="14"/>
    <n v="9"/>
    <n v="12"/>
    <n v="146.82"/>
    <n v="28.22"/>
  </r>
  <r>
    <x v="290"/>
    <x v="16"/>
    <s v="Kolkata Knight Riders"/>
    <n v="169"/>
    <n v="136"/>
    <n v="20"/>
    <n v="4"/>
    <n v="12"/>
    <n v="14"/>
    <n v="124.26"/>
    <n v="14.08"/>
  </r>
  <r>
    <x v="290"/>
    <x v="17"/>
    <s v="Kolkata Knight Riders"/>
    <n v="223"/>
    <n v="170"/>
    <n v="22"/>
    <n v="7"/>
    <n v="10"/>
    <n v="15"/>
    <n v="131.18"/>
    <n v="22.3"/>
  </r>
  <r>
    <x v="290"/>
    <x v="4"/>
    <s v="Royal Challengers Bangalore"/>
    <n v="330"/>
    <n v="178"/>
    <n v="27"/>
    <n v="22"/>
    <n v="6"/>
    <n v="16"/>
    <n v="185.39"/>
    <n v="55"/>
  </r>
  <r>
    <x v="290"/>
    <x v="5"/>
    <s v="Royal Challengers Bangalore"/>
    <n v="140"/>
    <n v="104"/>
    <n v="13"/>
    <n v="5"/>
    <n v="12"/>
    <n v="13"/>
    <n v="134.62"/>
    <n v="11.67"/>
  </r>
  <r>
    <x v="290"/>
    <x v="6"/>
    <s v="Royal Challengers Bengaluru"/>
    <n v="326"/>
    <n v="173"/>
    <n v="27"/>
    <n v="22"/>
    <n v="9"/>
    <n v="13"/>
    <n v="188.44"/>
    <n v="36.22"/>
  </r>
  <r>
    <x v="291"/>
    <x v="3"/>
    <s v="Mumbai Indians"/>
    <n v="237"/>
    <n v="124"/>
    <n v="22"/>
    <n v="13"/>
    <n v="5"/>
    <n v="8"/>
    <n v="191.13"/>
    <n v="47.4"/>
  </r>
  <r>
    <x v="291"/>
    <x v="10"/>
    <s v="Mumbai Indians"/>
    <n v="243"/>
    <n v="179"/>
    <n v="24"/>
    <n v="7"/>
    <n v="7"/>
    <n v="11"/>
    <n v="135.75"/>
    <n v="34.71"/>
  </r>
  <r>
    <x v="291"/>
    <x v="11"/>
    <s v="Mumbai Indians"/>
    <n v="228"/>
    <n v="157"/>
    <n v="22"/>
    <n v="10"/>
    <n v="9"/>
    <n v="13"/>
    <n v="145.22"/>
    <n v="25.33"/>
  </r>
  <r>
    <x v="291"/>
    <x v="15"/>
    <s v="Mumbai Indians"/>
    <n v="183"/>
    <n v="150"/>
    <n v="18"/>
    <n v="5"/>
    <n v="11"/>
    <n v="14"/>
    <n v="122"/>
    <n v="16.64"/>
  </r>
  <r>
    <x v="291"/>
    <x v="16"/>
    <s v="Mumbai Indians"/>
    <n v="109"/>
    <n v="92"/>
    <n v="9"/>
    <n v="5"/>
    <n v="6"/>
    <n v="11"/>
    <n v="118.48"/>
    <n v="18.170000000000002"/>
  </r>
  <r>
    <x v="291"/>
    <x v="17"/>
    <s v="Mumbai Indians"/>
    <n v="143"/>
    <n v="122"/>
    <n v="10"/>
    <n v="6"/>
    <n v="10"/>
    <n v="12"/>
    <n v="117.21"/>
    <n v="14.3"/>
  </r>
  <r>
    <x v="291"/>
    <x v="4"/>
    <s v="Lucknow Super Giants"/>
    <n v="183"/>
    <n v="145"/>
    <n v="16"/>
    <n v="4"/>
    <n v="10"/>
    <n v="13"/>
    <n v="126.21"/>
    <n v="18.3"/>
  </r>
  <r>
    <x v="291"/>
    <x v="5"/>
    <s v="Lucknow Super Giants"/>
    <n v="188"/>
    <n v="164"/>
    <n v="15"/>
    <n v="6"/>
    <n v="11"/>
    <n v="14"/>
    <n v="114.63"/>
    <n v="17.09"/>
  </r>
  <r>
    <x v="291"/>
    <x v="6"/>
    <s v="Lucknow Super Giants"/>
    <n v="133"/>
    <n v="105"/>
    <n v="8"/>
    <n v="5"/>
    <n v="5"/>
    <n v="11"/>
    <n v="126.67"/>
    <n v="26.6"/>
  </r>
  <r>
    <x v="291"/>
    <x v="7"/>
    <s v="Royal Challengers Bengaluru"/>
    <n v="109"/>
    <n v="85"/>
    <n v="9"/>
    <n v="4"/>
    <n v="6"/>
    <n v="7"/>
    <n v="128.24"/>
    <n v="18.170000000000002"/>
  </r>
  <r>
    <x v="292"/>
    <x v="3"/>
    <s v="Kings XI Punjab"/>
    <n v="13"/>
    <n v="8"/>
    <n v="0"/>
    <n v="1"/>
    <n v="1"/>
    <n v="3"/>
    <n v="162.5"/>
    <n v="13"/>
  </r>
  <r>
    <x v="293"/>
    <x v="15"/>
    <s v="Sunrisers Hyderabad"/>
    <n v="0"/>
    <n v="1"/>
    <n v="0"/>
    <n v="0"/>
    <n v="1"/>
    <n v="1"/>
    <n v="0"/>
    <n v="0"/>
  </r>
  <r>
    <x v="293"/>
    <x v="16"/>
    <s v="Sunrisers Hyderabad"/>
    <n v="0"/>
    <n v="2"/>
    <n v="0"/>
    <n v="0"/>
    <n v="1"/>
    <n v="1"/>
    <n v="0"/>
    <n v="0"/>
  </r>
  <r>
    <x v="293"/>
    <x v="17"/>
    <s v="Sunrisers Hyderabad"/>
    <n v="1"/>
    <n v="2"/>
    <n v="0"/>
    <n v="0"/>
    <n v="1"/>
    <n v="1"/>
    <n v="50"/>
    <n v="1"/>
  </r>
  <r>
    <x v="293"/>
    <x v="4"/>
    <s v="Delhi Capitals"/>
    <n v="0"/>
    <n v="2"/>
    <n v="0"/>
    <n v="0"/>
    <n v="2"/>
    <n v="2"/>
    <n v="0"/>
    <n v="0"/>
  </r>
  <r>
    <x v="293"/>
    <x v="7"/>
    <s v="Chennai Super Kings"/>
    <n v="1"/>
    <n v="2"/>
    <n v="0"/>
    <n v="0"/>
    <n v="0"/>
    <n v="1"/>
    <n v="50"/>
    <m/>
  </r>
  <r>
    <x v="294"/>
    <x v="0"/>
    <s v="Rajasthan Royals"/>
    <n v="38"/>
    <n v="19"/>
    <n v="3"/>
    <n v="3"/>
    <n v="2"/>
    <n v="4"/>
    <n v="200"/>
    <n v="19"/>
  </r>
  <r>
    <x v="294"/>
    <x v="1"/>
    <s v="Rajasthan Royals"/>
    <n v="39"/>
    <n v="22"/>
    <n v="4"/>
    <n v="2"/>
    <n v="4"/>
    <n v="5"/>
    <n v="177.27"/>
    <n v="9.75"/>
  </r>
  <r>
    <x v="294"/>
    <x v="14"/>
    <s v="Rajasthan Royals"/>
    <n v="39"/>
    <n v="26"/>
    <n v="2"/>
    <n v="3"/>
    <n v="3"/>
    <n v="3"/>
    <n v="150"/>
    <n v="13"/>
  </r>
  <r>
    <x v="295"/>
    <x v="1"/>
    <s v="Royal Challengers Bangalore"/>
    <n v="9"/>
    <n v="12"/>
    <n v="0"/>
    <n v="0"/>
    <n v="2"/>
    <n v="2"/>
    <n v="75"/>
    <n v="4.5"/>
  </r>
  <r>
    <x v="295"/>
    <x v="14"/>
    <s v="Rajasthan Royals"/>
    <n v="330"/>
    <n v="232"/>
    <n v="38"/>
    <n v="9"/>
    <n v="11"/>
    <n v="11"/>
    <n v="142.24"/>
    <n v="30"/>
  </r>
  <r>
    <x v="295"/>
    <x v="2"/>
    <s v="Rajasthan Royals"/>
    <n v="181"/>
    <n v="145"/>
    <n v="18"/>
    <n v="5"/>
    <n v="10"/>
    <n v="12"/>
    <n v="124.83"/>
    <n v="18.100000000000001"/>
  </r>
  <r>
    <x v="295"/>
    <x v="3"/>
    <s v="Delhi Daredevils"/>
    <n v="357"/>
    <n v="295"/>
    <n v="40"/>
    <n v="6"/>
    <n v="11"/>
    <n v="12"/>
    <n v="121.02"/>
    <n v="32.450000000000003"/>
  </r>
  <r>
    <x v="295"/>
    <x v="10"/>
    <s v="Delhi Daredevils"/>
    <n v="281"/>
    <n v="226"/>
    <n v="39"/>
    <n v="6"/>
    <n v="13"/>
    <n v="13"/>
    <n v="124.34"/>
    <n v="21.62"/>
  </r>
  <r>
    <x v="295"/>
    <x v="11"/>
    <s v="Kings XI Punjab"/>
    <n v="301"/>
    <n v="221"/>
    <n v="23"/>
    <n v="13"/>
    <n v="13"/>
    <n v="12"/>
    <n v="136.19999999999999"/>
    <n v="23.15"/>
  </r>
  <r>
    <x v="295"/>
    <x v="15"/>
    <s v="Kings XI Punjab"/>
    <n v="5"/>
    <n v="6"/>
    <n v="0"/>
    <n v="0"/>
    <n v="1"/>
    <n v="1"/>
    <n v="83.33"/>
    <n v="5"/>
  </r>
  <r>
    <x v="295"/>
    <x v="16"/>
    <s v="Kings XI Punjab"/>
    <n v="16"/>
    <n v="14"/>
    <n v="2"/>
    <n v="0"/>
    <n v="2"/>
    <n v="3"/>
    <n v="114.29"/>
    <n v="8"/>
  </r>
  <r>
    <x v="295"/>
    <x v="4"/>
    <s v="Rajasthan Royals"/>
    <n v="16"/>
    <n v="18"/>
    <n v="1"/>
    <n v="0"/>
    <n v="2"/>
    <n v="2"/>
    <n v="88.89"/>
    <n v="8"/>
  </r>
  <r>
    <x v="295"/>
    <x v="7"/>
    <s v="Delhi Capitals"/>
    <n v="198"/>
    <n v="114"/>
    <n v="24"/>
    <n v="10"/>
    <n v="7"/>
    <n v="8"/>
    <n v="173.68"/>
    <n v="28.29"/>
  </r>
  <r>
    <x v="296"/>
    <x v="16"/>
    <s v="Kolkata Knight Riders"/>
    <n v="22"/>
    <n v="31"/>
    <n v="1"/>
    <n v="0"/>
    <n v="3"/>
    <n v="6"/>
    <n v="70.97"/>
    <n v="7.33"/>
  </r>
  <r>
    <x v="296"/>
    <x v="17"/>
    <s v="Kolkata Knight Riders"/>
    <n v="0"/>
    <n v="2"/>
    <n v="0"/>
    <n v="0"/>
    <n v="1"/>
    <n v="1"/>
    <n v="0"/>
    <n v="0"/>
  </r>
  <r>
    <x v="297"/>
    <x v="1"/>
    <s v="Royal Challengers Bangalore"/>
    <n v="20"/>
    <n v="16"/>
    <n v="4"/>
    <n v="0"/>
    <n v="2"/>
    <n v="2"/>
    <n v="125"/>
    <n v="10"/>
  </r>
  <r>
    <x v="297"/>
    <x v="14"/>
    <s v="Sunrisers Hyderabad"/>
    <n v="166"/>
    <n v="164"/>
    <n v="12"/>
    <n v="3"/>
    <n v="8"/>
    <n v="8"/>
    <n v="101.22"/>
    <n v="20.75"/>
  </r>
  <r>
    <x v="297"/>
    <x v="2"/>
    <s v="Sunrisers Hyderabad"/>
    <n v="142"/>
    <n v="124"/>
    <n v="8"/>
    <n v="5"/>
    <n v="7"/>
    <n v="8"/>
    <n v="114.52"/>
    <n v="20.29"/>
  </r>
  <r>
    <x v="297"/>
    <x v="3"/>
    <s v="Royal Challengers Bangalore"/>
    <n v="397"/>
    <n v="271"/>
    <n v="37"/>
    <n v="16"/>
    <n v="9"/>
    <n v="12"/>
    <n v="146.49"/>
    <n v="44.11"/>
  </r>
  <r>
    <x v="297"/>
    <x v="11"/>
    <s v="Kings XI Punjab"/>
    <n v="659"/>
    <n v="415"/>
    <n v="66"/>
    <n v="32"/>
    <n v="12"/>
    <n v="14"/>
    <n v="158.80000000000001"/>
    <n v="54.92"/>
  </r>
  <r>
    <x v="297"/>
    <x v="15"/>
    <s v="Kings XI Punjab"/>
    <n v="593"/>
    <n v="437"/>
    <n v="49"/>
    <n v="25"/>
    <n v="11"/>
    <n v="14"/>
    <n v="135.69999999999999"/>
    <n v="53.91"/>
  </r>
  <r>
    <x v="297"/>
    <x v="16"/>
    <s v="Kings XI Punjab"/>
    <n v="676"/>
    <n v="521"/>
    <n v="58"/>
    <n v="23"/>
    <n v="15"/>
    <n v="14"/>
    <n v="129.75"/>
    <n v="45.07"/>
  </r>
  <r>
    <x v="297"/>
    <x v="17"/>
    <s v="Punjab Kings"/>
    <n v="626"/>
    <n v="450"/>
    <n v="48"/>
    <n v="30"/>
    <n v="9"/>
    <n v="13"/>
    <n v="139.11000000000001"/>
    <n v="69.56"/>
  </r>
  <r>
    <x v="297"/>
    <x v="4"/>
    <s v="Lucknow Super Giants"/>
    <n v="616"/>
    <n v="454"/>
    <n v="45"/>
    <n v="30"/>
    <n v="11"/>
    <n v="14"/>
    <n v="135.68"/>
    <n v="56"/>
  </r>
  <r>
    <x v="297"/>
    <x v="5"/>
    <s v="Lucknow Super Giants"/>
    <n v="274"/>
    <n v="241"/>
    <n v="28"/>
    <n v="4"/>
    <n v="8"/>
    <n v="9"/>
    <n v="113.69"/>
    <n v="34.25"/>
  </r>
  <r>
    <x v="297"/>
    <x v="6"/>
    <s v="Lucknow Super Giants"/>
    <n v="520"/>
    <n v="380"/>
    <n v="45"/>
    <n v="19"/>
    <n v="14"/>
    <n v="14"/>
    <n v="136.84"/>
    <n v="37.14"/>
  </r>
  <r>
    <x v="297"/>
    <x v="7"/>
    <s v="Delhi Capitals"/>
    <n v="546"/>
    <n v="363"/>
    <n v="53"/>
    <n v="21"/>
    <n v="9"/>
    <n v="13"/>
    <n v="150.41"/>
    <n v="60.67"/>
  </r>
  <r>
    <x v="298"/>
    <x v="5"/>
    <s v="Rajasthan Royals"/>
    <n v="0"/>
    <n v="2"/>
    <n v="0"/>
    <n v="0"/>
    <n v="1"/>
    <n v="1"/>
    <n v="0"/>
    <n v="0"/>
  </r>
  <r>
    <x v="299"/>
    <x v="12"/>
    <s v="Delhi Daredevils"/>
    <n v="76"/>
    <n v="56"/>
    <n v="7"/>
    <n v="2"/>
    <n v="4"/>
    <n v="5"/>
    <n v="135.71"/>
    <n v="19"/>
  </r>
  <r>
    <x v="299"/>
    <x v="13"/>
    <s v="Kochi Tuskers Kerala"/>
    <n v="18"/>
    <n v="23"/>
    <n v="1"/>
    <n v="0"/>
    <n v="3"/>
    <n v="4"/>
    <n v="78.260000000000005"/>
    <n v="6"/>
  </r>
  <r>
    <x v="299"/>
    <x v="1"/>
    <s v="Delhi Daredevils"/>
    <n v="152"/>
    <n v="123"/>
    <n v="8"/>
    <n v="5"/>
    <n v="8"/>
    <n v="10"/>
    <n v="123.58"/>
    <n v="19"/>
  </r>
  <r>
    <x v="299"/>
    <x v="14"/>
    <s v="Delhi Daredevils"/>
    <n v="149"/>
    <n v="99"/>
    <n v="13"/>
    <n v="7"/>
    <n v="3"/>
    <n v="10"/>
    <n v="150.51"/>
    <n v="49.67"/>
  </r>
  <r>
    <x v="299"/>
    <x v="2"/>
    <s v="Delhi Daredevils"/>
    <n v="189"/>
    <n v="140"/>
    <n v="16"/>
    <n v="7"/>
    <n v="8"/>
    <n v="12"/>
    <n v="135"/>
    <n v="23.62"/>
  </r>
  <r>
    <x v="299"/>
    <x v="3"/>
    <s v="Royal Challengers Bangalore"/>
    <n v="42"/>
    <n v="31"/>
    <n v="2"/>
    <n v="2"/>
    <n v="0"/>
    <n v="3"/>
    <n v="135.47999999999999"/>
    <m/>
  </r>
  <r>
    <x v="299"/>
    <x v="10"/>
    <s v="Royal Challengers Bangalore"/>
    <n v="267"/>
    <n v="183"/>
    <n v="25"/>
    <n v="10"/>
    <n v="11"/>
    <n v="13"/>
    <n v="145.9"/>
    <n v="24.27"/>
  </r>
  <r>
    <x v="299"/>
    <x v="11"/>
    <s v="Chennai Super Kings"/>
    <n v="24"/>
    <n v="21"/>
    <n v="1"/>
    <n v="2"/>
    <n v="0"/>
    <n v="1"/>
    <n v="114.29"/>
    <m/>
  </r>
  <r>
    <x v="299"/>
    <x v="15"/>
    <s v="Chennai Super Kings"/>
    <n v="162"/>
    <n v="166"/>
    <n v="19"/>
    <n v="3"/>
    <n v="9"/>
    <n v="12"/>
    <n v="97.59"/>
    <n v="18"/>
  </r>
  <r>
    <x v="299"/>
    <x v="16"/>
    <s v="Chennai Super Kings"/>
    <n v="62"/>
    <n v="65"/>
    <n v="7"/>
    <n v="0"/>
    <n v="4"/>
    <n v="5"/>
    <n v="95.38"/>
    <n v="15.5"/>
  </r>
  <r>
    <x v="299"/>
    <x v="17"/>
    <s v="Sunrisers Hyderabad"/>
    <n v="55"/>
    <n v="52"/>
    <n v="2"/>
    <n v="2"/>
    <n v="4"/>
    <n v="5"/>
    <n v="105.77"/>
    <n v="13.75"/>
  </r>
  <r>
    <x v="299"/>
    <x v="5"/>
    <s v="Royal Challengers Bangalore"/>
    <n v="12"/>
    <n v="10"/>
    <n v="1"/>
    <n v="0"/>
    <n v="0"/>
    <n v="1"/>
    <n v="120"/>
    <m/>
  </r>
  <r>
    <x v="300"/>
    <x v="15"/>
    <s v="Delhi Capitals"/>
    <n v="18"/>
    <n v="24"/>
    <n v="1"/>
    <n v="1"/>
    <n v="4"/>
    <n v="5"/>
    <n v="75"/>
    <n v="4.5"/>
  </r>
  <r>
    <x v="301"/>
    <x v="0"/>
    <s v="Chennai Super Kings"/>
    <n v="5"/>
    <n v="3"/>
    <n v="1"/>
    <n v="0"/>
    <n v="0"/>
    <n v="1"/>
    <n v="166.67"/>
    <m/>
  </r>
  <r>
    <x v="302"/>
    <x v="9"/>
    <s v="Royal Challengers Bangalore"/>
    <n v="0"/>
    <n v="1"/>
    <n v="0"/>
    <n v="0"/>
    <n v="0"/>
    <n v="1"/>
    <n v="0"/>
    <m/>
  </r>
  <r>
    <x v="302"/>
    <x v="12"/>
    <s v="Royal Challengers Bangalore"/>
    <n v="2"/>
    <n v="3"/>
    <n v="0"/>
    <n v="0"/>
    <n v="1"/>
    <n v="2"/>
    <n v="66.67"/>
    <n v="2"/>
  </r>
  <r>
    <x v="303"/>
    <x v="9"/>
    <s v="Royal Challengers Bangalore"/>
    <n v="93"/>
    <n v="84"/>
    <n v="8"/>
    <n v="2"/>
    <n v="6"/>
    <n v="6"/>
    <n v="110.71"/>
    <n v="15.5"/>
  </r>
  <r>
    <x v="303"/>
    <x v="12"/>
    <s v="Royal Challengers Bangalore"/>
    <n v="236"/>
    <n v="157"/>
    <n v="23"/>
    <n v="8"/>
    <n v="4"/>
    <n v="7"/>
    <n v="150.32"/>
    <n v="59"/>
  </r>
  <r>
    <x v="303"/>
    <x v="0"/>
    <s v="Delhi Daredevils"/>
    <n v="305"/>
    <n v="207"/>
    <n v="22"/>
    <n v="20"/>
    <n v="6"/>
    <n v="8"/>
    <n v="147.34"/>
    <n v="50.83"/>
  </r>
  <r>
    <x v="303"/>
    <x v="14"/>
    <s v="Delhi Daredevils"/>
    <n v="294"/>
    <n v="233"/>
    <n v="34"/>
    <n v="7"/>
    <n v="10"/>
    <n v="11"/>
    <n v="126.18"/>
    <n v="29.4"/>
  </r>
  <r>
    <x v="303"/>
    <x v="3"/>
    <s v="Rising Pune Supergiants"/>
    <n v="73"/>
    <n v="61"/>
    <n v="4"/>
    <n v="3"/>
    <n v="3"/>
    <n v="4"/>
    <n v="119.67"/>
    <n v="24.33"/>
  </r>
  <r>
    <x v="304"/>
    <x v="5"/>
    <s v="Lucknow Super Giants"/>
    <n v="379"/>
    <n v="258"/>
    <n v="38"/>
    <n v="22"/>
    <n v="13"/>
    <n v="13"/>
    <n v="146.9"/>
    <n v="29.15"/>
  </r>
  <r>
    <x v="305"/>
    <x v="4"/>
    <s v="Rajasthan Royals"/>
    <n v="0"/>
    <n v="3"/>
    <n v="0"/>
    <n v="0"/>
    <n v="0"/>
    <n v="1"/>
    <n v="0"/>
    <m/>
  </r>
  <r>
    <x v="306"/>
    <x v="17"/>
    <s v="Royal Challengers Bangalore"/>
    <n v="191"/>
    <n v="154"/>
    <n v="10"/>
    <n v="8"/>
    <n v="5"/>
    <n v="6"/>
    <n v="124.03"/>
    <n v="38.200000000000003"/>
  </r>
  <r>
    <x v="306"/>
    <x v="4"/>
    <s v="Delhi Capitals"/>
    <n v="8"/>
    <n v="7"/>
    <n v="2"/>
    <n v="0"/>
    <n v="2"/>
    <n v="2"/>
    <n v="114.29"/>
    <n v="4"/>
  </r>
  <r>
    <x v="307"/>
    <x v="7"/>
    <s v="Rajasthan Royals"/>
    <n v="0"/>
    <n v="5"/>
    <n v="0"/>
    <n v="0"/>
    <n v="1"/>
    <n v="1"/>
    <n v="0"/>
    <n v="0"/>
  </r>
  <r>
    <x v="308"/>
    <x v="4"/>
    <s v="Lucknow Super Giants"/>
    <n v="4"/>
    <n v="4"/>
    <n v="1"/>
    <n v="0"/>
    <n v="1"/>
    <n v="1"/>
    <n v="100"/>
    <n v="4"/>
  </r>
  <r>
    <x v="308"/>
    <x v="5"/>
    <s v="Lucknow Super Giants"/>
    <n v="12"/>
    <n v="21"/>
    <n v="0"/>
    <n v="0"/>
    <n v="2"/>
    <n v="2"/>
    <n v="57.14"/>
    <n v="6"/>
  </r>
  <r>
    <x v="309"/>
    <x v="2"/>
    <s v="Sunrisers Hyderabad"/>
    <n v="31"/>
    <n v="27"/>
    <n v="1"/>
    <n v="1"/>
    <n v="1"/>
    <n v="2"/>
    <n v="114.81"/>
    <n v="31"/>
  </r>
  <r>
    <x v="309"/>
    <x v="3"/>
    <s v="Sunrisers Hyderabad"/>
    <n v="124"/>
    <n v="122"/>
    <n v="14"/>
    <n v="0"/>
    <n v="6"/>
    <n v="6"/>
    <n v="101.64"/>
    <n v="20.67"/>
  </r>
  <r>
    <x v="309"/>
    <x v="10"/>
    <s v="Sunrisers Hyderabad"/>
    <n v="256"/>
    <n v="168"/>
    <n v="20"/>
    <n v="10"/>
    <n v="5"/>
    <n v="7"/>
    <n v="152.38"/>
    <n v="51.2"/>
  </r>
  <r>
    <x v="309"/>
    <x v="11"/>
    <s v="Sunrisers Hyderabad"/>
    <n v="735"/>
    <n v="515"/>
    <n v="64"/>
    <n v="28"/>
    <n v="15"/>
    <n v="17"/>
    <n v="142.72"/>
    <n v="49"/>
  </r>
  <r>
    <x v="309"/>
    <x v="15"/>
    <s v="Sunrisers Hyderabad"/>
    <n v="156"/>
    <n v="129"/>
    <n v="12"/>
    <n v="5"/>
    <n v="7"/>
    <n v="9"/>
    <n v="120.93"/>
    <n v="22.29"/>
  </r>
  <r>
    <x v="309"/>
    <x v="16"/>
    <s v="Sunrisers Hyderabad"/>
    <n v="317"/>
    <n v="236"/>
    <n v="26"/>
    <n v="10"/>
    <n v="7"/>
    <n v="11"/>
    <n v="134.32"/>
    <n v="45.29"/>
  </r>
  <r>
    <x v="309"/>
    <x v="17"/>
    <s v="Sunrisers Hyderabad"/>
    <n v="270"/>
    <n v="237"/>
    <n v="30"/>
    <n v="2"/>
    <n v="6"/>
    <n v="10"/>
    <n v="113.92"/>
    <n v="45"/>
  </r>
  <r>
    <x v="309"/>
    <x v="4"/>
    <s v="Sunrisers Hyderabad"/>
    <n v="216"/>
    <n v="231"/>
    <n v="16"/>
    <n v="8"/>
    <n v="10"/>
    <n v="12"/>
    <n v="93.51"/>
    <n v="21.6"/>
  </r>
  <r>
    <x v="309"/>
    <x v="6"/>
    <s v="Gujarat Titans"/>
    <n v="27"/>
    <n v="27"/>
    <n v="4"/>
    <n v="0"/>
    <n v="2"/>
    <n v="2"/>
    <n v="100"/>
    <n v="13.5"/>
  </r>
  <r>
    <x v="310"/>
    <x v="7"/>
    <s v="Rajasthan Royals"/>
    <n v="8"/>
    <n v="2"/>
    <n v="2"/>
    <n v="0"/>
    <n v="0"/>
    <n v="1"/>
    <n v="400"/>
    <m/>
  </r>
  <r>
    <x v="311"/>
    <x v="9"/>
    <s v="Royal Challengers Bangalore"/>
    <n v="1"/>
    <n v="3"/>
    <n v="0"/>
    <n v="0"/>
    <n v="1"/>
    <n v="1"/>
    <n v="33.33"/>
    <n v="1"/>
  </r>
  <r>
    <x v="311"/>
    <x v="1"/>
    <s v="Sunrisers Hyderabad"/>
    <n v="85"/>
    <n v="86"/>
    <n v="6"/>
    <n v="2"/>
    <n v="5"/>
    <n v="7"/>
    <n v="98.84"/>
    <n v="17"/>
  </r>
  <r>
    <x v="311"/>
    <x v="14"/>
    <s v="Sunrisers Hyderabad"/>
    <n v="42"/>
    <n v="29"/>
    <n v="1"/>
    <n v="3"/>
    <n v="3"/>
    <n v="8"/>
    <n v="144.83000000000001"/>
    <n v="14"/>
  </r>
  <r>
    <x v="311"/>
    <x v="2"/>
    <s v="Sunrisers Hyderabad"/>
    <n v="104"/>
    <n v="85"/>
    <n v="3"/>
    <n v="6"/>
    <n v="6"/>
    <n v="9"/>
    <n v="122.35"/>
    <n v="17.329999999999998"/>
  </r>
  <r>
    <x v="311"/>
    <x v="3"/>
    <s v="Sunrisers Hyderabad"/>
    <n v="36"/>
    <n v="30"/>
    <n v="3"/>
    <n v="1"/>
    <n v="0"/>
    <n v="3"/>
    <n v="120"/>
    <m/>
  </r>
  <r>
    <x v="311"/>
    <x v="10"/>
    <s v="Mumbai Indians"/>
    <n v="49"/>
    <n v="41"/>
    <n v="5"/>
    <n v="2"/>
    <n v="6"/>
    <n v="6"/>
    <n v="119.51"/>
    <n v="8.17"/>
  </r>
  <r>
    <x v="311"/>
    <x v="5"/>
    <s v="Royal Challengers Bangalore"/>
    <n v="3"/>
    <n v="5"/>
    <n v="0"/>
    <n v="0"/>
    <n v="2"/>
    <n v="2"/>
    <n v="60"/>
    <n v="1.5"/>
  </r>
  <r>
    <x v="311"/>
    <x v="6"/>
    <s v="Royal Challengers Bengaluru"/>
    <n v="31"/>
    <n v="15"/>
    <n v="2"/>
    <n v="3"/>
    <n v="2"/>
    <n v="3"/>
    <n v="206.67"/>
    <n v="15.5"/>
  </r>
  <r>
    <x v="311"/>
    <x v="7"/>
    <s v="Mumbai Indians"/>
    <n v="1"/>
    <n v="1"/>
    <n v="0"/>
    <n v="0"/>
    <n v="0"/>
    <n v="1"/>
    <n v="100"/>
    <m/>
  </r>
  <r>
    <x v="312"/>
    <x v="1"/>
    <s v="Pune Warriors"/>
    <n v="34"/>
    <n v="36"/>
    <n v="2"/>
    <n v="1"/>
    <n v="2"/>
    <n v="2"/>
    <n v="94.44"/>
    <n v="17"/>
  </r>
  <r>
    <x v="312"/>
    <x v="14"/>
    <s v="Rajasthan Royals"/>
    <n v="1"/>
    <n v="2"/>
    <n v="0"/>
    <n v="0"/>
    <n v="1"/>
    <n v="1"/>
    <n v="50"/>
    <n v="1"/>
  </r>
  <r>
    <x v="312"/>
    <x v="3"/>
    <s v="Royal Challengers Bangalore"/>
    <n v="1"/>
    <n v="1"/>
    <n v="0"/>
    <n v="0"/>
    <n v="0"/>
    <n v="1"/>
    <n v="100"/>
    <m/>
  </r>
  <r>
    <x v="313"/>
    <x v="8"/>
    <s v="Rajasthan Royals"/>
    <n v="128"/>
    <n v="77"/>
    <n v="13"/>
    <n v="8"/>
    <n v="4"/>
    <n v="6"/>
    <n v="166.23"/>
    <n v="32"/>
  </r>
  <r>
    <x v="314"/>
    <x v="9"/>
    <s v="Rajasthan Royals"/>
    <n v="3"/>
    <n v="5"/>
    <n v="0"/>
    <n v="0"/>
    <n v="1"/>
    <n v="1"/>
    <n v="60"/>
    <n v="3"/>
  </r>
  <r>
    <x v="315"/>
    <x v="14"/>
    <s v="Kings XI Punjab"/>
    <n v="1"/>
    <n v="1"/>
    <n v="0"/>
    <n v="0"/>
    <n v="0"/>
    <n v="1"/>
    <n v="100"/>
    <m/>
  </r>
  <r>
    <x v="315"/>
    <x v="2"/>
    <s v="Kings XI Punjab"/>
    <n v="11"/>
    <n v="16"/>
    <n v="1"/>
    <n v="0"/>
    <n v="1"/>
    <n v="3"/>
    <n v="68.75"/>
    <n v="11"/>
  </r>
  <r>
    <x v="316"/>
    <x v="16"/>
    <s v="Rajasthan Royals"/>
    <n v="4"/>
    <n v="6"/>
    <n v="0"/>
    <n v="0"/>
    <n v="1"/>
    <n v="2"/>
    <n v="66.67"/>
    <n v="4"/>
  </r>
  <r>
    <x v="316"/>
    <x v="17"/>
    <s v="Rajasthan Royals"/>
    <n v="2"/>
    <n v="4"/>
    <n v="0"/>
    <n v="0"/>
    <n v="1"/>
    <n v="2"/>
    <n v="50"/>
    <n v="2"/>
  </r>
  <r>
    <x v="316"/>
    <x v="4"/>
    <s v="Sunrisers Hyderabad"/>
    <n v="7"/>
    <n v="6"/>
    <n v="1"/>
    <n v="0"/>
    <n v="2"/>
    <n v="2"/>
    <n v="116.67"/>
    <n v="3.5"/>
  </r>
  <r>
    <x v="317"/>
    <x v="10"/>
    <s v="Kolkata Knight Riders"/>
    <n v="20"/>
    <n v="22"/>
    <n v="2"/>
    <n v="0"/>
    <n v="2"/>
    <n v="2"/>
    <n v="90.91"/>
    <n v="10"/>
  </r>
  <r>
    <x v="317"/>
    <x v="11"/>
    <s v="Kolkata Knight Riders"/>
    <n v="12"/>
    <n v="24"/>
    <n v="1"/>
    <n v="0"/>
    <n v="1"/>
    <n v="3"/>
    <n v="50"/>
    <n v="12"/>
  </r>
  <r>
    <x v="317"/>
    <x v="15"/>
    <s v="Kolkata Knight Riders"/>
    <n v="12"/>
    <n v="8"/>
    <n v="1"/>
    <n v="0"/>
    <n v="1"/>
    <n v="3"/>
    <n v="150"/>
    <n v="12"/>
  </r>
  <r>
    <x v="317"/>
    <x v="16"/>
    <s v="Kolkata Knight Riders"/>
    <n v="13"/>
    <n v="21"/>
    <n v="1"/>
    <n v="0"/>
    <n v="0"/>
    <n v="2"/>
    <n v="61.9"/>
    <m/>
  </r>
  <r>
    <x v="317"/>
    <x v="4"/>
    <s v="Delhi Capitals"/>
    <n v="48"/>
    <n v="52"/>
    <n v="3"/>
    <n v="2"/>
    <n v="1"/>
    <n v="7"/>
    <n v="92.31"/>
    <n v="48"/>
  </r>
  <r>
    <x v="317"/>
    <x v="5"/>
    <s v="Delhi Capitals"/>
    <n v="31"/>
    <n v="48"/>
    <n v="2"/>
    <n v="0"/>
    <n v="3"/>
    <n v="10"/>
    <n v="64.58"/>
    <n v="10.33"/>
  </r>
  <r>
    <x v="317"/>
    <x v="6"/>
    <s v="Delhi Capitals"/>
    <n v="47"/>
    <n v="41"/>
    <n v="6"/>
    <n v="1"/>
    <n v="2"/>
    <n v="5"/>
    <n v="114.63"/>
    <n v="23.5"/>
  </r>
  <r>
    <x v="317"/>
    <x v="7"/>
    <s v="Delhi Capitals"/>
    <n v="18"/>
    <n v="16"/>
    <n v="2"/>
    <n v="0"/>
    <n v="3"/>
    <n v="5"/>
    <n v="112.5"/>
    <n v="6"/>
  </r>
  <r>
    <x v="318"/>
    <x v="6"/>
    <s v="Delhi Capitals"/>
    <n v="3"/>
    <n v="7"/>
    <n v="0"/>
    <n v="0"/>
    <n v="3"/>
    <n v="3"/>
    <n v="42.86"/>
    <n v="1"/>
  </r>
  <r>
    <x v="319"/>
    <x v="13"/>
    <s v="Kings XI Punjab"/>
    <n v="0"/>
    <n v="2"/>
    <n v="0"/>
    <n v="0"/>
    <n v="0"/>
    <n v="1"/>
    <n v="0"/>
    <m/>
  </r>
  <r>
    <x v="320"/>
    <x v="8"/>
    <s v="Chennai Super Kings"/>
    <n v="0"/>
    <n v="4"/>
    <n v="0"/>
    <n v="0"/>
    <n v="1"/>
    <n v="1"/>
    <n v="0"/>
    <n v="0"/>
  </r>
  <r>
    <x v="320"/>
    <x v="9"/>
    <s v="Chennai Super Kings"/>
    <n v="4"/>
    <n v="10"/>
    <n v="0"/>
    <n v="0"/>
    <n v="2"/>
    <n v="3"/>
    <n v="40"/>
    <n v="2"/>
  </r>
  <r>
    <x v="320"/>
    <x v="12"/>
    <s v="Chennai Super Kings"/>
    <n v="18"/>
    <n v="20"/>
    <n v="1"/>
    <n v="1"/>
    <n v="2"/>
    <n v="3"/>
    <n v="90"/>
    <n v="9"/>
  </r>
  <r>
    <x v="320"/>
    <x v="13"/>
    <s v="Kolkata Knight Riders"/>
    <n v="4"/>
    <n v="2"/>
    <n v="0"/>
    <n v="0"/>
    <n v="0"/>
    <n v="2"/>
    <n v="200"/>
    <m/>
  </r>
  <r>
    <x v="320"/>
    <x v="1"/>
    <s v="Kolkata Knight Riders"/>
    <n v="9"/>
    <n v="10"/>
    <n v="1"/>
    <n v="0"/>
    <n v="1"/>
    <n v="2"/>
    <n v="90"/>
    <n v="9"/>
  </r>
  <r>
    <x v="320"/>
    <x v="14"/>
    <s v="Kings XI Punjab"/>
    <n v="1"/>
    <n v="3"/>
    <n v="0"/>
    <n v="0"/>
    <n v="1"/>
    <n v="2"/>
    <n v="33.33"/>
    <n v="1"/>
  </r>
  <r>
    <x v="321"/>
    <x v="7"/>
    <s v="Royal Challengers Bengaluru"/>
    <n v="0"/>
    <n v="2"/>
    <n v="0"/>
    <n v="0"/>
    <n v="0"/>
    <n v="1"/>
    <n v="0"/>
    <m/>
  </r>
  <r>
    <x v="322"/>
    <x v="8"/>
    <s v="Mumbai Indians"/>
    <n v="34"/>
    <n v="32"/>
    <n v="6"/>
    <n v="1"/>
    <n v="2"/>
    <n v="4"/>
    <n v="106.25"/>
    <n v="17"/>
  </r>
  <r>
    <x v="322"/>
    <x v="9"/>
    <s v="Mumbai Indians"/>
    <n v="0"/>
    <n v="2"/>
    <n v="0"/>
    <n v="0"/>
    <n v="1"/>
    <n v="1"/>
    <n v="0"/>
    <n v="0"/>
  </r>
  <r>
    <x v="323"/>
    <x v="6"/>
    <s v="Mumbai Indians"/>
    <n v="9"/>
    <n v="3"/>
    <n v="0"/>
    <n v="1"/>
    <n v="0"/>
    <n v="1"/>
    <n v="300"/>
    <m/>
  </r>
  <r>
    <x v="324"/>
    <x v="9"/>
    <s v="Rajasthan Royals"/>
    <n v="81"/>
    <n v="66"/>
    <n v="11"/>
    <n v="0"/>
    <n v="3"/>
    <n v="5"/>
    <n v="122.73"/>
    <n v="27"/>
  </r>
  <r>
    <x v="325"/>
    <x v="8"/>
    <s v="Kings XI Punjab"/>
    <n v="152"/>
    <n v="99"/>
    <n v="13"/>
    <n v="9"/>
    <n v="1"/>
    <n v="5"/>
    <n v="153.54"/>
    <n v="152"/>
  </r>
  <r>
    <x v="325"/>
    <x v="9"/>
    <s v="Kings XI Punjab"/>
    <n v="41"/>
    <n v="46"/>
    <n v="3"/>
    <n v="1"/>
    <n v="3"/>
    <n v="4"/>
    <n v="89.13"/>
    <n v="13.67"/>
  </r>
  <r>
    <x v="325"/>
    <x v="13"/>
    <s v="Royal Challengers Bangalore"/>
    <n v="51"/>
    <n v="39"/>
    <n v="4"/>
    <n v="2"/>
    <n v="4"/>
    <n v="4"/>
    <n v="130.77000000000001"/>
    <n v="12.75"/>
  </r>
  <r>
    <x v="325"/>
    <x v="1"/>
    <s v="Kings XI Punjab"/>
    <n v="58"/>
    <n v="59"/>
    <n v="5"/>
    <n v="1"/>
    <n v="3"/>
    <n v="3"/>
    <n v="98.31"/>
    <n v="19.329999999999998"/>
  </r>
  <r>
    <x v="326"/>
    <x v="6"/>
    <s v="Delhi Capitals"/>
    <n v="1"/>
    <n v="2"/>
    <n v="0"/>
    <n v="0"/>
    <n v="0"/>
    <n v="1"/>
    <n v="50"/>
    <m/>
  </r>
  <r>
    <x v="327"/>
    <x v="11"/>
    <s v="Delhi Daredevils"/>
    <n v="1"/>
    <n v="3"/>
    <n v="0"/>
    <n v="0"/>
    <n v="1"/>
    <n v="2"/>
    <n v="33.33"/>
    <n v="1"/>
  </r>
  <r>
    <x v="328"/>
    <x v="10"/>
    <s v="Rising Pune Supergiant"/>
    <n v="1"/>
    <n v="1"/>
    <n v="0"/>
    <n v="0"/>
    <n v="0"/>
    <n v="1"/>
    <n v="100"/>
    <m/>
  </r>
  <r>
    <x v="328"/>
    <x v="16"/>
    <s v="Kolkata Knight Riders"/>
    <n v="43"/>
    <n v="29"/>
    <n v="4"/>
    <n v="1"/>
    <n v="1"/>
    <n v="2"/>
    <n v="148.28"/>
    <n v="43"/>
  </r>
  <r>
    <x v="328"/>
    <x v="17"/>
    <s v="Kolkata Knight Riders"/>
    <n v="18"/>
    <n v="10"/>
    <n v="1"/>
    <n v="1"/>
    <n v="0"/>
    <n v="1"/>
    <n v="180"/>
    <m/>
  </r>
  <r>
    <x v="328"/>
    <x v="4"/>
    <s v="Gujarat Titans"/>
    <n v="5"/>
    <n v="4"/>
    <n v="1"/>
    <n v="0"/>
    <n v="2"/>
    <n v="2"/>
    <n v="125"/>
    <n v="2.5"/>
  </r>
  <r>
    <x v="328"/>
    <x v="6"/>
    <s v="Royal Challengers Bengaluru"/>
    <n v="1"/>
    <n v="1"/>
    <n v="0"/>
    <n v="0"/>
    <n v="1"/>
    <n v="1"/>
    <n v="100"/>
    <n v="1"/>
  </r>
  <r>
    <x v="328"/>
    <x v="7"/>
    <s v="Punjab Kings"/>
    <n v="4"/>
    <n v="1"/>
    <n v="1"/>
    <n v="0"/>
    <n v="0"/>
    <n v="1"/>
    <n v="400"/>
    <m/>
  </r>
  <r>
    <x v="329"/>
    <x v="1"/>
    <s v="Pune Warriors"/>
    <n v="106"/>
    <n v="59"/>
    <n v="16"/>
    <n v="3"/>
    <n v="4"/>
    <n v="5"/>
    <n v="179.66"/>
    <n v="26.5"/>
  </r>
  <r>
    <x v="330"/>
    <x v="14"/>
    <s v="Mumbai Indians"/>
    <n v="394"/>
    <n v="290"/>
    <n v="43"/>
    <n v="14"/>
    <n v="7"/>
    <n v="8"/>
    <n v="135.86000000000001"/>
    <n v="56.29"/>
  </r>
  <r>
    <x v="330"/>
    <x v="2"/>
    <s v="Mumbai Indians"/>
    <n v="540"/>
    <n v="438"/>
    <n v="56"/>
    <n v="21"/>
    <n v="13"/>
    <n v="13"/>
    <n v="123.29"/>
    <n v="41.54"/>
  </r>
  <r>
    <x v="330"/>
    <x v="3"/>
    <s v="Mumbai Indians"/>
    <n v="8"/>
    <n v="8"/>
    <n v="0"/>
    <n v="1"/>
    <n v="1"/>
    <n v="1"/>
    <n v="100"/>
    <n v="8"/>
  </r>
  <r>
    <x v="330"/>
    <x v="10"/>
    <s v="Mumbai Indians"/>
    <n v="137"/>
    <n v="112"/>
    <n v="10"/>
    <n v="8"/>
    <n v="6"/>
    <n v="7"/>
    <n v="122.32"/>
    <n v="22.83"/>
  </r>
  <r>
    <x v="331"/>
    <x v="8"/>
    <s v="Deccan Chargers"/>
    <n v="40"/>
    <n v="26"/>
    <n v="5"/>
    <n v="1"/>
    <n v="2"/>
    <n v="3"/>
    <n v="153.85"/>
    <n v="20"/>
  </r>
  <r>
    <x v="332"/>
    <x v="8"/>
    <s v="Kolkata Knight Riders"/>
    <n v="163"/>
    <n v="122"/>
    <n v="17"/>
    <n v="5"/>
    <n v="8"/>
    <n v="12"/>
    <n v="133.61000000000001"/>
    <n v="20.38"/>
  </r>
  <r>
    <x v="332"/>
    <x v="9"/>
    <s v="Kolkata Knight Riders"/>
    <n v="83"/>
    <n v="85"/>
    <n v="5"/>
    <n v="3"/>
    <n v="6"/>
    <n v="6"/>
    <n v="97.65"/>
    <n v="13.83"/>
  </r>
  <r>
    <x v="332"/>
    <x v="12"/>
    <s v="Kolkata Knight Riders"/>
    <n v="36"/>
    <n v="26"/>
    <n v="3"/>
    <n v="2"/>
    <n v="2"/>
    <n v="2"/>
    <n v="138.46"/>
    <n v="18"/>
  </r>
  <r>
    <x v="332"/>
    <x v="13"/>
    <s v="Kolkata Knight Riders"/>
    <n v="14"/>
    <n v="10"/>
    <n v="2"/>
    <n v="0"/>
    <n v="1"/>
    <n v="1"/>
    <n v="140"/>
    <n v="14"/>
  </r>
  <r>
    <x v="332"/>
    <x v="0"/>
    <s v="Kolkata Knight Riders"/>
    <n v="75"/>
    <n v="57"/>
    <n v="4"/>
    <n v="5"/>
    <n v="7"/>
    <n v="7"/>
    <n v="131.58000000000001"/>
    <n v="10.71"/>
  </r>
  <r>
    <x v="332"/>
    <x v="1"/>
    <s v="Kolkata Knight Riders"/>
    <n v="3"/>
    <n v="12"/>
    <n v="0"/>
    <n v="0"/>
    <n v="2"/>
    <n v="2"/>
    <n v="25"/>
    <n v="1.5"/>
  </r>
  <r>
    <x v="332"/>
    <x v="14"/>
    <s v="Delhi Daredevils"/>
    <n v="31"/>
    <n v="38"/>
    <n v="2"/>
    <n v="1"/>
    <n v="3"/>
    <n v="3"/>
    <n v="81.58"/>
    <n v="10.33"/>
  </r>
  <r>
    <x v="333"/>
    <x v="8"/>
    <s v="Royal Challengers Bangalore"/>
    <n v="149"/>
    <n v="81"/>
    <n v="13"/>
    <n v="10"/>
    <n v="4"/>
    <n v="4"/>
    <n v="183.95"/>
    <n v="37.25"/>
  </r>
  <r>
    <x v="333"/>
    <x v="9"/>
    <s v="Royal Challengers Bangalore"/>
    <n v="280"/>
    <n v="206"/>
    <n v="20"/>
    <n v="15"/>
    <n v="10"/>
    <n v="11"/>
    <n v="135.91999999999999"/>
    <n v="28"/>
  </r>
  <r>
    <x v="333"/>
    <x v="12"/>
    <s v="Royal Challengers Bangalore"/>
    <n v="88"/>
    <n v="75"/>
    <n v="2"/>
    <n v="6"/>
    <n v="4"/>
    <n v="7"/>
    <n v="117.33"/>
    <n v="22"/>
  </r>
  <r>
    <x v="333"/>
    <x v="13"/>
    <s v="Rajasthan Royals"/>
    <n v="181"/>
    <n v="150"/>
    <n v="11"/>
    <n v="7"/>
    <n v="5"/>
    <n v="11"/>
    <n v="120.67"/>
    <n v="36.200000000000003"/>
  </r>
  <r>
    <x v="333"/>
    <x v="0"/>
    <s v="Delhi Daredevils"/>
    <n v="197"/>
    <n v="171"/>
    <n v="12"/>
    <n v="7"/>
    <n v="11"/>
    <n v="12"/>
    <n v="115.2"/>
    <n v="17.91"/>
  </r>
  <r>
    <x v="333"/>
    <x v="1"/>
    <s v="Pune Warriors"/>
    <n v="63"/>
    <n v="76"/>
    <n v="2"/>
    <n v="1"/>
    <n v="4"/>
    <n v="5"/>
    <n v="82.89"/>
    <n v="15.75"/>
  </r>
  <r>
    <x v="333"/>
    <x v="14"/>
    <s v="Delhi Daredevils"/>
    <n v="59"/>
    <n v="59"/>
    <n v="6"/>
    <n v="0"/>
    <n v="3"/>
    <n v="4"/>
    <n v="100"/>
    <n v="19.670000000000002"/>
  </r>
  <r>
    <x v="334"/>
    <x v="15"/>
    <s v="Rajasthan Royals"/>
    <n v="70"/>
    <n v="48"/>
    <n v="6"/>
    <n v="5"/>
    <n v="3"/>
    <n v="4"/>
    <n v="145.83000000000001"/>
    <n v="23.33"/>
  </r>
  <r>
    <x v="334"/>
    <x v="17"/>
    <s v="Rajasthan Royals"/>
    <n v="42"/>
    <n v="41"/>
    <n v="3"/>
    <n v="1"/>
    <n v="5"/>
    <n v="5"/>
    <n v="102.44"/>
    <n v="8.4"/>
  </r>
  <r>
    <x v="334"/>
    <x v="4"/>
    <s v="Punjab Kings"/>
    <n v="437"/>
    <n v="238"/>
    <n v="29"/>
    <n v="34"/>
    <n v="12"/>
    <n v="14"/>
    <n v="183.61"/>
    <n v="36.42"/>
  </r>
  <r>
    <x v="334"/>
    <x v="5"/>
    <s v="Punjab Kings"/>
    <n v="279"/>
    <n v="166"/>
    <n v="20"/>
    <n v="19"/>
    <n v="9"/>
    <n v="9"/>
    <n v="168.07"/>
    <n v="31"/>
  </r>
  <r>
    <x v="334"/>
    <x v="6"/>
    <s v="Punjab Kings"/>
    <n v="111"/>
    <n v="78"/>
    <n v="8"/>
    <n v="7"/>
    <n v="4"/>
    <n v="7"/>
    <n v="142.31"/>
    <n v="27.75"/>
  </r>
  <r>
    <x v="334"/>
    <x v="7"/>
    <s v="Royal Challengers Bengaluru"/>
    <n v="112"/>
    <n v="84"/>
    <n v="4"/>
    <n v="9"/>
    <n v="7"/>
    <n v="8"/>
    <n v="133.33000000000001"/>
    <n v="16"/>
  </r>
  <r>
    <x v="335"/>
    <x v="17"/>
    <s v="Delhi Capitals"/>
    <n v="68"/>
    <n v="70"/>
    <n v="7"/>
    <n v="0"/>
    <n v="2"/>
    <n v="5"/>
    <n v="97.14"/>
    <n v="34"/>
  </r>
  <r>
    <x v="335"/>
    <x v="4"/>
    <s v="Delhi Capitals"/>
    <n v="161"/>
    <n v="144"/>
    <n v="11"/>
    <n v="7"/>
    <n v="6"/>
    <n v="8"/>
    <n v="111.81"/>
    <n v="26.83"/>
  </r>
  <r>
    <x v="335"/>
    <x v="5"/>
    <s v="Delhi Capitals"/>
    <n v="66"/>
    <n v="59"/>
    <n v="8"/>
    <n v="0"/>
    <n v="5"/>
    <n v="6"/>
    <n v="111.86"/>
    <n v="13.2"/>
  </r>
  <r>
    <x v="335"/>
    <x v="6"/>
    <s v="Delhi Capitals"/>
    <n v="10"/>
    <n v="12"/>
    <n v="1"/>
    <n v="0"/>
    <n v="2"/>
    <n v="2"/>
    <n v="83.33"/>
    <n v="5"/>
  </r>
  <r>
    <x v="336"/>
    <x v="5"/>
    <s v="Kolkata Knight Riders"/>
    <n v="4"/>
    <n v="4"/>
    <n v="1"/>
    <n v="0"/>
    <n v="1"/>
    <n v="1"/>
    <n v="100"/>
    <n v="4"/>
  </r>
  <r>
    <x v="337"/>
    <x v="3"/>
    <s v="Rising Pune Supergiants"/>
    <n v="0"/>
    <n v="1"/>
    <n v="0"/>
    <n v="0"/>
    <n v="1"/>
    <n v="1"/>
    <n v="0"/>
    <n v="0"/>
  </r>
  <r>
    <x v="337"/>
    <x v="11"/>
    <s v="Royal Challengers Bangalore"/>
    <n v="1"/>
    <n v="2"/>
    <n v="0"/>
    <n v="0"/>
    <n v="1"/>
    <n v="1"/>
    <n v="50"/>
    <n v="1"/>
  </r>
  <r>
    <x v="337"/>
    <x v="15"/>
    <s v="Kings XI Punjab"/>
    <n v="3"/>
    <n v="5"/>
    <n v="0"/>
    <n v="0"/>
    <n v="1"/>
    <n v="3"/>
    <n v="60"/>
    <n v="3"/>
  </r>
  <r>
    <x v="337"/>
    <x v="16"/>
    <s v="Kings XI Punjab"/>
    <n v="4"/>
    <n v="4"/>
    <n v="0"/>
    <n v="0"/>
    <n v="1"/>
    <n v="1"/>
    <n v="100"/>
    <n v="4"/>
  </r>
  <r>
    <x v="337"/>
    <x v="17"/>
    <s v="Punjab Kings"/>
    <n v="15"/>
    <n v="24"/>
    <n v="1"/>
    <n v="0"/>
    <n v="2"/>
    <n v="2"/>
    <n v="62.5"/>
    <n v="7.5"/>
  </r>
  <r>
    <x v="337"/>
    <x v="4"/>
    <s v="Mumbai Indians"/>
    <n v="12"/>
    <n v="14"/>
    <n v="1"/>
    <n v="1"/>
    <n v="2"/>
    <n v="4"/>
    <n v="85.71"/>
    <n v="6"/>
  </r>
  <r>
    <x v="338"/>
    <x v="17"/>
    <s v="Mumbai Indians"/>
    <n v="0"/>
    <n v="3"/>
    <n v="0"/>
    <n v="0"/>
    <n v="2"/>
    <n v="2"/>
    <n v="0"/>
    <n v="0"/>
  </r>
  <r>
    <x v="338"/>
    <x v="4"/>
    <s v="Sunrisers Hyderabad"/>
    <n v="9"/>
    <n v="7"/>
    <n v="0"/>
    <n v="1"/>
    <n v="1"/>
    <n v="2"/>
    <n v="128.57"/>
    <n v="9"/>
  </r>
  <r>
    <x v="338"/>
    <x v="5"/>
    <s v="Sunrisers Hyderabad"/>
    <n v="39"/>
    <n v="43"/>
    <n v="4"/>
    <n v="0"/>
    <n v="4"/>
    <n v="6"/>
    <n v="90.7"/>
    <n v="9.75"/>
  </r>
  <r>
    <x v="338"/>
    <x v="6"/>
    <s v="Sunrisers Hyderabad"/>
    <n v="18"/>
    <n v="13"/>
    <n v="1"/>
    <n v="1"/>
    <n v="1"/>
    <n v="2"/>
    <n v="138.46"/>
    <n v="18"/>
  </r>
  <r>
    <x v="338"/>
    <x v="7"/>
    <s v="Punjab Kings"/>
    <n v="75"/>
    <n v="63"/>
    <n v="3"/>
    <n v="4"/>
    <n v="4"/>
    <n v="8"/>
    <n v="119.05"/>
    <n v="18.75"/>
  </r>
  <r>
    <x v="339"/>
    <x v="8"/>
    <s v="Rajasthan Royals"/>
    <n v="176"/>
    <n v="170"/>
    <n v="14"/>
    <n v="6"/>
    <n v="9"/>
    <n v="14"/>
    <n v="103.53"/>
    <n v="19.559999999999999"/>
  </r>
  <r>
    <x v="339"/>
    <x v="12"/>
    <s v="Kings XI Punjab"/>
    <n v="28"/>
    <n v="30"/>
    <n v="2"/>
    <n v="0"/>
    <n v="3"/>
    <n v="3"/>
    <n v="93.33"/>
    <n v="9.33"/>
  </r>
  <r>
    <x v="339"/>
    <x v="13"/>
    <s v="Royal Challengers Bangalore"/>
    <n v="41"/>
    <n v="33"/>
    <n v="5"/>
    <n v="0"/>
    <n v="3"/>
    <n v="4"/>
    <n v="124.24"/>
    <n v="13.67"/>
  </r>
  <r>
    <x v="339"/>
    <x v="0"/>
    <s v="Royal Challengers Bangalore"/>
    <n v="14"/>
    <n v="16"/>
    <n v="1"/>
    <n v="0"/>
    <n v="1"/>
    <n v="1"/>
    <n v="87.5"/>
    <n v="14"/>
  </r>
  <r>
    <x v="340"/>
    <x v="8"/>
    <s v="Kolkata Knight Riders"/>
    <n v="30"/>
    <n v="27"/>
    <n v="3"/>
    <n v="0"/>
    <n v="3"/>
    <n v="3"/>
    <n v="111.11"/>
    <n v="10"/>
  </r>
  <r>
    <x v="340"/>
    <x v="9"/>
    <s v="Kolkata Knight Riders"/>
    <n v="21"/>
    <n v="20"/>
    <n v="0"/>
    <n v="0"/>
    <n v="0"/>
    <n v="2"/>
    <n v="105"/>
    <m/>
  </r>
  <r>
    <x v="340"/>
    <x v="12"/>
    <s v="Kolkata Knight Riders"/>
    <n v="22"/>
    <n v="22"/>
    <n v="2"/>
    <n v="0"/>
    <n v="1"/>
    <n v="2"/>
    <n v="100"/>
    <n v="22"/>
  </r>
  <r>
    <x v="340"/>
    <x v="13"/>
    <s v="Pune Warriors"/>
    <n v="12"/>
    <n v="14"/>
    <n v="1"/>
    <n v="0"/>
    <n v="1"/>
    <n v="2"/>
    <n v="85.71"/>
    <n v="12"/>
  </r>
  <r>
    <x v="340"/>
    <x v="0"/>
    <s v="Pune Warriors"/>
    <n v="26"/>
    <n v="21"/>
    <n v="1"/>
    <n v="1"/>
    <n v="1"/>
    <n v="3"/>
    <n v="123.81"/>
    <n v="26"/>
  </r>
  <r>
    <x v="340"/>
    <x v="1"/>
    <s v="Royal Challengers Bangalore"/>
    <n v="2"/>
    <n v="3"/>
    <n v="0"/>
    <n v="0"/>
    <n v="1"/>
    <n v="2"/>
    <n v="66.67"/>
    <n v="2"/>
  </r>
  <r>
    <x v="341"/>
    <x v="13"/>
    <s v="Kochi Tuskers Kerala"/>
    <n v="73"/>
    <n v="75"/>
    <n v="9"/>
    <n v="0"/>
    <n v="4"/>
    <n v="4"/>
    <n v="97.33"/>
    <n v="18.25"/>
  </r>
  <r>
    <x v="342"/>
    <x v="9"/>
    <s v="Delhi Daredevils"/>
    <n v="75"/>
    <n v="62"/>
    <n v="7"/>
    <n v="1"/>
    <n v="3"/>
    <n v="6"/>
    <n v="120.97"/>
    <n v="25"/>
  </r>
  <r>
    <x v="342"/>
    <x v="12"/>
    <s v="Delhi Daredevils"/>
    <n v="157"/>
    <n v="149"/>
    <n v="14"/>
    <n v="0"/>
    <n v="4"/>
    <n v="8"/>
    <n v="105.37"/>
    <n v="39.25"/>
  </r>
  <r>
    <x v="342"/>
    <x v="13"/>
    <s v="Pune Warriors"/>
    <n v="114"/>
    <n v="123"/>
    <n v="8"/>
    <n v="4"/>
    <n v="10"/>
    <n v="10"/>
    <n v="92.68"/>
    <n v="11.4"/>
  </r>
  <r>
    <x v="342"/>
    <x v="0"/>
    <s v="Pune Warriors"/>
    <n v="120"/>
    <n v="96"/>
    <n v="10"/>
    <n v="4"/>
    <n v="4"/>
    <n v="7"/>
    <n v="125"/>
    <n v="30"/>
  </r>
  <r>
    <x v="342"/>
    <x v="1"/>
    <s v="Pune Warriors"/>
    <n v="13"/>
    <n v="17"/>
    <n v="1"/>
    <n v="0"/>
    <n v="0"/>
    <n v="2"/>
    <n v="76.47"/>
    <m/>
  </r>
  <r>
    <x v="342"/>
    <x v="14"/>
    <s v="Chennai Super Kings"/>
    <n v="35"/>
    <n v="23"/>
    <n v="3"/>
    <n v="1"/>
    <n v="3"/>
    <n v="5"/>
    <n v="152.16999999999999"/>
    <n v="11.67"/>
  </r>
  <r>
    <x v="343"/>
    <x v="11"/>
    <s v="Mumbai Indians"/>
    <n v="21"/>
    <n v="24"/>
    <n v="2"/>
    <n v="0"/>
    <n v="2"/>
    <n v="6"/>
    <n v="87.5"/>
    <n v="10.5"/>
  </r>
  <r>
    <x v="343"/>
    <x v="15"/>
    <s v="Mumbai Indians"/>
    <n v="6"/>
    <n v="5"/>
    <n v="1"/>
    <n v="0"/>
    <n v="1"/>
    <n v="1"/>
    <n v="120"/>
    <n v="6"/>
  </r>
  <r>
    <x v="343"/>
    <x v="5"/>
    <s v="Sunrisers Hyderabad"/>
    <n v="21"/>
    <n v="13"/>
    <n v="2"/>
    <n v="1"/>
    <n v="0"/>
    <n v="3"/>
    <n v="161.54"/>
    <m/>
  </r>
  <r>
    <x v="344"/>
    <x v="9"/>
    <s v="Rajasthan Royals"/>
    <n v="8"/>
    <n v="8"/>
    <n v="1"/>
    <n v="0"/>
    <n v="1"/>
    <n v="1"/>
    <n v="100"/>
    <n v="8"/>
  </r>
  <r>
    <x v="344"/>
    <x v="12"/>
    <s v="Rajasthan Royals"/>
    <n v="9"/>
    <n v="16"/>
    <n v="1"/>
    <n v="0"/>
    <n v="2"/>
    <n v="2"/>
    <n v="56.25"/>
    <n v="4.5"/>
  </r>
  <r>
    <x v="344"/>
    <x v="13"/>
    <s v="Delhi Daredevils"/>
    <n v="40"/>
    <n v="24"/>
    <n v="3"/>
    <n v="2"/>
    <n v="2"/>
    <n v="5"/>
    <n v="166.67"/>
    <n v="20"/>
  </r>
  <r>
    <x v="344"/>
    <x v="0"/>
    <s v="Delhi Daredevils"/>
    <n v="3"/>
    <n v="5"/>
    <n v="0"/>
    <n v="0"/>
    <n v="1"/>
    <n v="3"/>
    <n v="60"/>
    <n v="3"/>
  </r>
  <r>
    <x v="344"/>
    <x v="1"/>
    <s v="Delhi Daredevils"/>
    <n v="57"/>
    <n v="29"/>
    <n v="6"/>
    <n v="3"/>
    <n v="5"/>
    <n v="6"/>
    <n v="196.55"/>
    <n v="11.4"/>
  </r>
  <r>
    <x v="344"/>
    <x v="14"/>
    <s v="Kolkata Knight Riders"/>
    <n v="4"/>
    <n v="3"/>
    <n v="0"/>
    <n v="0"/>
    <n v="0"/>
    <n v="1"/>
    <n v="133.33000000000001"/>
    <m/>
  </r>
  <r>
    <x v="344"/>
    <x v="2"/>
    <s v="Kolkata Knight Riders"/>
    <n v="4"/>
    <n v="3"/>
    <n v="0"/>
    <n v="0"/>
    <n v="0"/>
    <n v="1"/>
    <n v="133.33000000000001"/>
    <m/>
  </r>
  <r>
    <x v="344"/>
    <x v="3"/>
    <s v="Kolkata Knight Riders"/>
    <n v="1"/>
    <n v="1"/>
    <n v="0"/>
    <n v="0"/>
    <n v="0"/>
    <n v="1"/>
    <n v="100"/>
    <m/>
  </r>
  <r>
    <x v="345"/>
    <x v="8"/>
    <s v="Chennai Super Kings"/>
    <n v="0"/>
    <n v="3"/>
    <n v="0"/>
    <n v="0"/>
    <n v="1"/>
    <n v="1"/>
    <n v="0"/>
    <n v="0"/>
  </r>
  <r>
    <x v="345"/>
    <x v="9"/>
    <s v="Chennai Super Kings"/>
    <n v="8"/>
    <n v="8"/>
    <n v="1"/>
    <n v="0"/>
    <n v="2"/>
    <n v="4"/>
    <n v="100"/>
    <n v="4"/>
  </r>
  <r>
    <x v="345"/>
    <x v="12"/>
    <s v="Chennai Super Kings"/>
    <n v="1"/>
    <n v="2"/>
    <n v="0"/>
    <n v="0"/>
    <n v="1"/>
    <n v="1"/>
    <n v="50"/>
    <n v="1"/>
  </r>
  <r>
    <x v="345"/>
    <x v="13"/>
    <s v="Kochi Tuskers Kerala"/>
    <n v="5"/>
    <n v="7"/>
    <n v="0"/>
    <n v="0"/>
    <n v="0"/>
    <n v="1"/>
    <n v="71.430000000000007"/>
    <m/>
  </r>
  <r>
    <x v="345"/>
    <x v="0"/>
    <s v="Royal Challengers Bangalore"/>
    <n v="6"/>
    <n v="9"/>
    <n v="0"/>
    <n v="0"/>
    <n v="2"/>
    <n v="2"/>
    <n v="66.67"/>
    <n v="3"/>
  </r>
  <r>
    <x v="346"/>
    <x v="8"/>
    <s v="Chennai Super Kings"/>
    <n v="11"/>
    <n v="18"/>
    <n v="2"/>
    <n v="0"/>
    <n v="1"/>
    <n v="2"/>
    <n v="61.11"/>
    <n v="11"/>
  </r>
  <r>
    <x v="347"/>
    <x v="11"/>
    <s v="Kolkata Knight Riders"/>
    <n v="1"/>
    <n v="5"/>
    <n v="0"/>
    <n v="0"/>
    <n v="0"/>
    <n v="1"/>
    <n v="20"/>
    <m/>
  </r>
  <r>
    <x v="347"/>
    <x v="15"/>
    <s v="Kolkata Knight Riders"/>
    <n v="0"/>
    <n v="2"/>
    <n v="0"/>
    <n v="0"/>
    <n v="1"/>
    <n v="1"/>
    <n v="0"/>
    <n v="0"/>
  </r>
  <r>
    <x v="347"/>
    <x v="16"/>
    <s v="Kolkata Knight Riders"/>
    <n v="2"/>
    <n v="4"/>
    <n v="0"/>
    <n v="0"/>
    <n v="0"/>
    <n v="2"/>
    <n v="50"/>
    <m/>
  </r>
  <r>
    <x v="347"/>
    <x v="17"/>
    <s v="Kolkata Knight Riders"/>
    <n v="0"/>
    <n v="1"/>
    <n v="0"/>
    <n v="0"/>
    <n v="0"/>
    <n v="1"/>
    <n v="0"/>
    <m/>
  </r>
  <r>
    <x v="347"/>
    <x v="4"/>
    <s v="Rajasthan Royals"/>
    <n v="6"/>
    <n v="12"/>
    <n v="0"/>
    <n v="0"/>
    <n v="1"/>
    <n v="2"/>
    <n v="50"/>
    <n v="6"/>
  </r>
  <r>
    <x v="348"/>
    <x v="8"/>
    <s v="Rajasthan Royals"/>
    <n v="34"/>
    <n v="39"/>
    <n v="3"/>
    <n v="1"/>
    <n v="4"/>
    <n v="7"/>
    <n v="87.18"/>
    <n v="8.5"/>
  </r>
  <r>
    <x v="348"/>
    <x v="9"/>
    <s v="Rajasthan Royals"/>
    <n v="16"/>
    <n v="19"/>
    <n v="1"/>
    <n v="0"/>
    <n v="0"/>
    <n v="3"/>
    <n v="84.21"/>
    <m/>
  </r>
  <r>
    <x v="348"/>
    <x v="1"/>
    <s v="Pune Warriors"/>
    <n v="5"/>
    <n v="11"/>
    <n v="0"/>
    <n v="0"/>
    <n v="1"/>
    <n v="1"/>
    <n v="45.45"/>
    <n v="5"/>
  </r>
  <r>
    <x v="349"/>
    <x v="17"/>
    <s v="Punjab Kings"/>
    <n v="153"/>
    <n v="114"/>
    <n v="9"/>
    <n v="10"/>
    <n v="6"/>
    <n v="10"/>
    <n v="134.21"/>
    <n v="25.5"/>
  </r>
  <r>
    <x v="349"/>
    <x v="4"/>
    <s v="Punjab Kings"/>
    <n v="117"/>
    <n v="108"/>
    <n v="4"/>
    <n v="9"/>
    <n v="7"/>
    <n v="8"/>
    <n v="108.33"/>
    <n v="16.71"/>
  </r>
  <r>
    <x v="349"/>
    <x v="5"/>
    <s v="Punjab Kings"/>
    <n v="156"/>
    <n v="93"/>
    <n v="13"/>
    <n v="9"/>
    <n v="7"/>
    <n v="12"/>
    <n v="167.74"/>
    <n v="22.29"/>
  </r>
  <r>
    <x v="349"/>
    <x v="6"/>
    <s v="Gujarat Titans"/>
    <n v="127"/>
    <n v="75"/>
    <n v="9"/>
    <n v="9"/>
    <n v="5"/>
    <n v="7"/>
    <n v="169.33"/>
    <n v="25.4"/>
  </r>
  <r>
    <x v="349"/>
    <x v="7"/>
    <s v="Gujarat Titans"/>
    <n v="179"/>
    <n v="100"/>
    <n v="11"/>
    <n v="13"/>
    <n v="6"/>
    <n v="11"/>
    <n v="179"/>
    <n v="29.83"/>
  </r>
  <r>
    <x v="350"/>
    <x v="4"/>
    <s v="Chennai Super Kings"/>
    <n v="7"/>
    <n v="7"/>
    <n v="0"/>
    <n v="1"/>
    <n v="1"/>
    <n v="2"/>
    <n v="100"/>
    <n v="7"/>
  </r>
  <r>
    <x v="350"/>
    <x v="7"/>
    <s v="Rajasthan Royals"/>
    <n v="10"/>
    <n v="27"/>
    <n v="0"/>
    <n v="0"/>
    <n v="2"/>
    <n v="4"/>
    <n v="37.04"/>
    <n v="5"/>
  </r>
  <r>
    <x v="351"/>
    <x v="7"/>
    <s v="Delhi Capitals"/>
    <n v="3"/>
    <n v="4"/>
    <n v="0"/>
    <n v="0"/>
    <n v="1"/>
    <n v="1"/>
    <n v="75"/>
    <n v="3"/>
  </r>
  <r>
    <x v="352"/>
    <x v="9"/>
    <s v="Chennai Super Kings"/>
    <n v="60"/>
    <n v="67"/>
    <n v="4"/>
    <n v="2"/>
    <n v="4"/>
    <n v="4"/>
    <n v="89.55"/>
    <n v="15"/>
  </r>
  <r>
    <x v="352"/>
    <x v="12"/>
    <s v="Chennai Super Kings"/>
    <n v="458"/>
    <n v="292"/>
    <n v="36"/>
    <n v="26"/>
    <n v="12"/>
    <n v="15"/>
    <n v="156.85"/>
    <n v="38.17"/>
  </r>
  <r>
    <x v="352"/>
    <x v="13"/>
    <s v="Chennai Super Kings"/>
    <n v="434"/>
    <n v="339"/>
    <n v="34"/>
    <n v="20"/>
    <n v="16"/>
    <n v="16"/>
    <n v="128.02000000000001"/>
    <n v="27.12"/>
  </r>
  <r>
    <x v="352"/>
    <x v="0"/>
    <s v="Chennai Super Kings"/>
    <n v="336"/>
    <n v="265"/>
    <n v="39"/>
    <n v="10"/>
    <n v="14"/>
    <n v="13"/>
    <n v="126.79"/>
    <n v="24"/>
  </r>
  <r>
    <x v="352"/>
    <x v="1"/>
    <s v="Chennai Super Kings"/>
    <n v="312"/>
    <n v="286"/>
    <n v="27"/>
    <n v="8"/>
    <n v="12"/>
    <n v="15"/>
    <n v="109.09"/>
    <n v="26"/>
  </r>
  <r>
    <x v="352"/>
    <x v="14"/>
    <s v="Delhi Daredevils"/>
    <n v="207"/>
    <n v="192"/>
    <n v="20"/>
    <n v="5"/>
    <n v="12"/>
    <n v="11"/>
    <n v="107.81"/>
    <n v="17.25"/>
  </r>
  <r>
    <x v="352"/>
    <x v="2"/>
    <s v="Kings XI Punjab"/>
    <n v="251"/>
    <n v="228"/>
    <n v="27"/>
    <n v="8"/>
    <n v="9"/>
    <n v="11"/>
    <n v="110.09"/>
    <n v="27.89"/>
  </r>
  <r>
    <x v="352"/>
    <x v="3"/>
    <s v="Kings XI Punjab"/>
    <n v="453"/>
    <n v="364"/>
    <n v="50"/>
    <n v="10"/>
    <n v="12"/>
    <n v="14"/>
    <n v="124.45"/>
    <n v="37.75"/>
  </r>
  <r>
    <x v="352"/>
    <x v="11"/>
    <s v="Chennai Super Kings"/>
    <n v="12"/>
    <n v="10"/>
    <n v="0"/>
    <n v="1"/>
    <n v="1"/>
    <n v="1"/>
    <n v="120"/>
    <n v="12"/>
  </r>
  <r>
    <x v="352"/>
    <x v="15"/>
    <s v="Chennai Super Kings"/>
    <n v="64"/>
    <n v="61"/>
    <n v="6"/>
    <n v="1"/>
    <n v="2"/>
    <n v="2"/>
    <n v="104.92"/>
    <n v="32"/>
  </r>
  <r>
    <x v="352"/>
    <x v="16"/>
    <s v="Chennai Super Kings"/>
    <n v="32"/>
    <n v="43"/>
    <n v="4"/>
    <n v="0"/>
    <n v="3"/>
    <n v="3"/>
    <n v="74.42"/>
    <n v="10.67"/>
  </r>
  <r>
    <x v="353"/>
    <x v="1"/>
    <s v="Kings XI Punjab"/>
    <n v="161"/>
    <n v="117"/>
    <n v="22"/>
    <n v="2"/>
    <n v="7"/>
    <n v="10"/>
    <n v="137.61000000000001"/>
    <n v="23"/>
  </r>
  <r>
    <x v="353"/>
    <x v="14"/>
    <s v="Kings XI Punjab"/>
    <n v="324"/>
    <n v="232"/>
    <n v="27"/>
    <n v="16"/>
    <n v="7"/>
    <n v="8"/>
    <n v="139.66"/>
    <n v="46.29"/>
  </r>
  <r>
    <x v="353"/>
    <x v="2"/>
    <s v="Kings XI Punjab"/>
    <n v="82"/>
    <n v="81"/>
    <n v="4"/>
    <n v="5"/>
    <n v="7"/>
    <n v="7"/>
    <n v="101.23"/>
    <n v="11.71"/>
  </r>
  <r>
    <x v="353"/>
    <x v="3"/>
    <s v="Kings XI Punjab"/>
    <n v="161"/>
    <n v="131"/>
    <n v="19"/>
    <n v="3"/>
    <n v="8"/>
    <n v="7"/>
    <n v="122.9"/>
    <n v="20.12"/>
  </r>
  <r>
    <x v="353"/>
    <x v="10"/>
    <s v="Kings XI Punjab"/>
    <n v="229"/>
    <n v="159"/>
    <n v="23"/>
    <n v="9"/>
    <n v="9"/>
    <n v="9"/>
    <n v="144.03"/>
    <n v="25.44"/>
  </r>
  <r>
    <x v="353"/>
    <x v="11"/>
    <s v="Royal Challengers Bangalore"/>
    <n v="55"/>
    <n v="47"/>
    <n v="2"/>
    <n v="4"/>
    <n v="4"/>
    <n v="4"/>
    <n v="117.02"/>
    <n v="13.75"/>
  </r>
  <r>
    <x v="353"/>
    <x v="17"/>
    <s v="Rajasthan Royals"/>
    <n v="42"/>
    <n v="39"/>
    <n v="5"/>
    <n v="2"/>
    <n v="4"/>
    <n v="4"/>
    <n v="107.69"/>
    <n v="10.5"/>
  </r>
  <r>
    <x v="353"/>
    <x v="4"/>
    <s v="Lucknow Super Giants"/>
    <n v="19"/>
    <n v="11"/>
    <n v="1"/>
    <n v="2"/>
    <n v="1"/>
    <n v="1"/>
    <n v="172.73"/>
    <n v="19"/>
  </r>
  <r>
    <x v="353"/>
    <x v="5"/>
    <s v="Lucknow Super Giants"/>
    <n v="10"/>
    <n v="11"/>
    <n v="1"/>
    <n v="0"/>
    <n v="1"/>
    <n v="1"/>
    <n v="90.91"/>
    <n v="10"/>
  </r>
  <r>
    <x v="354"/>
    <x v="14"/>
    <s v="Mumbai Indians"/>
    <n v="1"/>
    <n v="2"/>
    <n v="0"/>
    <n v="0"/>
    <n v="1"/>
    <n v="1"/>
    <n v="50"/>
    <n v="1"/>
  </r>
  <r>
    <x v="355"/>
    <x v="13"/>
    <s v="Royal Challengers Bangalore"/>
    <n v="141"/>
    <n v="117"/>
    <n v="16"/>
    <n v="4"/>
    <n v="7"/>
    <n v="7"/>
    <n v="120.51"/>
    <n v="20.14"/>
  </r>
  <r>
    <x v="355"/>
    <x v="0"/>
    <s v="Royal Challengers Bangalore"/>
    <n v="225"/>
    <n v="157"/>
    <n v="19"/>
    <n v="15"/>
    <n v="11"/>
    <n v="12"/>
    <n v="143.31"/>
    <n v="20.45"/>
  </r>
  <r>
    <x v="355"/>
    <x v="1"/>
    <s v="Royal Challengers Bangalore"/>
    <n v="67"/>
    <n v="62"/>
    <n v="6"/>
    <n v="3"/>
    <n v="5"/>
    <n v="5"/>
    <n v="108.06"/>
    <n v="13.4"/>
  </r>
  <r>
    <x v="355"/>
    <x v="14"/>
    <s v="Delhi Daredevils"/>
    <n v="115"/>
    <n v="91"/>
    <n v="12"/>
    <n v="3"/>
    <n v="8"/>
    <n v="8"/>
    <n v="126.37"/>
    <n v="14.38"/>
  </r>
  <r>
    <x v="355"/>
    <x v="2"/>
    <s v="Delhi Daredevils"/>
    <n v="213"/>
    <n v="176"/>
    <n v="23"/>
    <n v="7"/>
    <n v="10"/>
    <n v="10"/>
    <n v="121.02"/>
    <n v="21.3"/>
  </r>
  <r>
    <x v="355"/>
    <x v="3"/>
    <s v="Delhi Daredevils"/>
    <n v="27"/>
    <n v="25"/>
    <n v="3"/>
    <n v="1"/>
    <n v="3"/>
    <n v="3"/>
    <n v="108"/>
    <n v="9"/>
  </r>
  <r>
    <x v="355"/>
    <x v="10"/>
    <s v="Rising Pune Supergiant"/>
    <n v="26"/>
    <n v="27"/>
    <n v="3"/>
    <n v="0"/>
    <n v="3"/>
    <n v="3"/>
    <n v="96.3"/>
    <n v="8.67"/>
  </r>
  <r>
    <x v="355"/>
    <x v="11"/>
    <s v="Kings XI Punjab"/>
    <n v="120"/>
    <n v="94"/>
    <n v="9"/>
    <n v="5"/>
    <n v="10"/>
    <n v="11"/>
    <n v="127.66"/>
    <n v="12"/>
  </r>
  <r>
    <x v="355"/>
    <x v="15"/>
    <s v="Kings XI Punjab"/>
    <n v="332"/>
    <n v="234"/>
    <n v="26"/>
    <n v="14"/>
    <n v="11"/>
    <n v="13"/>
    <n v="141.88"/>
    <n v="30.18"/>
  </r>
  <r>
    <x v="355"/>
    <x v="16"/>
    <s v="Kings XI Punjab"/>
    <n v="432"/>
    <n v="272"/>
    <n v="46"/>
    <n v="15"/>
    <n v="10"/>
    <n v="11"/>
    <n v="158.82"/>
    <n v="43.2"/>
  </r>
  <r>
    <x v="355"/>
    <x v="17"/>
    <s v="Punjab Kings"/>
    <n v="441"/>
    <n v="309"/>
    <n v="42"/>
    <n v="18"/>
    <n v="12"/>
    <n v="12"/>
    <n v="142.72"/>
    <n v="36.75"/>
  </r>
  <r>
    <x v="355"/>
    <x v="4"/>
    <s v="Punjab Kings"/>
    <n v="196"/>
    <n v="160"/>
    <n v="23"/>
    <n v="6"/>
    <n v="12"/>
    <n v="12"/>
    <n v="122.5"/>
    <n v="16.329999999999998"/>
  </r>
  <r>
    <x v="355"/>
    <x v="5"/>
    <s v="Sunrisers Hyderabad"/>
    <n v="270"/>
    <n v="208"/>
    <n v="29"/>
    <n v="6"/>
    <n v="10"/>
    <n v="10"/>
    <n v="129.81"/>
    <n v="27"/>
  </r>
  <r>
    <x v="355"/>
    <x v="6"/>
    <s v="Sunrisers Hyderabad"/>
    <n v="64"/>
    <n v="57"/>
    <n v="8"/>
    <n v="1"/>
    <n v="4"/>
    <n v="4"/>
    <n v="112.28"/>
    <n v="16"/>
  </r>
  <r>
    <x v="355"/>
    <x v="7"/>
    <s v="Royal Challengers Bengaluru"/>
    <n v="95"/>
    <n v="64"/>
    <n v="10"/>
    <n v="2"/>
    <n v="3"/>
    <n v="4"/>
    <n v="148.44"/>
    <n v="31.67"/>
  </r>
  <r>
    <x v="356"/>
    <x v="8"/>
    <s v="Mumbai Indians"/>
    <n v="24"/>
    <n v="22"/>
    <n v="2"/>
    <n v="1"/>
    <n v="2"/>
    <n v="3"/>
    <n v="109.09"/>
    <n v="12"/>
  </r>
  <r>
    <x v="357"/>
    <x v="14"/>
    <s v="Royal Challengers Bangalore"/>
    <n v="85"/>
    <n v="84"/>
    <n v="9"/>
    <n v="0"/>
    <n v="5"/>
    <n v="8"/>
    <n v="101.19"/>
    <n v="17"/>
  </r>
  <r>
    <x v="357"/>
    <x v="2"/>
    <s v="Royal Challengers Bangalore"/>
    <n v="11"/>
    <n v="14"/>
    <n v="1"/>
    <n v="0"/>
    <n v="1"/>
    <n v="3"/>
    <n v="78.569999999999993"/>
    <n v="11"/>
  </r>
  <r>
    <x v="357"/>
    <x v="6"/>
    <s v="Kolkata Knight Riders"/>
    <n v="9"/>
    <n v="11"/>
    <n v="1"/>
    <n v="0"/>
    <n v="2"/>
    <n v="5"/>
    <n v="81.819999999999993"/>
    <n v="4.5"/>
  </r>
  <r>
    <x v="357"/>
    <x v="7"/>
    <s v="Delhi Capitals"/>
    <n v="6"/>
    <n v="10"/>
    <n v="0"/>
    <n v="0"/>
    <n v="2"/>
    <n v="5"/>
    <n v="60"/>
    <n v="3"/>
  </r>
  <r>
    <x v="358"/>
    <x v="11"/>
    <s v="Chennai Super Kings"/>
    <n v="1"/>
    <n v="3"/>
    <n v="0"/>
    <n v="0"/>
    <n v="1"/>
    <n v="1"/>
    <n v="33.33"/>
    <n v="1"/>
  </r>
  <r>
    <x v="358"/>
    <x v="5"/>
    <s v="Lucknow Super Giants"/>
    <n v="11"/>
    <n v="5"/>
    <n v="1"/>
    <n v="1"/>
    <n v="1"/>
    <n v="2"/>
    <n v="220"/>
    <n v="11"/>
  </r>
  <r>
    <x v="359"/>
    <x v="9"/>
    <s v="Kolkata Knight Riders"/>
    <n v="38"/>
    <n v="40"/>
    <n v="2"/>
    <n v="1"/>
    <n v="2"/>
    <n v="3"/>
    <n v="95"/>
    <n v="19"/>
  </r>
  <r>
    <x v="359"/>
    <x v="12"/>
    <s v="Delhi Daredevils"/>
    <n v="11"/>
    <n v="5"/>
    <n v="2"/>
    <n v="0"/>
    <n v="1"/>
    <n v="1"/>
    <n v="220"/>
    <n v="11"/>
  </r>
  <r>
    <x v="359"/>
    <x v="1"/>
    <s v="Royal Challengers Bangalore"/>
    <n v="165"/>
    <n v="124"/>
    <n v="20"/>
    <n v="3"/>
    <n v="4"/>
    <n v="9"/>
    <n v="133.06"/>
    <n v="41.25"/>
  </r>
  <r>
    <x v="359"/>
    <x v="14"/>
    <s v="Sunrisers Hyderabad"/>
    <n v="9"/>
    <n v="14"/>
    <n v="1"/>
    <n v="0"/>
    <n v="2"/>
    <n v="2"/>
    <n v="64.290000000000006"/>
    <n v="4.5"/>
  </r>
  <r>
    <x v="359"/>
    <x v="2"/>
    <s v="Sunrisers Hyderabad"/>
    <n v="287"/>
    <n v="210"/>
    <n v="19"/>
    <n v="13"/>
    <n v="7"/>
    <n v="9"/>
    <n v="136.66999999999999"/>
    <n v="41"/>
  </r>
  <r>
    <x v="359"/>
    <x v="3"/>
    <s v="Sunrisers Hyderabad"/>
    <n v="182"/>
    <n v="157"/>
    <n v="15"/>
    <n v="6"/>
    <n v="13"/>
    <n v="15"/>
    <n v="115.92"/>
    <n v="14"/>
  </r>
  <r>
    <x v="359"/>
    <x v="10"/>
    <s v="Sunrisers Hyderabad"/>
    <n v="277"/>
    <n v="203"/>
    <n v="28"/>
    <n v="4"/>
    <n v="6"/>
    <n v="11"/>
    <n v="136.44999999999999"/>
    <n v="46.17"/>
  </r>
  <r>
    <x v="359"/>
    <x v="17"/>
    <s v="Punjab Kings"/>
    <n v="31"/>
    <n v="32"/>
    <n v="0"/>
    <n v="1"/>
    <n v="3"/>
    <n v="4"/>
    <n v="96.88"/>
    <n v="10.33"/>
  </r>
  <r>
    <x v="360"/>
    <x v="1"/>
    <s v="Delhi Daredevils"/>
    <n v="125"/>
    <n v="128"/>
    <n v="11"/>
    <n v="1"/>
    <n v="7"/>
    <n v="7"/>
    <n v="97.66"/>
    <n v="17.86"/>
  </r>
  <r>
    <x v="361"/>
    <x v="12"/>
    <s v="Deccan Chargers"/>
    <n v="166"/>
    <n v="142"/>
    <n v="18"/>
    <n v="6"/>
    <n v="10"/>
    <n v="11"/>
    <n v="116.9"/>
    <n v="16.600000000000001"/>
  </r>
  <r>
    <x v="361"/>
    <x v="13"/>
    <s v="Pune Warriors"/>
    <n v="67"/>
    <n v="60"/>
    <n v="5"/>
    <n v="2"/>
    <n v="4"/>
    <n v="5"/>
    <n v="111.67"/>
    <n v="16.75"/>
  </r>
  <r>
    <x v="361"/>
    <x v="0"/>
    <s v="Pune Warriors"/>
    <n v="4"/>
    <n v="4"/>
    <n v="1"/>
    <n v="0"/>
    <n v="1"/>
    <n v="1"/>
    <n v="100"/>
    <n v="4"/>
  </r>
  <r>
    <x v="362"/>
    <x v="5"/>
    <s v="Gujarat Titans"/>
    <n v="26"/>
    <n v="26"/>
    <n v="2"/>
    <n v="1"/>
    <n v="2"/>
    <n v="3"/>
    <n v="100"/>
    <n v="13"/>
  </r>
  <r>
    <x v="363"/>
    <x v="1"/>
    <s v="Rajasthan Royals"/>
    <n v="14"/>
    <n v="13"/>
    <n v="3"/>
    <n v="0"/>
    <n v="2"/>
    <n v="2"/>
    <n v="107.69"/>
    <n v="7"/>
  </r>
  <r>
    <x v="364"/>
    <x v="8"/>
    <s v="Chennai Super Kings"/>
    <n v="168"/>
    <n v="100"/>
    <n v="12"/>
    <n v="11"/>
    <n v="3"/>
    <n v="3"/>
    <n v="168"/>
    <n v="56"/>
  </r>
  <r>
    <x v="364"/>
    <x v="12"/>
    <s v="Chennai Super Kings"/>
    <n v="37"/>
    <n v="44"/>
    <n v="2"/>
    <n v="0"/>
    <n v="2"/>
    <n v="3"/>
    <n v="84.09"/>
    <n v="18.5"/>
  </r>
  <r>
    <x v="364"/>
    <x v="13"/>
    <s v="Chennai Super Kings"/>
    <n v="492"/>
    <n v="413"/>
    <n v="53"/>
    <n v="6"/>
    <n v="12"/>
    <n v="14"/>
    <n v="119.13"/>
    <n v="41"/>
  </r>
  <r>
    <x v="364"/>
    <x v="0"/>
    <s v="Chennai Super Kings"/>
    <n v="261"/>
    <n v="236"/>
    <n v="28"/>
    <n v="8"/>
    <n v="8"/>
    <n v="8"/>
    <n v="110.59"/>
    <n v="32.619999999999997"/>
  </r>
  <r>
    <x v="364"/>
    <x v="1"/>
    <s v="Chennai Super Kings"/>
    <n v="733"/>
    <n v="565"/>
    <n v="81"/>
    <n v="17"/>
    <n v="15"/>
    <n v="17"/>
    <n v="129.72999999999999"/>
    <n v="48.87"/>
  </r>
  <r>
    <x v="364"/>
    <x v="14"/>
    <s v="Mumbai Indians"/>
    <n v="209"/>
    <n v="182"/>
    <n v="17"/>
    <n v="7"/>
    <n v="8"/>
    <n v="9"/>
    <n v="114.84"/>
    <n v="26.12"/>
  </r>
  <r>
    <x v="364"/>
    <x v="2"/>
    <s v="Chennai Super Kings"/>
    <n v="77"/>
    <n v="70"/>
    <n v="5"/>
    <n v="3"/>
    <n v="4"/>
    <n v="4"/>
    <n v="110"/>
    <n v="19.25"/>
  </r>
  <r>
    <x v="365"/>
    <x v="8"/>
    <s v="Delhi Daredevils"/>
    <n v="125"/>
    <n v="79"/>
    <n v="10"/>
    <n v="7"/>
    <n v="6"/>
    <n v="8"/>
    <n v="158.22999999999999"/>
    <n v="20.83"/>
  </r>
  <r>
    <x v="365"/>
    <x v="9"/>
    <s v="Delhi Daredevils"/>
    <n v="21"/>
    <n v="21"/>
    <n v="0"/>
    <n v="0"/>
    <n v="1"/>
    <n v="2"/>
    <n v="100"/>
    <n v="21"/>
  </r>
  <r>
    <x v="365"/>
    <x v="12"/>
    <s v="Delhi Daredevils"/>
    <n v="31"/>
    <n v="23"/>
    <n v="2"/>
    <n v="2"/>
    <n v="3"/>
    <n v="4"/>
    <n v="134.78"/>
    <n v="10.33"/>
  </r>
  <r>
    <x v="366"/>
    <x v="5"/>
    <s v="Royal Challengers Bangalore"/>
    <n v="58"/>
    <n v="47"/>
    <n v="6"/>
    <n v="1"/>
    <n v="2"/>
    <n v="4"/>
    <n v="123.4"/>
    <n v="29"/>
  </r>
  <r>
    <x v="367"/>
    <x v="1"/>
    <s v="Mumbai Indians"/>
    <n v="39"/>
    <n v="36"/>
    <n v="2"/>
    <n v="2"/>
    <n v="4"/>
    <n v="6"/>
    <n v="108.33"/>
    <n v="9.75"/>
  </r>
  <r>
    <x v="367"/>
    <x v="14"/>
    <s v="Kings XI Punjab"/>
    <n v="56"/>
    <n v="50"/>
    <n v="4"/>
    <n v="3"/>
    <n v="3"/>
    <n v="8"/>
    <n v="112"/>
    <n v="18.670000000000002"/>
  </r>
  <r>
    <x v="367"/>
    <x v="2"/>
    <s v="Kings XI Punjab"/>
    <n v="31"/>
    <n v="36"/>
    <n v="1"/>
    <n v="1"/>
    <n v="5"/>
    <n v="8"/>
    <n v="86.11"/>
    <n v="6.2"/>
  </r>
  <r>
    <x v="367"/>
    <x v="3"/>
    <s v="Kings XI Punjab"/>
    <n v="5"/>
    <n v="14"/>
    <n v="0"/>
    <n v="0"/>
    <n v="2"/>
    <n v="2"/>
    <n v="35.71"/>
    <n v="2.5"/>
  </r>
  <r>
    <x v="367"/>
    <x v="10"/>
    <s v="Mumbai Indians"/>
    <n v="20"/>
    <n v="17"/>
    <n v="1"/>
    <n v="1"/>
    <n v="0"/>
    <n v="2"/>
    <n v="117.65"/>
    <m/>
  </r>
  <r>
    <x v="367"/>
    <x v="11"/>
    <s v="Kolkata Knight Riders"/>
    <n v="16"/>
    <n v="10"/>
    <n v="2"/>
    <n v="0"/>
    <n v="0"/>
    <n v="2"/>
    <n v="160"/>
    <m/>
  </r>
  <r>
    <x v="368"/>
    <x v="0"/>
    <s v="Pune Warriors"/>
    <n v="98"/>
    <n v="94"/>
    <n v="12"/>
    <n v="0"/>
    <n v="6"/>
    <n v="6"/>
    <n v="104.26"/>
    <n v="16.329999999999998"/>
  </r>
  <r>
    <x v="369"/>
    <x v="3"/>
    <s v="Mumbai Indians"/>
    <n v="57"/>
    <n v="55"/>
    <n v="3"/>
    <n v="3"/>
    <n v="3"/>
    <n v="3"/>
    <n v="103.64"/>
    <n v="19"/>
  </r>
  <r>
    <x v="369"/>
    <x v="10"/>
    <s v="Kings XI Punjab"/>
    <n v="132"/>
    <n v="87"/>
    <n v="17"/>
    <n v="5"/>
    <n v="6"/>
    <n v="7"/>
    <n v="151.72"/>
    <n v="22"/>
  </r>
  <r>
    <x v="369"/>
    <x v="15"/>
    <s v="Sunrisers Hyderabad"/>
    <n v="82"/>
    <n v="54"/>
    <n v="4"/>
    <n v="7"/>
    <n v="3"/>
    <n v="3"/>
    <n v="151.85"/>
    <n v="27.33"/>
  </r>
  <r>
    <x v="370"/>
    <x v="12"/>
    <s v="Rajasthan Royals"/>
    <n v="278"/>
    <n v="189"/>
    <n v="45"/>
    <n v="6"/>
    <n v="9"/>
    <n v="11"/>
    <n v="147.09"/>
    <n v="30.89"/>
  </r>
  <r>
    <x v="370"/>
    <x v="13"/>
    <s v="Deccan Chargers"/>
    <n v="0"/>
    <n v="2"/>
    <n v="0"/>
    <n v="0"/>
    <n v="1"/>
    <n v="1"/>
    <n v="0"/>
    <n v="0"/>
  </r>
  <r>
    <x v="371"/>
    <x v="2"/>
    <s v="Mumbai Indians"/>
    <n v="13"/>
    <n v="6"/>
    <n v="0"/>
    <n v="2"/>
    <n v="1"/>
    <n v="3"/>
    <n v="216.67"/>
    <n v="13"/>
  </r>
  <r>
    <x v="371"/>
    <x v="3"/>
    <s v="Mumbai Indians"/>
    <n v="34"/>
    <n v="23"/>
    <n v="2"/>
    <n v="3"/>
    <n v="3"/>
    <n v="4"/>
    <n v="147.83000000000001"/>
    <n v="11.33"/>
  </r>
  <r>
    <x v="371"/>
    <x v="10"/>
    <s v="Mumbai Indians"/>
    <n v="16"/>
    <n v="15"/>
    <n v="0"/>
    <n v="1"/>
    <n v="3"/>
    <n v="5"/>
    <n v="106.67"/>
    <n v="5.33"/>
  </r>
  <r>
    <x v="371"/>
    <x v="11"/>
    <s v="Mumbai Indians"/>
    <n v="11"/>
    <n v="9"/>
    <n v="1"/>
    <n v="1"/>
    <n v="2"/>
    <n v="4"/>
    <n v="122.22"/>
    <n v="5.5"/>
  </r>
  <r>
    <x v="371"/>
    <x v="15"/>
    <s v="Mumbai Indians"/>
    <n v="11"/>
    <n v="16"/>
    <n v="2"/>
    <n v="0"/>
    <n v="2"/>
    <n v="4"/>
    <n v="68.75"/>
    <n v="5.5"/>
  </r>
  <r>
    <x v="372"/>
    <x v="7"/>
    <s v="Punjab Kings"/>
    <n v="0"/>
    <n v="2"/>
    <n v="0"/>
    <n v="0"/>
    <n v="1"/>
    <n v="1"/>
    <n v="0"/>
    <n v="0"/>
  </r>
  <r>
    <x v="373"/>
    <x v="15"/>
    <s v="Chennai Super Kings"/>
    <n v="32"/>
    <n v="22"/>
    <n v="0"/>
    <n v="3"/>
    <n v="1"/>
    <n v="2"/>
    <n v="145.44999999999999"/>
    <n v="32"/>
  </r>
  <r>
    <x v="373"/>
    <x v="4"/>
    <s v="Chennai Super Kings"/>
    <n v="22"/>
    <n v="27"/>
    <n v="3"/>
    <n v="0"/>
    <n v="2"/>
    <n v="4"/>
    <n v="81.48"/>
    <n v="11"/>
  </r>
  <r>
    <x v="373"/>
    <x v="5"/>
    <s v="Chennai Super Kings"/>
    <n v="2"/>
    <n v="4"/>
    <n v="0"/>
    <n v="0"/>
    <n v="0"/>
    <n v="2"/>
    <n v="50"/>
    <m/>
  </r>
  <r>
    <x v="373"/>
    <x v="6"/>
    <s v="Chennai Super Kings"/>
    <n v="14"/>
    <n v="17"/>
    <n v="1"/>
    <n v="0"/>
    <n v="3"/>
    <n v="3"/>
    <n v="82.35"/>
    <n v="4.67"/>
  </r>
  <r>
    <x v="373"/>
    <x v="7"/>
    <s v="Mumbai Indians"/>
    <n v="40"/>
    <n v="33"/>
    <n v="2"/>
    <n v="3"/>
    <n v="2"/>
    <n v="8"/>
    <n v="121.21"/>
    <n v="20"/>
  </r>
  <r>
    <x v="374"/>
    <x v="6"/>
    <s v="Gujarat Titans"/>
    <n v="1"/>
    <n v="2"/>
    <n v="0"/>
    <n v="0"/>
    <n v="1"/>
    <n v="1"/>
    <n v="50"/>
    <n v="1"/>
  </r>
  <r>
    <x v="375"/>
    <x v="11"/>
    <s v="Rajasthan Royals"/>
    <n v="20"/>
    <n v="21"/>
    <n v="1"/>
    <n v="0"/>
    <n v="1"/>
    <n v="2"/>
    <n v="95.24"/>
    <n v="20"/>
  </r>
  <r>
    <x v="375"/>
    <x v="15"/>
    <s v="Rajasthan Royals"/>
    <n v="8"/>
    <n v="3"/>
    <n v="2"/>
    <n v="0"/>
    <n v="1"/>
    <n v="1"/>
    <n v="266.67"/>
    <n v="8"/>
  </r>
  <r>
    <x v="375"/>
    <x v="16"/>
    <s v="Rajasthan Royals"/>
    <n v="59"/>
    <n v="54"/>
    <n v="2"/>
    <n v="3"/>
    <n v="3"/>
    <n v="3"/>
    <n v="109.26"/>
    <n v="19.670000000000002"/>
  </r>
  <r>
    <x v="375"/>
    <x v="17"/>
    <s v="Rajasthan Royals"/>
    <n v="94"/>
    <n v="73"/>
    <n v="3"/>
    <n v="6"/>
    <n v="3"/>
    <n v="4"/>
    <n v="128.77000000000001"/>
    <n v="31.33"/>
  </r>
  <r>
    <x v="375"/>
    <x v="4"/>
    <s v="Royal Challengers Bangalore"/>
    <n v="86"/>
    <n v="57"/>
    <n v="7"/>
    <n v="4"/>
    <n v="5"/>
    <n v="5"/>
    <n v="150.88"/>
    <n v="17.2"/>
  </r>
  <r>
    <x v="375"/>
    <x v="5"/>
    <s v="Royal Challengers Bangalore"/>
    <n v="135"/>
    <n v="96"/>
    <n v="9"/>
    <n v="8"/>
    <n v="8"/>
    <n v="10"/>
    <n v="140.62"/>
    <n v="16.88"/>
  </r>
  <r>
    <x v="375"/>
    <x v="6"/>
    <s v="Royal Challengers Bengaluru"/>
    <n v="125"/>
    <n v="68"/>
    <n v="9"/>
    <n v="9"/>
    <n v="9"/>
    <n v="10"/>
    <n v="183.82"/>
    <n v="13.89"/>
  </r>
  <r>
    <x v="376"/>
    <x v="8"/>
    <s v="Mumbai Indians"/>
    <n v="3"/>
    <n v="9"/>
    <n v="0"/>
    <n v="0"/>
    <n v="2"/>
    <n v="2"/>
    <n v="33.33"/>
    <n v="1.5"/>
  </r>
  <r>
    <x v="376"/>
    <x v="9"/>
    <s v="Royal Challengers Bangalore"/>
    <n v="168"/>
    <n v="117"/>
    <n v="17"/>
    <n v="4"/>
    <n v="2"/>
    <n v="4"/>
    <n v="143.59"/>
    <n v="84"/>
  </r>
  <r>
    <x v="376"/>
    <x v="12"/>
    <s v="Royal Challengers Bangalore"/>
    <n v="249"/>
    <n v="225"/>
    <n v="27"/>
    <n v="7"/>
    <n v="11"/>
    <n v="13"/>
    <n v="110.67"/>
    <n v="22.64"/>
  </r>
  <r>
    <x v="376"/>
    <x v="13"/>
    <s v="Pune Warriors"/>
    <n v="246"/>
    <n v="227"/>
    <n v="28"/>
    <n v="6"/>
    <n v="10"/>
    <n v="9"/>
    <n v="108.37"/>
    <n v="24.6"/>
  </r>
  <r>
    <x v="376"/>
    <x v="0"/>
    <s v="Pune Warriors"/>
    <n v="143"/>
    <n v="110"/>
    <n v="12"/>
    <n v="6"/>
    <n v="7"/>
    <n v="9"/>
    <n v="130"/>
    <n v="20.43"/>
  </r>
  <r>
    <x v="376"/>
    <x v="1"/>
    <s v="Pune Warriors"/>
    <n v="136"/>
    <n v="137"/>
    <n v="11"/>
    <n v="3"/>
    <n v="6"/>
    <n v="7"/>
    <n v="99.27"/>
    <n v="22.67"/>
  </r>
  <r>
    <x v="376"/>
    <x v="14"/>
    <s v="Kolkata Knight Riders"/>
    <n v="409"/>
    <n v="343"/>
    <n v="35"/>
    <n v="11"/>
    <n v="13"/>
    <n v="16"/>
    <n v="119.24"/>
    <n v="31.46"/>
  </r>
  <r>
    <x v="376"/>
    <x v="2"/>
    <s v="Kolkata Knight Riders"/>
    <n v="225"/>
    <n v="184"/>
    <n v="22"/>
    <n v="7"/>
    <n v="10"/>
    <n v="12"/>
    <n v="122.28"/>
    <n v="22.5"/>
  </r>
  <r>
    <x v="376"/>
    <x v="3"/>
    <s v="Kolkata Knight Riders"/>
    <n v="248"/>
    <n v="183"/>
    <n v="17"/>
    <n v="9"/>
    <n v="8"/>
    <n v="11"/>
    <n v="135.52000000000001"/>
    <n v="31"/>
  </r>
  <r>
    <x v="376"/>
    <x v="10"/>
    <s v="Kolkata Knight Riders"/>
    <n v="396"/>
    <n v="306"/>
    <n v="28"/>
    <n v="12"/>
    <n v="8"/>
    <n v="12"/>
    <n v="129.41"/>
    <n v="49.5"/>
  </r>
  <r>
    <x v="376"/>
    <x v="11"/>
    <s v="Sunrisers Hyderabad"/>
    <n v="284"/>
    <n v="246"/>
    <n v="22"/>
    <n v="5"/>
    <n v="11"/>
    <n v="13"/>
    <n v="115.45"/>
    <n v="25.82"/>
  </r>
  <r>
    <x v="376"/>
    <x v="15"/>
    <s v="Sunrisers Hyderabad"/>
    <n v="345"/>
    <n v="264"/>
    <n v="34"/>
    <n v="6"/>
    <n v="9"/>
    <n v="11"/>
    <n v="130.68"/>
    <n v="38.33"/>
  </r>
  <r>
    <x v="376"/>
    <x v="16"/>
    <s v="Sunrisers Hyderabad"/>
    <n v="425"/>
    <n v="333"/>
    <n v="35"/>
    <n v="18"/>
    <n v="13"/>
    <n v="15"/>
    <n v="127.63"/>
    <n v="32.69"/>
  </r>
  <r>
    <x v="376"/>
    <x v="17"/>
    <s v="Sunrisers Hyderabad"/>
    <n v="292"/>
    <n v="235"/>
    <n v="21"/>
    <n v="10"/>
    <n v="6"/>
    <n v="8"/>
    <n v="124.26"/>
    <n v="48.67"/>
  </r>
  <r>
    <x v="376"/>
    <x v="4"/>
    <s v="Lucknow Super Giants"/>
    <n v="88"/>
    <n v="80"/>
    <n v="9"/>
    <n v="2"/>
    <n v="6"/>
    <n v="6"/>
    <n v="110"/>
    <n v="14.67"/>
  </r>
  <r>
    <x v="376"/>
    <x v="5"/>
    <s v="Delhi Capitals"/>
    <n v="160"/>
    <n v="145"/>
    <n v="15"/>
    <n v="3"/>
    <n v="10"/>
    <n v="9"/>
    <n v="110.34"/>
    <n v="16"/>
  </r>
  <r>
    <x v="376"/>
    <x v="6"/>
    <s v="Kolkata Knight Riders"/>
    <n v="42"/>
    <n v="30"/>
    <n v="2"/>
    <n v="2"/>
    <n v="1"/>
    <n v="1"/>
    <n v="140"/>
    <n v="42"/>
  </r>
  <r>
    <x v="376"/>
    <x v="7"/>
    <s v="Kolkata Knight Riders"/>
    <n v="92"/>
    <n v="65"/>
    <n v="5"/>
    <n v="5"/>
    <n v="2"/>
    <n v="3"/>
    <n v="141.54"/>
    <n v="46"/>
  </r>
  <r>
    <x v="377"/>
    <x v="8"/>
    <s v="Delhi Daredevils"/>
    <n v="104"/>
    <n v="85"/>
    <n v="16"/>
    <n v="0"/>
    <n v="3"/>
    <n v="7"/>
    <n v="122.35"/>
    <n v="34.67"/>
  </r>
  <r>
    <x v="377"/>
    <x v="9"/>
    <s v="Delhi Daredevils"/>
    <n v="9"/>
    <n v="13"/>
    <n v="1"/>
    <n v="0"/>
    <n v="1"/>
    <n v="1"/>
    <n v="69.23"/>
    <n v="9"/>
  </r>
  <r>
    <x v="377"/>
    <x v="12"/>
    <s v="Kolkata Knight Riders"/>
    <n v="237"/>
    <n v="185"/>
    <n v="23"/>
    <n v="5"/>
    <n v="10"/>
    <n v="11"/>
    <n v="128.11000000000001"/>
    <n v="23.7"/>
  </r>
  <r>
    <x v="377"/>
    <x v="13"/>
    <s v="Kolkata Knight Riders"/>
    <n v="359"/>
    <n v="322"/>
    <n v="26"/>
    <n v="14"/>
    <n v="9"/>
    <n v="13"/>
    <n v="111.49"/>
    <n v="39.89"/>
  </r>
  <r>
    <x v="377"/>
    <x v="0"/>
    <s v="Kolkata Knight Riders"/>
    <n v="260"/>
    <n v="246"/>
    <n v="21"/>
    <n v="3"/>
    <n v="10"/>
    <n v="15"/>
    <n v="105.69"/>
    <n v="26"/>
  </r>
  <r>
    <x v="377"/>
    <x v="1"/>
    <s v="Kolkata Knight Riders"/>
    <n v="146"/>
    <n v="140"/>
    <n v="12"/>
    <n v="1"/>
    <n v="8"/>
    <n v="9"/>
    <n v="104.29"/>
    <n v="18.25"/>
  </r>
  <r>
    <x v="377"/>
    <x v="14"/>
    <s v="Delhi Daredevils"/>
    <n v="152"/>
    <n v="118"/>
    <n v="14"/>
    <n v="4"/>
    <n v="6"/>
    <n v="8"/>
    <n v="128.81"/>
    <n v="25.33"/>
  </r>
  <r>
    <x v="377"/>
    <x v="2"/>
    <s v="Delhi Daredevils"/>
    <n v="57"/>
    <n v="56"/>
    <n v="8"/>
    <n v="1"/>
    <n v="2"/>
    <n v="2"/>
    <n v="101.79"/>
    <n v="28.5"/>
  </r>
  <r>
    <x v="377"/>
    <x v="10"/>
    <s v="Rising Pune Supergiant"/>
    <n v="324"/>
    <n v="235"/>
    <n v="31"/>
    <n v="11"/>
    <n v="9"/>
    <n v="13"/>
    <n v="137.87"/>
    <n v="36"/>
  </r>
  <r>
    <x v="377"/>
    <x v="11"/>
    <s v="Kings XI Punjab"/>
    <n v="47"/>
    <n v="44"/>
    <n v="4"/>
    <n v="1"/>
    <n v="3"/>
    <n v="4"/>
    <n v="106.82"/>
    <n v="15.67"/>
  </r>
  <r>
    <x v="378"/>
    <x v="8"/>
    <s v="Chennai Super Kings"/>
    <n v="189"/>
    <n v="127"/>
    <n v="24"/>
    <n v="6"/>
    <n v="2"/>
    <n v="4"/>
    <n v="148.82"/>
    <n v="94.5"/>
  </r>
  <r>
    <x v="378"/>
    <x v="9"/>
    <s v="Chennai Super Kings"/>
    <n v="572"/>
    <n v="393"/>
    <n v="60"/>
    <n v="22"/>
    <n v="10"/>
    <n v="12"/>
    <n v="145.55000000000001"/>
    <n v="57.2"/>
  </r>
  <r>
    <x v="378"/>
    <x v="12"/>
    <s v="Chennai Super Kings"/>
    <n v="346"/>
    <n v="279"/>
    <n v="37"/>
    <n v="16"/>
    <n v="16"/>
    <n v="16"/>
    <n v="124.01"/>
    <n v="21.62"/>
  </r>
  <r>
    <x v="379"/>
    <x v="11"/>
    <s v="Royal Challengers Bangalore"/>
    <n v="77"/>
    <n v="46"/>
    <n v="4"/>
    <n v="6"/>
    <n v="4"/>
    <n v="4"/>
    <n v="167.39"/>
    <n v="19.25"/>
  </r>
  <r>
    <x v="379"/>
    <x v="15"/>
    <s v="Royal Challengers Bangalore"/>
    <n v="220"/>
    <n v="133"/>
    <n v="16"/>
    <n v="17"/>
    <n v="6"/>
    <n v="10"/>
    <n v="165.41"/>
    <n v="36.67"/>
  </r>
  <r>
    <x v="379"/>
    <x v="16"/>
    <s v="Royal Challengers Bangalore"/>
    <n v="12"/>
    <n v="16"/>
    <n v="1"/>
    <n v="0"/>
    <n v="3"/>
    <n v="3"/>
    <n v="75"/>
    <n v="4"/>
  </r>
  <r>
    <x v="379"/>
    <x v="17"/>
    <s v="Chennai Super Kings"/>
    <n v="357"/>
    <n v="260"/>
    <n v="31"/>
    <n v="19"/>
    <n v="14"/>
    <n v="15"/>
    <n v="137.31"/>
    <n v="25.5"/>
  </r>
  <r>
    <x v="379"/>
    <x v="4"/>
    <s v="Chennai Super Kings"/>
    <n v="244"/>
    <n v="177"/>
    <n v="24"/>
    <n v="11"/>
    <n v="10"/>
    <n v="10"/>
    <n v="137.85"/>
    <n v="24.4"/>
  </r>
  <r>
    <x v="379"/>
    <x v="5"/>
    <s v="Chennai Super Kings"/>
    <n v="124"/>
    <n v="87"/>
    <n v="12"/>
    <n v="6"/>
    <n v="7"/>
    <n v="10"/>
    <n v="142.53"/>
    <n v="17.71"/>
  </r>
  <r>
    <x v="379"/>
    <x v="6"/>
    <s v="Chennai Super Kings"/>
    <n v="128"/>
    <n v="98"/>
    <n v="7"/>
    <n v="8"/>
    <n v="5"/>
    <n v="5"/>
    <n v="130.61000000000001"/>
    <n v="25.6"/>
  </r>
  <r>
    <x v="379"/>
    <x v="7"/>
    <s v="Kolkata Knight Riders"/>
    <n v="5"/>
    <n v="14"/>
    <n v="0"/>
    <n v="0"/>
    <n v="2"/>
    <n v="2"/>
    <n v="35.71"/>
    <n v="2.5"/>
  </r>
  <r>
    <x v="380"/>
    <x v="8"/>
    <s v="Rajasthan Royals"/>
    <n v="0"/>
    <n v="1"/>
    <n v="0"/>
    <n v="0"/>
    <n v="0"/>
    <n v="1"/>
    <n v="0"/>
    <m/>
  </r>
  <r>
    <x v="380"/>
    <x v="9"/>
    <s v="Rajasthan Royals"/>
    <n v="33"/>
    <n v="26"/>
    <n v="5"/>
    <n v="0"/>
    <n v="3"/>
    <n v="5"/>
    <n v="126.92"/>
    <n v="11"/>
  </r>
  <r>
    <x v="380"/>
    <x v="12"/>
    <s v="Rajasthan Royals"/>
    <n v="4"/>
    <n v="5"/>
    <n v="0"/>
    <n v="0"/>
    <n v="0"/>
    <n v="2"/>
    <n v="80"/>
    <m/>
  </r>
  <r>
    <x v="380"/>
    <x v="13"/>
    <s v="Mumbai Indians"/>
    <n v="0"/>
    <n v="1"/>
    <n v="0"/>
    <n v="0"/>
    <n v="1"/>
    <n v="1"/>
    <n v="0"/>
    <n v="0"/>
  </r>
  <r>
    <x v="380"/>
    <x v="0"/>
    <s v="Mumbai Indians"/>
    <n v="2"/>
    <n v="7"/>
    <n v="0"/>
    <n v="0"/>
    <n v="0"/>
    <n v="2"/>
    <n v="28.57"/>
    <m/>
  </r>
  <r>
    <x v="380"/>
    <x v="10"/>
    <s v="Gujarat Lions"/>
    <n v="0"/>
    <n v="1"/>
    <n v="0"/>
    <n v="0"/>
    <n v="1"/>
    <n v="1"/>
    <n v="0"/>
    <n v="0"/>
  </r>
  <r>
    <x v="381"/>
    <x v="1"/>
    <s v="Chennai Super Kings"/>
    <n v="0"/>
    <n v="5"/>
    <n v="0"/>
    <n v="0"/>
    <n v="1"/>
    <n v="2"/>
    <n v="0"/>
    <n v="0"/>
  </r>
  <r>
    <x v="381"/>
    <x v="14"/>
    <s v="Chennai Super Kings"/>
    <n v="1"/>
    <n v="3"/>
    <n v="0"/>
    <n v="0"/>
    <n v="0"/>
    <n v="1"/>
    <n v="33.33"/>
    <m/>
  </r>
  <r>
    <x v="381"/>
    <x v="2"/>
    <s v="Chennai Super Kings"/>
    <n v="28"/>
    <n v="18"/>
    <n v="1"/>
    <n v="2"/>
    <n v="2"/>
    <n v="5"/>
    <n v="155.56"/>
    <n v="14"/>
  </r>
  <r>
    <x v="381"/>
    <x v="3"/>
    <s v="Kings XI Punjab"/>
    <n v="32"/>
    <n v="26"/>
    <n v="3"/>
    <n v="1"/>
    <n v="4"/>
    <n v="5"/>
    <n v="123.08"/>
    <n v="8"/>
  </r>
  <r>
    <x v="381"/>
    <x v="10"/>
    <s v="Kings XI Punjab"/>
    <n v="51"/>
    <n v="50"/>
    <n v="4"/>
    <n v="1"/>
    <n v="6"/>
    <n v="7"/>
    <n v="102"/>
    <n v="8.5"/>
  </r>
  <r>
    <x v="381"/>
    <x v="11"/>
    <s v="Kings XI Punjab"/>
    <n v="10"/>
    <n v="13"/>
    <n v="1"/>
    <n v="0"/>
    <n v="1"/>
    <n v="4"/>
    <n v="76.92"/>
    <n v="10"/>
  </r>
  <r>
    <x v="381"/>
    <x v="15"/>
    <s v="Chennai Super Kings"/>
    <n v="0"/>
    <n v="2"/>
    <n v="0"/>
    <n v="0"/>
    <n v="0"/>
    <n v="1"/>
    <n v="0"/>
    <m/>
  </r>
  <r>
    <x v="381"/>
    <x v="5"/>
    <s v="Gujarat Titans"/>
    <n v="0"/>
    <n v="1"/>
    <n v="0"/>
    <n v="0"/>
    <n v="0"/>
    <n v="1"/>
    <n v="0"/>
    <m/>
  </r>
  <r>
    <x v="381"/>
    <x v="6"/>
    <s v="Gujarat Titans"/>
    <n v="2"/>
    <n v="15"/>
    <n v="0"/>
    <n v="0"/>
    <n v="2"/>
    <n v="2"/>
    <n v="13.33"/>
    <n v="1"/>
  </r>
  <r>
    <x v="381"/>
    <x v="7"/>
    <s v="Delhi Capitals"/>
    <n v="1"/>
    <n v="3"/>
    <n v="0"/>
    <n v="0"/>
    <n v="1"/>
    <n v="2"/>
    <n v="33.33"/>
    <n v="1"/>
  </r>
  <r>
    <x v="382"/>
    <x v="0"/>
    <s v="Pune Warriors"/>
    <n v="124"/>
    <n v="123"/>
    <n v="7"/>
    <n v="5"/>
    <n v="7"/>
    <n v="8"/>
    <n v="100.81"/>
    <n v="17.71"/>
  </r>
  <r>
    <x v="382"/>
    <x v="1"/>
    <s v="Pune Warriors"/>
    <n v="8"/>
    <n v="18"/>
    <n v="1"/>
    <n v="0"/>
    <n v="2"/>
    <n v="2"/>
    <n v="44.44"/>
    <n v="4"/>
  </r>
  <r>
    <x v="382"/>
    <x v="10"/>
    <s v="Delhi Daredevils"/>
    <n v="29"/>
    <n v="31"/>
    <n v="1"/>
    <n v="2"/>
    <n v="3"/>
    <n v="4"/>
    <n v="93.55"/>
    <n v="9.67"/>
  </r>
  <r>
    <x v="383"/>
    <x v="9"/>
    <s v="Kolkata Knight Riders"/>
    <n v="167"/>
    <n v="131"/>
    <n v="19"/>
    <n v="1"/>
    <n v="3"/>
    <n v="5"/>
    <n v="127.48"/>
    <n v="55.67"/>
  </r>
  <r>
    <x v="384"/>
    <x v="7"/>
    <s v="Lucknow Super Giants"/>
    <n v="14"/>
    <n v="12"/>
    <n v="1"/>
    <n v="1"/>
    <n v="1"/>
    <n v="1"/>
    <n v="116.67"/>
    <n v="14"/>
  </r>
  <r>
    <x v="385"/>
    <x v="3"/>
    <s v="Kings XI Punjab"/>
    <n v="146"/>
    <n v="108"/>
    <n v="13"/>
    <n v="4"/>
    <n v="4"/>
    <n v="5"/>
    <n v="135.19"/>
    <n v="36.5"/>
  </r>
  <r>
    <x v="385"/>
    <x v="10"/>
    <s v="Kings XI Punjab"/>
    <n v="17"/>
    <n v="24"/>
    <n v="1"/>
    <n v="0"/>
    <n v="3"/>
    <n v="3"/>
    <n v="70.83"/>
    <n v="5.67"/>
  </r>
  <r>
    <x v="385"/>
    <x v="11"/>
    <s v="Kings XI Punjab"/>
    <n v="99"/>
    <n v="75"/>
    <n v="6"/>
    <n v="4"/>
    <n v="4"/>
    <n v="7"/>
    <n v="132"/>
    <n v="24.75"/>
  </r>
  <r>
    <x v="385"/>
    <x v="15"/>
    <s v="Royal Challengers Bangalore"/>
    <n v="211"/>
    <n v="156"/>
    <n v="14"/>
    <n v="10"/>
    <n v="4"/>
    <n v="10"/>
    <n v="135.26"/>
    <n v="52.75"/>
  </r>
  <r>
    <x v="385"/>
    <x v="16"/>
    <s v="Delhi Capitals"/>
    <n v="352"/>
    <n v="235"/>
    <n v="31"/>
    <n v="16"/>
    <n v="15"/>
    <n v="17"/>
    <n v="149.79"/>
    <n v="23.47"/>
  </r>
  <r>
    <x v="385"/>
    <x v="17"/>
    <s v="Delhi Capitals"/>
    <n v="89"/>
    <n v="71"/>
    <n v="11"/>
    <n v="1"/>
    <n v="4"/>
    <n v="7"/>
    <n v="125.35"/>
    <n v="22.25"/>
  </r>
  <r>
    <x v="385"/>
    <x v="4"/>
    <s v="Lucknow Super Giants"/>
    <n v="156"/>
    <n v="106"/>
    <n v="7"/>
    <n v="13"/>
    <n v="7"/>
    <n v="10"/>
    <n v="147.16999999999999"/>
    <n v="22.29"/>
  </r>
  <r>
    <x v="385"/>
    <x v="5"/>
    <s v="Lucknow Super Giants"/>
    <n v="408"/>
    <n v="271"/>
    <n v="28"/>
    <n v="27"/>
    <n v="14"/>
    <n v="15"/>
    <n v="150.55000000000001"/>
    <n v="29.14"/>
  </r>
  <r>
    <x v="385"/>
    <x v="6"/>
    <s v="Lucknow Super Giants"/>
    <n v="388"/>
    <n v="261"/>
    <n v="39"/>
    <n v="16"/>
    <n v="12"/>
    <n v="14"/>
    <n v="148.66"/>
    <n v="32.33"/>
  </r>
  <r>
    <x v="385"/>
    <x v="7"/>
    <s v="Punjab Kings"/>
    <n v="160"/>
    <n v="85"/>
    <n v="8"/>
    <n v="15"/>
    <n v="6"/>
    <n v="11"/>
    <n v="188.24"/>
    <n v="26.67"/>
  </r>
  <r>
    <x v="386"/>
    <x v="12"/>
    <s v="Deccan Chargers"/>
    <n v="28"/>
    <n v="30"/>
    <n v="1"/>
    <n v="1"/>
    <n v="2"/>
    <n v="2"/>
    <n v="93.33"/>
    <n v="14"/>
  </r>
  <r>
    <x v="386"/>
    <x v="13"/>
    <s v="Pune Warriors"/>
    <n v="50"/>
    <n v="49"/>
    <n v="2"/>
    <n v="3"/>
    <n v="2"/>
    <n v="3"/>
    <n v="102.04"/>
    <n v="25"/>
  </r>
  <r>
    <x v="386"/>
    <x v="1"/>
    <s v="Pune Warriors"/>
    <n v="140"/>
    <n v="106"/>
    <n v="6"/>
    <n v="10"/>
    <n v="7"/>
    <n v="8"/>
    <n v="132.08000000000001"/>
    <n v="20"/>
  </r>
  <r>
    <x v="386"/>
    <x v="3"/>
    <s v="Rising Pune Supergiants"/>
    <n v="7"/>
    <n v="11"/>
    <n v="0"/>
    <n v="0"/>
    <n v="1"/>
    <n v="1"/>
    <n v="63.64"/>
    <n v="7"/>
  </r>
  <r>
    <x v="386"/>
    <x v="16"/>
    <s v="Sunrisers Hyderabad"/>
    <n v="0"/>
    <n v="1"/>
    <n v="0"/>
    <n v="0"/>
    <n v="1"/>
    <n v="1"/>
    <n v="0"/>
    <n v="0"/>
  </r>
  <r>
    <x v="386"/>
    <x v="4"/>
    <s v="Delhi Capitals"/>
    <n v="251"/>
    <n v="189"/>
    <n v="19"/>
    <n v="14"/>
    <n v="7"/>
    <n v="8"/>
    <n v="132.80000000000001"/>
    <n v="35.86"/>
  </r>
  <r>
    <x v="386"/>
    <x v="5"/>
    <s v="Delhi Capitals"/>
    <n v="128"/>
    <n v="97"/>
    <n v="11"/>
    <n v="7"/>
    <n v="8"/>
    <n v="9"/>
    <n v="131.96"/>
    <n v="16"/>
  </r>
  <r>
    <x v="386"/>
    <x v="6"/>
    <s v="Delhi Capitals"/>
    <n v="61"/>
    <n v="38"/>
    <n v="9"/>
    <n v="3"/>
    <n v="4"/>
    <n v="4"/>
    <n v="160.53"/>
    <n v="15.25"/>
  </r>
  <r>
    <x v="386"/>
    <x v="7"/>
    <s v="Lucknow Super Giants"/>
    <n v="627"/>
    <n v="381"/>
    <n v="56"/>
    <n v="37"/>
    <n v="13"/>
    <n v="13"/>
    <n v="164.57"/>
    <n v="48.23"/>
  </r>
  <r>
    <x v="387"/>
    <x v="7"/>
    <s v="Royal Challengers Bengaluru"/>
    <n v="1"/>
    <n v="4"/>
    <n v="0"/>
    <n v="0"/>
    <n v="1"/>
    <n v="1"/>
    <n v="25"/>
    <n v="1"/>
  </r>
  <r>
    <x v="388"/>
    <x v="12"/>
    <s v="Kings XI Punjab"/>
    <n v="218"/>
    <n v="177"/>
    <n v="27"/>
    <n v="6"/>
    <n v="9"/>
    <n v="10"/>
    <n v="123.16"/>
    <n v="24.22"/>
  </r>
  <r>
    <x v="388"/>
    <x v="13"/>
    <s v="Kolkata Knight Riders"/>
    <n v="72"/>
    <n v="89"/>
    <n v="8"/>
    <n v="0"/>
    <n v="4"/>
    <n v="5"/>
    <n v="80.900000000000006"/>
    <n v="18"/>
  </r>
  <r>
    <x v="388"/>
    <x v="0"/>
    <s v="Kolkata Knight Riders"/>
    <n v="213"/>
    <n v="160"/>
    <n v="16"/>
    <n v="10"/>
    <n v="7"/>
    <n v="7"/>
    <n v="133.12"/>
    <n v="30.43"/>
  </r>
  <r>
    <x v="388"/>
    <x v="1"/>
    <s v="Kolkata Knight Riders"/>
    <n v="255"/>
    <n v="235"/>
    <n v="36"/>
    <n v="6"/>
    <n v="14"/>
    <n v="14"/>
    <n v="108.51"/>
    <n v="18.21"/>
  </r>
  <r>
    <x v="388"/>
    <x v="14"/>
    <s v="Kolkata Knight Riders"/>
    <n v="3"/>
    <n v="9"/>
    <n v="0"/>
    <n v="0"/>
    <n v="1"/>
    <n v="1"/>
    <n v="33.33"/>
    <n v="3"/>
  </r>
  <r>
    <x v="388"/>
    <x v="2"/>
    <s v="Royal Challengers Bangalore"/>
    <n v="37"/>
    <n v="30"/>
    <n v="6"/>
    <n v="1"/>
    <n v="2"/>
    <n v="2"/>
    <n v="123.33"/>
    <n v="18.5"/>
  </r>
  <r>
    <x v="389"/>
    <x v="8"/>
    <s v="Chennai Super Kings"/>
    <n v="414"/>
    <n v="310"/>
    <n v="38"/>
    <n v="15"/>
    <n v="11"/>
    <n v="14"/>
    <n v="133.55000000000001"/>
    <n v="37.64"/>
  </r>
  <r>
    <x v="389"/>
    <x v="9"/>
    <s v="Chennai Super Kings"/>
    <n v="332"/>
    <n v="261"/>
    <n v="22"/>
    <n v="9"/>
    <n v="8"/>
    <n v="13"/>
    <n v="127.2"/>
    <n v="41.5"/>
  </r>
  <r>
    <x v="389"/>
    <x v="12"/>
    <s v="Chennai Super Kings"/>
    <n v="287"/>
    <n v="210"/>
    <n v="26"/>
    <n v="8"/>
    <n v="9"/>
    <n v="11"/>
    <n v="136.66999999999999"/>
    <n v="31.89"/>
  </r>
  <r>
    <x v="389"/>
    <x v="13"/>
    <s v="Chennai Super Kings"/>
    <n v="392"/>
    <n v="245"/>
    <n v="25"/>
    <n v="23"/>
    <n v="11"/>
    <n v="13"/>
    <n v="160"/>
    <n v="35.64"/>
  </r>
  <r>
    <x v="389"/>
    <x v="0"/>
    <s v="Chennai Super Kings"/>
    <n v="358"/>
    <n v="275"/>
    <n v="26"/>
    <n v="9"/>
    <n v="11"/>
    <n v="17"/>
    <n v="130.18"/>
    <n v="32.549999999999997"/>
  </r>
  <r>
    <x v="389"/>
    <x v="1"/>
    <s v="Chennai Super Kings"/>
    <n v="461"/>
    <n v="280"/>
    <n v="32"/>
    <n v="25"/>
    <n v="12"/>
    <n v="16"/>
    <n v="164.64"/>
    <n v="38.42"/>
  </r>
  <r>
    <x v="389"/>
    <x v="14"/>
    <s v="Chennai Super Kings"/>
    <n v="371"/>
    <n v="247"/>
    <n v="22"/>
    <n v="20"/>
    <n v="6"/>
    <n v="15"/>
    <n v="150.19999999999999"/>
    <n v="61.83"/>
  </r>
  <r>
    <x v="389"/>
    <x v="2"/>
    <s v="Chennai Super Kings"/>
    <n v="372"/>
    <n v="305"/>
    <n v="27"/>
    <n v="17"/>
    <n v="16"/>
    <n v="17"/>
    <n v="121.97"/>
    <n v="23.25"/>
  </r>
  <r>
    <x v="389"/>
    <x v="3"/>
    <s v="Rising Pune Supergiants"/>
    <n v="284"/>
    <n v="210"/>
    <n v="18"/>
    <n v="14"/>
    <n v="8"/>
    <n v="12"/>
    <n v="135.24"/>
    <n v="35.5"/>
  </r>
  <r>
    <x v="389"/>
    <x v="10"/>
    <s v="Rising Pune Supergiant"/>
    <n v="290"/>
    <n v="250"/>
    <n v="15"/>
    <n v="16"/>
    <n v="13"/>
    <n v="15"/>
    <n v="116"/>
    <n v="22.31"/>
  </r>
  <r>
    <x v="389"/>
    <x v="11"/>
    <s v="Chennai Super Kings"/>
    <n v="455"/>
    <n v="301"/>
    <n v="24"/>
    <n v="30"/>
    <n v="7"/>
    <n v="15"/>
    <n v="151.16"/>
    <n v="65"/>
  </r>
  <r>
    <x v="389"/>
    <x v="15"/>
    <s v="Chennai Super Kings"/>
    <n v="416"/>
    <n v="305"/>
    <n v="22"/>
    <n v="23"/>
    <n v="6"/>
    <n v="12"/>
    <n v="136.38999999999999"/>
    <n v="69.33"/>
  </r>
  <r>
    <x v="389"/>
    <x v="16"/>
    <s v="Chennai Super Kings"/>
    <n v="200"/>
    <n v="172"/>
    <n v="16"/>
    <n v="7"/>
    <n v="8"/>
    <n v="12"/>
    <n v="116.28"/>
    <n v="25"/>
  </r>
  <r>
    <x v="389"/>
    <x v="17"/>
    <s v="Chennai Super Kings"/>
    <n v="114"/>
    <n v="107"/>
    <n v="12"/>
    <n v="3"/>
    <n v="8"/>
    <n v="11"/>
    <n v="106.54"/>
    <n v="14.25"/>
  </r>
  <r>
    <x v="389"/>
    <x v="4"/>
    <s v="Chennai Super Kings"/>
    <n v="232"/>
    <n v="186"/>
    <n v="21"/>
    <n v="10"/>
    <n v="8"/>
    <n v="12"/>
    <n v="124.73"/>
    <n v="29"/>
  </r>
  <r>
    <x v="389"/>
    <x v="5"/>
    <s v="Chennai Super Kings"/>
    <n v="104"/>
    <n v="54"/>
    <n v="3"/>
    <n v="10"/>
    <n v="4"/>
    <n v="12"/>
    <n v="192.59"/>
    <n v="26"/>
  </r>
  <r>
    <x v="389"/>
    <x v="6"/>
    <s v="Chennai Super Kings"/>
    <n v="161"/>
    <n v="72"/>
    <n v="14"/>
    <n v="13"/>
    <n v="3"/>
    <n v="11"/>
    <n v="223.61"/>
    <n v="53.67"/>
  </r>
  <r>
    <x v="389"/>
    <x v="7"/>
    <s v="Chennai Super Kings"/>
    <n v="196"/>
    <n v="145"/>
    <n v="12"/>
    <n v="12"/>
    <n v="9"/>
    <n v="13"/>
    <n v="135.16999999999999"/>
    <n v="21.78"/>
  </r>
  <r>
    <x v="390"/>
    <x v="8"/>
    <s v="Chennai Super Kings"/>
    <n v="35"/>
    <n v="22"/>
    <n v="2"/>
    <n v="3"/>
    <n v="1"/>
    <n v="5"/>
    <n v="159.09"/>
    <n v="35"/>
  </r>
  <r>
    <x v="390"/>
    <x v="9"/>
    <s v="Chennai Super Kings"/>
    <n v="13"/>
    <n v="7"/>
    <n v="0"/>
    <n v="2"/>
    <n v="2"/>
    <n v="2"/>
    <n v="185.71"/>
    <n v="6.5"/>
  </r>
  <r>
    <x v="390"/>
    <x v="12"/>
    <s v="Chennai Super Kings"/>
    <n v="2"/>
    <n v="6"/>
    <n v="0"/>
    <n v="0"/>
    <n v="1"/>
    <n v="1"/>
    <n v="33.33"/>
    <n v="2"/>
  </r>
  <r>
    <x v="390"/>
    <x v="13"/>
    <s v="Deccan Chargers"/>
    <n v="0"/>
    <n v="2"/>
    <n v="0"/>
    <n v="0"/>
    <n v="1"/>
    <n v="2"/>
    <n v="0"/>
    <n v="0"/>
  </r>
  <r>
    <x v="390"/>
    <x v="0"/>
    <s v="Deccan Chargers"/>
    <n v="4"/>
    <n v="8"/>
    <n v="0"/>
    <n v="0"/>
    <n v="1"/>
    <n v="1"/>
    <n v="50"/>
    <n v="4"/>
  </r>
  <r>
    <x v="390"/>
    <x v="1"/>
    <s v="Kings XI Punjab"/>
    <n v="45"/>
    <n v="25"/>
    <n v="4"/>
    <n v="3"/>
    <n v="3"/>
    <n v="4"/>
    <n v="180"/>
    <n v="15"/>
  </r>
  <r>
    <x v="391"/>
    <x v="13"/>
    <s v="Delhi Daredevils"/>
    <n v="22"/>
    <n v="33"/>
    <n v="0"/>
    <n v="0"/>
    <n v="3"/>
    <n v="3"/>
    <n v="66.67"/>
    <n v="7.33"/>
  </r>
  <r>
    <x v="391"/>
    <x v="4"/>
    <s v="Gujarat Titans"/>
    <n v="157"/>
    <n v="138"/>
    <n v="23"/>
    <n v="2"/>
    <n v="9"/>
    <n v="10"/>
    <n v="113.77"/>
    <n v="17.440000000000001"/>
  </r>
  <r>
    <x v="391"/>
    <x v="6"/>
    <s v="Gujarat Titans"/>
    <n v="4"/>
    <n v="6"/>
    <n v="0"/>
    <n v="0"/>
    <n v="1"/>
    <n v="1"/>
    <n v="66.67"/>
    <n v="4"/>
  </r>
  <r>
    <x v="392"/>
    <x v="8"/>
    <s v="Royal Challengers Bangalore"/>
    <n v="225"/>
    <n v="177"/>
    <n v="24"/>
    <n v="6"/>
    <n v="8"/>
    <n v="10"/>
    <n v="127.12"/>
    <n v="28.12"/>
  </r>
  <r>
    <x v="392"/>
    <x v="9"/>
    <s v="Royal Challengers Bangalore"/>
    <n v="150"/>
    <n v="114"/>
    <n v="8"/>
    <n v="6"/>
    <n v="5"/>
    <n v="9"/>
    <n v="131.58000000000001"/>
    <n v="30"/>
  </r>
  <r>
    <x v="392"/>
    <x v="12"/>
    <s v="Royal Challengers Bangalore"/>
    <n v="13"/>
    <n v="10"/>
    <n v="0"/>
    <n v="1"/>
    <n v="1"/>
    <n v="2"/>
    <n v="130"/>
    <n v="13"/>
  </r>
  <r>
    <x v="392"/>
    <x v="13"/>
    <s v="Kolkata Knight Riders"/>
    <n v="6"/>
    <n v="6"/>
    <n v="0"/>
    <n v="0"/>
    <n v="1"/>
    <n v="2"/>
    <n v="100"/>
    <n v="6"/>
  </r>
  <r>
    <x v="393"/>
    <x v="5"/>
    <s v="Punjab Kings"/>
    <n v="117"/>
    <n v="92"/>
    <n v="15"/>
    <n v="4"/>
    <n v="6"/>
    <n v="6"/>
    <n v="127.17"/>
    <n v="19.5"/>
  </r>
  <r>
    <x v="394"/>
    <x v="12"/>
    <s v="Kolkata Knight Riders"/>
    <n v="4"/>
    <n v="11"/>
    <n v="1"/>
    <n v="0"/>
    <n v="2"/>
    <n v="2"/>
    <n v="36.36"/>
    <n v="2"/>
  </r>
  <r>
    <x v="394"/>
    <x v="13"/>
    <s v="Kings XI Punjab"/>
    <n v="47"/>
    <n v="41"/>
    <n v="4"/>
    <n v="1"/>
    <n v="4"/>
    <n v="5"/>
    <n v="114.63"/>
    <n v="11.75"/>
  </r>
  <r>
    <x v="394"/>
    <x v="0"/>
    <s v="Kings XI Punjab"/>
    <n v="432"/>
    <n v="341"/>
    <n v="53"/>
    <n v="7"/>
    <n v="18"/>
    <n v="16"/>
    <n v="126.69"/>
    <n v="24"/>
  </r>
  <r>
    <x v="394"/>
    <x v="1"/>
    <s v="Kings XI Punjab"/>
    <n v="260"/>
    <n v="223"/>
    <n v="36"/>
    <n v="0"/>
    <n v="12"/>
    <n v="14"/>
    <n v="116.59"/>
    <n v="21.67"/>
  </r>
  <r>
    <x v="394"/>
    <x v="14"/>
    <s v="Kings XI Punjab"/>
    <n v="24"/>
    <n v="25"/>
    <n v="2"/>
    <n v="0"/>
    <n v="3"/>
    <n v="3"/>
    <n v="96"/>
    <n v="8"/>
  </r>
  <r>
    <x v="394"/>
    <x v="2"/>
    <s v="Royal Challengers Bangalore"/>
    <n v="157"/>
    <n v="100"/>
    <n v="17"/>
    <n v="6"/>
    <n v="7"/>
    <n v="8"/>
    <n v="157"/>
    <n v="22.43"/>
  </r>
  <r>
    <x v="394"/>
    <x v="10"/>
    <s v="Royal Challengers Bangalore"/>
    <n v="188"/>
    <n v="177"/>
    <n v="21"/>
    <n v="4"/>
    <n v="11"/>
    <n v="10"/>
    <n v="106.21"/>
    <n v="17.09"/>
  </r>
  <r>
    <x v="394"/>
    <x v="11"/>
    <s v="Royal Challengers Bangalore"/>
    <n v="252"/>
    <n v="186"/>
    <n v="16"/>
    <n v="11"/>
    <n v="10"/>
    <n v="13"/>
    <n v="135.47999999999999"/>
    <n v="25.2"/>
  </r>
  <r>
    <x v="394"/>
    <x v="15"/>
    <s v="Kings XI Punjab"/>
    <n v="165"/>
    <n v="120"/>
    <n v="10"/>
    <n v="4"/>
    <n v="5"/>
    <n v="12"/>
    <n v="137.5"/>
    <n v="33"/>
  </r>
  <r>
    <x v="394"/>
    <x v="16"/>
    <s v="Kings XI Punjab"/>
    <n v="130"/>
    <n v="109"/>
    <n v="10"/>
    <n v="4"/>
    <n v="6"/>
    <n v="7"/>
    <n v="119.27"/>
    <n v="21.67"/>
  </r>
  <r>
    <x v="394"/>
    <x v="17"/>
    <s v="Punjab Kings"/>
    <n v="15"/>
    <n v="13"/>
    <n v="2"/>
    <n v="0"/>
    <n v="1"/>
    <n v="1"/>
    <n v="115.38"/>
    <n v="15"/>
  </r>
  <r>
    <x v="394"/>
    <x v="4"/>
    <s v="Delhi Capitals"/>
    <n v="18"/>
    <n v="23"/>
    <n v="4"/>
    <n v="0"/>
    <n v="3"/>
    <n v="3"/>
    <n v="78.260000000000005"/>
    <n v="6"/>
  </r>
  <r>
    <x v="394"/>
    <x v="5"/>
    <s v="Kolkata Knight Riders"/>
    <n v="14"/>
    <n v="16"/>
    <n v="0"/>
    <n v="1"/>
    <n v="3"/>
    <n v="3"/>
    <n v="87.5"/>
    <n v="4.67"/>
  </r>
  <r>
    <x v="395"/>
    <x v="9"/>
    <s v="Kolkata Knight Riders"/>
    <n v="2"/>
    <n v="2"/>
    <n v="0"/>
    <n v="0"/>
    <n v="0"/>
    <n v="1"/>
    <n v="100"/>
    <m/>
  </r>
  <r>
    <x v="396"/>
    <x v="6"/>
    <s v="Royal Challengers Bengaluru"/>
    <n v="0"/>
    <n v="1"/>
    <n v="0"/>
    <n v="0"/>
    <n v="0"/>
    <n v="1"/>
    <n v="0"/>
    <m/>
  </r>
  <r>
    <x v="397"/>
    <x v="8"/>
    <s v="Royal Challengers Bangalore"/>
    <n v="117"/>
    <n v="81"/>
    <n v="10"/>
    <n v="6"/>
    <n v="9"/>
    <n v="8"/>
    <n v="144.44"/>
    <n v="13"/>
  </r>
  <r>
    <x v="398"/>
    <x v="9"/>
    <s v="Mumbai Indians"/>
    <n v="2"/>
    <n v="10"/>
    <n v="0"/>
    <n v="0"/>
    <n v="1"/>
    <n v="1"/>
    <n v="20"/>
    <n v="2"/>
  </r>
  <r>
    <x v="399"/>
    <x v="8"/>
    <s v="Delhi Daredevils"/>
    <n v="3"/>
    <n v="6"/>
    <n v="0"/>
    <n v="0"/>
    <n v="2"/>
    <n v="2"/>
    <n v="50"/>
    <n v="1.5"/>
  </r>
  <r>
    <x v="400"/>
    <x v="8"/>
    <s v="Kolkata Knight Riders"/>
    <n v="64"/>
    <n v="83"/>
    <n v="7"/>
    <n v="2"/>
    <n v="8"/>
    <n v="8"/>
    <n v="77.11"/>
    <n v="8"/>
  </r>
  <r>
    <x v="401"/>
    <x v="10"/>
    <s v="Sunrisers Hyderabad"/>
    <n v="2"/>
    <n v="3"/>
    <n v="0"/>
    <n v="0"/>
    <n v="1"/>
    <n v="1"/>
    <n v="66.67"/>
    <n v="2"/>
  </r>
  <r>
    <x v="401"/>
    <x v="11"/>
    <s v="Sunrisers Hyderabad"/>
    <n v="18"/>
    <n v="12"/>
    <n v="3"/>
    <n v="0"/>
    <n v="2"/>
    <n v="2"/>
    <n v="150"/>
    <n v="9"/>
  </r>
  <r>
    <x v="401"/>
    <x v="15"/>
    <s v="Sunrisers Hyderabad"/>
    <n v="121"/>
    <n v="77"/>
    <n v="8"/>
    <n v="8"/>
    <n v="6"/>
    <n v="7"/>
    <n v="157.13999999999999"/>
    <n v="20.170000000000002"/>
  </r>
  <r>
    <x v="401"/>
    <x v="16"/>
    <s v="Sunrisers Hyderabad"/>
    <n v="11"/>
    <n v="8"/>
    <n v="2"/>
    <n v="0"/>
    <n v="1"/>
    <n v="1"/>
    <n v="137.5"/>
    <n v="11"/>
  </r>
  <r>
    <x v="401"/>
    <x v="17"/>
    <s v="Sunrisers Hyderabad"/>
    <n v="34"/>
    <n v="20"/>
    <n v="3"/>
    <n v="2"/>
    <n v="3"/>
    <n v="3"/>
    <n v="170"/>
    <n v="11.33"/>
  </r>
  <r>
    <x v="401"/>
    <x v="6"/>
    <s v="Mumbai Indians"/>
    <n v="35"/>
    <n v="31"/>
    <n v="2"/>
    <n v="2"/>
    <n v="4"/>
    <n v="5"/>
    <n v="112.9"/>
    <n v="8.75"/>
  </r>
  <r>
    <x v="402"/>
    <x v="1"/>
    <s v="Kolkata Knight Riders"/>
    <n v="5"/>
    <n v="10"/>
    <n v="0"/>
    <n v="0"/>
    <n v="1"/>
    <n v="1"/>
    <n v="50"/>
    <n v="5"/>
  </r>
  <r>
    <x v="402"/>
    <x v="14"/>
    <s v="Delhi Daredevils"/>
    <n v="3"/>
    <n v="7"/>
    <n v="0"/>
    <n v="0"/>
    <n v="2"/>
    <n v="4"/>
    <n v="42.86"/>
    <n v="1.5"/>
  </r>
  <r>
    <x v="402"/>
    <x v="3"/>
    <s v="Delhi Daredevils"/>
    <n v="2"/>
    <n v="4"/>
    <n v="0"/>
    <n v="0"/>
    <n v="0"/>
    <n v="2"/>
    <n v="50"/>
    <m/>
  </r>
  <r>
    <x v="402"/>
    <x v="10"/>
    <s v="Delhi Daredevils"/>
    <n v="36"/>
    <n v="24"/>
    <n v="4"/>
    <n v="2"/>
    <n v="4"/>
    <n v="6"/>
    <n v="150"/>
    <n v="9"/>
  </r>
  <r>
    <x v="402"/>
    <x v="11"/>
    <s v="Delhi Daredevils"/>
    <n v="7"/>
    <n v="6"/>
    <n v="1"/>
    <n v="0"/>
    <n v="1"/>
    <n v="1"/>
    <n v="116.67"/>
    <n v="7"/>
  </r>
  <r>
    <x v="402"/>
    <x v="15"/>
    <s v="Kings XI Punjab"/>
    <n v="1"/>
    <n v="2"/>
    <n v="0"/>
    <n v="0"/>
    <n v="1"/>
    <n v="2"/>
    <n v="50"/>
    <n v="1"/>
  </r>
  <r>
    <x v="402"/>
    <x v="16"/>
    <s v="Kings XI Punjab"/>
    <n v="2"/>
    <n v="3"/>
    <n v="0"/>
    <n v="0"/>
    <n v="1"/>
    <n v="2"/>
    <n v="66.67"/>
    <n v="2"/>
  </r>
  <r>
    <x v="402"/>
    <x v="17"/>
    <s v="Punjab Kings"/>
    <n v="13"/>
    <n v="17"/>
    <n v="0"/>
    <n v="0"/>
    <n v="1"/>
    <n v="3"/>
    <n v="76.47"/>
    <n v="13"/>
  </r>
  <r>
    <x v="402"/>
    <x v="5"/>
    <s v="Gujarat Titans"/>
    <n v="5"/>
    <n v="6"/>
    <n v="1"/>
    <n v="0"/>
    <n v="2"/>
    <n v="2"/>
    <n v="83.33"/>
    <n v="2.5"/>
  </r>
  <r>
    <x v="402"/>
    <x v="7"/>
    <s v="Sunrisers Hyderabad"/>
    <n v="10"/>
    <n v="10"/>
    <n v="1"/>
    <n v="0"/>
    <n v="1"/>
    <n v="4"/>
    <n v="100"/>
    <n v="10"/>
  </r>
  <r>
    <x v="403"/>
    <x v="11"/>
    <s v="Royal Challengers Bangalore"/>
    <n v="25"/>
    <n v="22"/>
    <n v="2"/>
    <n v="1"/>
    <n v="2"/>
    <n v="3"/>
    <n v="113.64"/>
    <n v="12.5"/>
  </r>
  <r>
    <x v="403"/>
    <x v="15"/>
    <s v="Royal Challengers Bangalore"/>
    <n v="4"/>
    <n v="12"/>
    <n v="0"/>
    <n v="0"/>
    <n v="2"/>
    <n v="3"/>
    <n v="33.33"/>
    <n v="2"/>
  </r>
  <r>
    <x v="403"/>
    <x v="16"/>
    <s v="Royal Challengers Bangalore"/>
    <n v="17"/>
    <n v="14"/>
    <n v="2"/>
    <n v="0"/>
    <n v="1"/>
    <n v="3"/>
    <n v="121.43"/>
    <n v="17"/>
  </r>
  <r>
    <x v="403"/>
    <x v="17"/>
    <s v="Royal Challengers Bangalore"/>
    <n v="20"/>
    <n v="26"/>
    <n v="1"/>
    <n v="1"/>
    <n v="1"/>
    <n v="4"/>
    <n v="76.92"/>
    <n v="20"/>
  </r>
  <r>
    <x v="403"/>
    <x v="4"/>
    <s v="Royal Challengers Bangalore"/>
    <n v="30"/>
    <n v="33"/>
    <n v="5"/>
    <n v="0"/>
    <n v="2"/>
    <n v="4"/>
    <n v="90.91"/>
    <n v="15"/>
  </r>
  <r>
    <x v="403"/>
    <x v="5"/>
    <s v="Royal Challengers Bangalore"/>
    <n v="1"/>
    <n v="2"/>
    <n v="0"/>
    <n v="0"/>
    <n v="1"/>
    <n v="2"/>
    <n v="50"/>
    <n v="1"/>
  </r>
  <r>
    <x v="403"/>
    <x v="6"/>
    <s v="Royal Challengers Bengaluru"/>
    <n v="12"/>
    <n v="8"/>
    <n v="0"/>
    <n v="2"/>
    <n v="1"/>
    <n v="1"/>
    <n v="150"/>
    <n v="12"/>
  </r>
  <r>
    <x v="403"/>
    <x v="7"/>
    <s v="Gujarat Titans"/>
    <n v="3"/>
    <n v="4"/>
    <n v="0"/>
    <n v="0"/>
    <n v="0"/>
    <n v="1"/>
    <n v="75"/>
    <m/>
  </r>
  <r>
    <x v="404"/>
    <x v="5"/>
    <s v="Punjab Kings"/>
    <n v="1"/>
    <n v="2"/>
    <n v="0"/>
    <n v="0"/>
    <n v="0"/>
    <n v="1"/>
    <n v="50"/>
    <m/>
  </r>
  <r>
    <x v="405"/>
    <x v="4"/>
    <s v="Lucknow Super Giants"/>
    <n v="23"/>
    <n v="16"/>
    <n v="2"/>
    <n v="1"/>
    <n v="1"/>
    <n v="3"/>
    <n v="143.75"/>
    <n v="23"/>
  </r>
  <r>
    <x v="405"/>
    <x v="5"/>
    <s v="Lucknow Super Giants"/>
    <n v="0"/>
    <n v="7"/>
    <n v="0"/>
    <n v="0"/>
    <n v="1"/>
    <n v="1"/>
    <n v="0"/>
    <n v="0"/>
  </r>
  <r>
    <x v="405"/>
    <x v="6"/>
    <s v="Lucknow Super Giants"/>
    <n v="2"/>
    <n v="1"/>
    <n v="0"/>
    <n v="0"/>
    <n v="0"/>
    <n v="1"/>
    <n v="200"/>
    <m/>
  </r>
  <r>
    <x v="406"/>
    <x v="11"/>
    <s v="Kings XI Punjab"/>
    <n v="10"/>
    <n v="7"/>
    <n v="2"/>
    <n v="0"/>
    <n v="1"/>
    <n v="2"/>
    <n v="142.86000000000001"/>
    <n v="10"/>
  </r>
  <r>
    <x v="406"/>
    <x v="15"/>
    <s v="Kings XI Punjab"/>
    <n v="0"/>
    <n v="4"/>
    <n v="0"/>
    <n v="0"/>
    <n v="1"/>
    <n v="2"/>
    <n v="0"/>
    <n v="0"/>
  </r>
  <r>
    <x v="406"/>
    <x v="16"/>
    <s v="Kings XI Punjab"/>
    <n v="1"/>
    <n v="3"/>
    <n v="0"/>
    <n v="0"/>
    <n v="1"/>
    <n v="1"/>
    <n v="33.33"/>
    <n v="1"/>
  </r>
  <r>
    <x v="406"/>
    <x v="17"/>
    <s v="Sunrisers Hyderabad"/>
    <n v="1"/>
    <n v="1"/>
    <n v="0"/>
    <n v="0"/>
    <n v="0"/>
    <n v="1"/>
    <n v="100"/>
    <m/>
  </r>
  <r>
    <x v="407"/>
    <x v="4"/>
    <s v="Chennai Super Kings"/>
    <n v="6"/>
    <n v="6"/>
    <n v="1"/>
    <n v="0"/>
    <n v="0"/>
    <n v="2"/>
    <n v="100"/>
    <m/>
  </r>
  <r>
    <x v="408"/>
    <x v="5"/>
    <s v="Delhi Capitals"/>
    <n v="7"/>
    <n v="9"/>
    <n v="0"/>
    <n v="0"/>
    <n v="0"/>
    <n v="3"/>
    <n v="77.78"/>
    <m/>
  </r>
  <r>
    <x v="408"/>
    <x v="6"/>
    <s v="Delhi Capitals"/>
    <n v="3"/>
    <n v="9"/>
    <n v="0"/>
    <n v="0"/>
    <n v="1"/>
    <n v="2"/>
    <n v="33.33"/>
    <n v="3"/>
  </r>
  <r>
    <x v="409"/>
    <x v="7"/>
    <s v="Punjab Kings"/>
    <n v="0"/>
    <n v="3"/>
    <n v="0"/>
    <n v="0"/>
    <n v="1"/>
    <n v="1"/>
    <n v="0"/>
    <n v="0"/>
  </r>
  <r>
    <x v="410"/>
    <x v="11"/>
    <s v="Mumbai Indians"/>
    <n v="1"/>
    <n v="3"/>
    <n v="0"/>
    <n v="0"/>
    <n v="1"/>
    <n v="1"/>
    <n v="33.33"/>
    <n v="1"/>
  </r>
  <r>
    <x v="410"/>
    <x v="17"/>
    <s v="Rajasthan Royals"/>
    <n v="8"/>
    <n v="14"/>
    <n v="0"/>
    <n v="1"/>
    <n v="0"/>
    <n v="3"/>
    <n v="57.14"/>
    <m/>
  </r>
  <r>
    <x v="410"/>
    <x v="4"/>
    <s v="Delhi Capitals"/>
    <n v="3"/>
    <n v="5"/>
    <n v="0"/>
    <n v="0"/>
    <n v="0"/>
    <n v="1"/>
    <n v="60"/>
    <m/>
  </r>
  <r>
    <x v="410"/>
    <x v="5"/>
    <s v="Delhi Capitals"/>
    <n v="1"/>
    <n v="1"/>
    <n v="0"/>
    <n v="0"/>
    <n v="0"/>
    <n v="1"/>
    <n v="100"/>
    <m/>
  </r>
  <r>
    <x v="410"/>
    <x v="7"/>
    <s v="Delhi Capitals"/>
    <n v="0"/>
    <n v="1"/>
    <n v="0"/>
    <n v="0"/>
    <n v="1"/>
    <n v="1"/>
    <n v="0"/>
    <n v="0"/>
  </r>
  <r>
    <x v="411"/>
    <x v="16"/>
    <s v="Chennai Super Kings"/>
    <n v="33"/>
    <n v="29"/>
    <n v="4"/>
    <n v="0"/>
    <n v="2"/>
    <n v="2"/>
    <n v="113.79"/>
    <n v="16.5"/>
  </r>
  <r>
    <x v="411"/>
    <x v="4"/>
    <s v="Chennai Super Kings"/>
    <n v="40"/>
    <n v="37"/>
    <n v="3"/>
    <n v="1"/>
    <n v="1"/>
    <n v="2"/>
    <n v="108.11"/>
    <n v="40"/>
  </r>
  <r>
    <x v="411"/>
    <x v="5"/>
    <s v="Kolkata Knight Riders"/>
    <n v="89"/>
    <n v="81"/>
    <n v="14"/>
    <n v="1"/>
    <n v="6"/>
    <n v="6"/>
    <n v="109.88"/>
    <n v="14.83"/>
  </r>
  <r>
    <x v="412"/>
    <x v="15"/>
    <s v="Kings XI Punjab"/>
    <n v="168"/>
    <n v="107"/>
    <n v="10"/>
    <n v="14"/>
    <n v="6"/>
    <n v="6"/>
    <n v="157.01"/>
    <n v="28"/>
  </r>
  <r>
    <x v="412"/>
    <x v="16"/>
    <s v="Kings XI Punjab"/>
    <n v="353"/>
    <n v="209"/>
    <n v="23"/>
    <n v="25"/>
    <n v="13"/>
    <n v="14"/>
    <n v="168.9"/>
    <n v="27.15"/>
  </r>
  <r>
    <x v="412"/>
    <x v="17"/>
    <s v="Punjab Kings"/>
    <n v="85"/>
    <n v="76"/>
    <n v="3"/>
    <n v="5"/>
    <n v="10"/>
    <n v="10"/>
    <n v="111.84"/>
    <n v="8.5"/>
  </r>
  <r>
    <x v="412"/>
    <x v="4"/>
    <s v="Sunrisers Hyderabad"/>
    <n v="306"/>
    <n v="212"/>
    <n v="16"/>
    <n v="21"/>
    <n v="8"/>
    <n v="13"/>
    <n v="144.34"/>
    <n v="38.25"/>
  </r>
  <r>
    <x v="412"/>
    <x v="5"/>
    <s v="Lucknow Super Giants"/>
    <n v="358"/>
    <n v="207"/>
    <n v="26"/>
    <n v="26"/>
    <n v="11"/>
    <n v="15"/>
    <n v="172.95"/>
    <n v="32.549999999999997"/>
  </r>
  <r>
    <x v="412"/>
    <x v="6"/>
    <s v="Lucknow Super Giants"/>
    <n v="499"/>
    <n v="279"/>
    <n v="35"/>
    <n v="36"/>
    <n v="8"/>
    <n v="14"/>
    <n v="178.85"/>
    <n v="62.38"/>
  </r>
  <r>
    <x v="412"/>
    <x v="7"/>
    <s v="Lucknow Super Giants"/>
    <n v="524"/>
    <n v="265"/>
    <n v="45"/>
    <n v="40"/>
    <n v="11"/>
    <n v="14"/>
    <n v="197.74"/>
    <n v="47.64"/>
  </r>
  <r>
    <x v="413"/>
    <x v="3"/>
    <s v="Mumbai Indians"/>
    <n v="104"/>
    <n v="74"/>
    <n v="7"/>
    <n v="8"/>
    <n v="3"/>
    <n v="3"/>
    <n v="140.54"/>
    <n v="34.67"/>
  </r>
  <r>
    <x v="413"/>
    <x v="10"/>
    <s v="Mumbai Indians"/>
    <n v="333"/>
    <n v="263"/>
    <n v="24"/>
    <n v="17"/>
    <n v="12"/>
    <n v="12"/>
    <n v="126.62"/>
    <n v="27.75"/>
  </r>
  <r>
    <x v="413"/>
    <x v="11"/>
    <s v="Kolkata Knight Riders"/>
    <n v="304"/>
    <n v="232"/>
    <n v="26"/>
    <n v="14"/>
    <n v="15"/>
    <n v="15"/>
    <n v="131.03"/>
    <n v="20.27"/>
  </r>
  <r>
    <x v="413"/>
    <x v="15"/>
    <s v="Kolkata Knight Riders"/>
    <n v="344"/>
    <n v="235"/>
    <n v="27"/>
    <n v="21"/>
    <n v="10"/>
    <n v="11"/>
    <n v="146.38"/>
    <n v="34.4"/>
  </r>
  <r>
    <x v="413"/>
    <x v="16"/>
    <s v="Kolkata Knight Riders"/>
    <n v="352"/>
    <n v="254"/>
    <n v="43"/>
    <n v="12"/>
    <n v="13"/>
    <n v="14"/>
    <n v="138.58000000000001"/>
    <n v="27.08"/>
  </r>
  <r>
    <x v="413"/>
    <x v="17"/>
    <s v="Kolkata Knight Riders"/>
    <n v="383"/>
    <n v="313"/>
    <n v="34"/>
    <n v="17"/>
    <n v="13"/>
    <n v="16"/>
    <n v="122.36"/>
    <n v="29.46"/>
  </r>
  <r>
    <x v="413"/>
    <x v="4"/>
    <s v="Kolkata Knight Riders"/>
    <n v="361"/>
    <n v="249"/>
    <n v="29"/>
    <n v="22"/>
    <n v="13"/>
    <n v="14"/>
    <n v="144.97999999999999"/>
    <n v="27.77"/>
  </r>
  <r>
    <x v="413"/>
    <x v="5"/>
    <s v="Kolkata Knight Riders"/>
    <n v="413"/>
    <n v="291"/>
    <n v="39"/>
    <n v="20"/>
    <n v="13"/>
    <n v="14"/>
    <n v="141.91999999999999"/>
    <n v="31.77"/>
  </r>
  <r>
    <x v="413"/>
    <x v="6"/>
    <s v="Kolkata Knight Riders"/>
    <n v="42"/>
    <n v="34"/>
    <n v="5"/>
    <n v="1"/>
    <n v="2"/>
    <n v="2"/>
    <n v="123.53"/>
    <n v="21"/>
  </r>
  <r>
    <x v="413"/>
    <x v="7"/>
    <s v="Rajasthan Royals"/>
    <n v="217"/>
    <n v="134"/>
    <n v="27"/>
    <n v="9"/>
    <n v="10"/>
    <n v="11"/>
    <n v="161.94"/>
    <n v="21.7"/>
  </r>
  <r>
    <x v="414"/>
    <x v="0"/>
    <s v="Kings XI Punjab"/>
    <n v="140"/>
    <n v="140"/>
    <n v="16"/>
    <n v="0"/>
    <n v="11"/>
    <n v="10"/>
    <n v="100"/>
    <n v="12.73"/>
  </r>
  <r>
    <x v="415"/>
    <x v="5"/>
    <s v="Mumbai Indians"/>
    <n v="241"/>
    <n v="165"/>
    <n v="23"/>
    <n v="12"/>
    <n v="9"/>
    <n v="10"/>
    <n v="146.06"/>
    <n v="26.78"/>
  </r>
  <r>
    <x v="415"/>
    <x v="6"/>
    <s v="Mumbai Indians"/>
    <n v="109"/>
    <n v="84"/>
    <n v="9"/>
    <n v="6"/>
    <n v="6"/>
    <n v="6"/>
    <n v="129.76"/>
    <n v="18.170000000000002"/>
  </r>
  <r>
    <x v="415"/>
    <x v="7"/>
    <s v="Punjab Kings"/>
    <n v="369"/>
    <n v="251"/>
    <n v="28"/>
    <n v="21"/>
    <n v="11"/>
    <n v="15"/>
    <n v="147.01"/>
    <n v="33.549999999999997"/>
  </r>
  <r>
    <x v="416"/>
    <x v="13"/>
    <s v="Rajasthan Royals"/>
    <n v="0"/>
    <n v="13"/>
    <n v="0"/>
    <n v="0"/>
    <n v="1"/>
    <n v="1"/>
    <n v="0"/>
    <n v="0"/>
  </r>
  <r>
    <x v="417"/>
    <x v="14"/>
    <s v="Royal Challengers Bangalore"/>
    <n v="16"/>
    <n v="14"/>
    <n v="3"/>
    <n v="0"/>
    <n v="2"/>
    <n v="2"/>
    <n v="114.29"/>
    <n v="8"/>
  </r>
  <r>
    <x v="417"/>
    <x v="2"/>
    <s v="Royal Challengers Bangalore"/>
    <n v="4"/>
    <n v="7"/>
    <n v="1"/>
    <n v="0"/>
    <n v="1"/>
    <n v="1"/>
    <n v="57.14"/>
    <n v="4"/>
  </r>
  <r>
    <x v="418"/>
    <x v="13"/>
    <s v="Kings XI Punjab"/>
    <n v="1"/>
    <n v="1"/>
    <n v="0"/>
    <n v="0"/>
    <n v="0"/>
    <n v="1"/>
    <n v="100"/>
    <m/>
  </r>
  <r>
    <x v="419"/>
    <x v="8"/>
    <s v="Rajasthan Royals"/>
    <n v="103"/>
    <n v="81"/>
    <n v="13"/>
    <n v="1"/>
    <n v="3"/>
    <n v="4"/>
    <n v="127.16"/>
    <n v="34.33"/>
  </r>
  <r>
    <x v="419"/>
    <x v="9"/>
    <s v="Rajasthan Royals"/>
    <n v="18"/>
    <n v="38"/>
    <n v="1"/>
    <n v="0"/>
    <n v="2"/>
    <n v="2"/>
    <n v="47.37"/>
    <n v="9"/>
  </r>
  <r>
    <x v="420"/>
    <x v="13"/>
    <s v="Pune Warriors"/>
    <n v="26"/>
    <n v="22"/>
    <n v="0"/>
    <n v="1"/>
    <n v="3"/>
    <n v="2"/>
    <n v="118.18"/>
    <n v="8.67"/>
  </r>
  <r>
    <x v="421"/>
    <x v="13"/>
    <s v="Kochi Tuskers Kerala"/>
    <n v="23"/>
    <n v="27"/>
    <n v="4"/>
    <n v="0"/>
    <n v="2"/>
    <n v="2"/>
    <n v="85.19"/>
    <n v="11.5"/>
  </r>
  <r>
    <x v="421"/>
    <x v="0"/>
    <s v="Mumbai Indians"/>
    <n v="4"/>
    <n v="9"/>
    <n v="0"/>
    <n v="0"/>
    <n v="1"/>
    <n v="2"/>
    <n v="44.44"/>
    <n v="4"/>
  </r>
  <r>
    <x v="421"/>
    <x v="1"/>
    <s v="Sunrisers Hyderabad"/>
    <n v="235"/>
    <n v="163"/>
    <n v="12"/>
    <n v="14"/>
    <n v="12"/>
    <n v="14"/>
    <n v="144.16999999999999"/>
    <n v="19.579999999999998"/>
  </r>
  <r>
    <x v="421"/>
    <x v="2"/>
    <s v="Kings XI Punjab"/>
    <n v="12"/>
    <n v="15"/>
    <n v="0"/>
    <n v="1"/>
    <n v="2"/>
    <n v="2"/>
    <n v="80"/>
    <n v="6"/>
  </r>
  <r>
    <x v="421"/>
    <x v="3"/>
    <s v="Rising Pune Supergiants"/>
    <n v="150"/>
    <n v="92"/>
    <n v="7"/>
    <n v="11"/>
    <n v="7"/>
    <n v="10"/>
    <n v="163.04"/>
    <n v="21.43"/>
  </r>
  <r>
    <x v="422"/>
    <x v="1"/>
    <s v="Mumbai Indians"/>
    <n v="9"/>
    <n v="6"/>
    <n v="0"/>
    <n v="1"/>
    <n v="1"/>
    <n v="1"/>
    <n v="150"/>
    <n v="9"/>
  </r>
  <r>
    <x v="422"/>
    <x v="2"/>
    <s v="Delhi Daredevils"/>
    <n v="20"/>
    <n v="18"/>
    <n v="2"/>
    <n v="1"/>
    <n v="3"/>
    <n v="5"/>
    <n v="111.11"/>
    <n v="6.67"/>
  </r>
  <r>
    <x v="422"/>
    <x v="3"/>
    <s v="Delhi Daredevils"/>
    <n v="9"/>
    <n v="14"/>
    <n v="1"/>
    <n v="0"/>
    <n v="0"/>
    <n v="2"/>
    <n v="64.290000000000006"/>
    <m/>
  </r>
  <r>
    <x v="422"/>
    <x v="10"/>
    <s v="Kolkata Knight Riders"/>
    <n v="14"/>
    <n v="12"/>
    <n v="0"/>
    <n v="2"/>
    <n v="3"/>
    <n v="3"/>
    <n v="116.67"/>
    <n v="4.67"/>
  </r>
  <r>
    <x v="422"/>
    <x v="16"/>
    <s v="Mumbai Indians"/>
    <n v="25"/>
    <n v="15"/>
    <n v="4"/>
    <n v="0"/>
    <n v="1"/>
    <n v="2"/>
    <n v="166.67"/>
    <n v="25"/>
  </r>
  <r>
    <x v="422"/>
    <x v="17"/>
    <s v="Mumbai Indians"/>
    <n v="4"/>
    <n v="5"/>
    <n v="0"/>
    <n v="0"/>
    <n v="2"/>
    <n v="2"/>
    <n v="80"/>
    <n v="2"/>
  </r>
  <r>
    <x v="422"/>
    <x v="4"/>
    <s v="Rajasthan Royals"/>
    <n v="1"/>
    <n v="2"/>
    <n v="0"/>
    <n v="0"/>
    <n v="0"/>
    <n v="1"/>
    <n v="50"/>
    <m/>
  </r>
  <r>
    <x v="423"/>
    <x v="3"/>
    <s v="Kings XI Punjab"/>
    <n v="23"/>
    <n v="31"/>
    <n v="1"/>
    <n v="0"/>
    <n v="2"/>
    <n v="2"/>
    <n v="74.19"/>
    <n v="11.5"/>
  </r>
  <r>
    <x v="423"/>
    <x v="15"/>
    <s v="Kolkata Knight Riders"/>
    <n v="7"/>
    <n v="16"/>
    <n v="1"/>
    <n v="0"/>
    <n v="1"/>
    <n v="1"/>
    <n v="43.75"/>
    <n v="7"/>
  </r>
  <r>
    <x v="423"/>
    <x v="16"/>
    <s v="Kolkata Knight Riders"/>
    <n v="1"/>
    <n v="3"/>
    <n v="0"/>
    <n v="0"/>
    <n v="1"/>
    <n v="1"/>
    <n v="33.33"/>
    <n v="1"/>
  </r>
  <r>
    <x v="424"/>
    <x v="17"/>
    <s v="Punjab Kings"/>
    <n v="18"/>
    <n v="16"/>
    <n v="0"/>
    <n v="1"/>
    <n v="1"/>
    <n v="2"/>
    <n v="112.5"/>
    <n v="18"/>
  </r>
  <r>
    <x v="424"/>
    <x v="4"/>
    <s v="Punjab Kings"/>
    <n v="0"/>
    <n v="2"/>
    <n v="0"/>
    <n v="0"/>
    <n v="1"/>
    <n v="1"/>
    <n v="0"/>
    <n v="0"/>
  </r>
  <r>
    <x v="424"/>
    <x v="5"/>
    <s v="Punjab Kings"/>
    <n v="1"/>
    <n v="7"/>
    <n v="0"/>
    <n v="0"/>
    <n v="2"/>
    <n v="2"/>
    <n v="14.29"/>
    <n v="0.5"/>
  </r>
  <r>
    <x v="425"/>
    <x v="9"/>
    <s v="Rajasthan Royals"/>
    <n v="168"/>
    <n v="144"/>
    <n v="11"/>
    <n v="11"/>
    <n v="7"/>
    <n v="8"/>
    <n v="116.67"/>
    <n v="24"/>
  </r>
  <r>
    <x v="425"/>
    <x v="12"/>
    <s v="Rajasthan Royals"/>
    <n v="377"/>
    <n v="283"/>
    <n v="42"/>
    <n v="15"/>
    <n v="12"/>
    <n v="14"/>
    <n v="133.22"/>
    <n v="31.42"/>
  </r>
  <r>
    <x v="425"/>
    <x v="13"/>
    <s v="Delhi Daredevils"/>
    <n v="160"/>
    <n v="161"/>
    <n v="11"/>
    <n v="11"/>
    <n v="13"/>
    <n v="14"/>
    <n v="99.38"/>
    <n v="12.31"/>
  </r>
  <r>
    <x v="425"/>
    <x v="0"/>
    <s v="Delhi Daredevils"/>
    <n v="255"/>
    <n v="223"/>
    <n v="21"/>
    <n v="13"/>
    <n v="11"/>
    <n v="16"/>
    <n v="114.35"/>
    <n v="23.18"/>
  </r>
  <r>
    <x v="425"/>
    <x v="1"/>
    <s v="Delhi Daredevils"/>
    <n v="9"/>
    <n v="10"/>
    <n v="1"/>
    <n v="0"/>
    <n v="1"/>
    <n v="2"/>
    <n v="90"/>
    <n v="9"/>
  </r>
  <r>
    <x v="425"/>
    <x v="14"/>
    <s v="Sunrisers Hyderabad"/>
    <n v="232"/>
    <n v="160"/>
    <n v="14"/>
    <n v="17"/>
    <n v="6"/>
    <n v="10"/>
    <n v="145"/>
    <n v="38.67"/>
  </r>
  <r>
    <x v="425"/>
    <x v="2"/>
    <s v="Sunrisers Hyderabad"/>
    <n v="137"/>
    <n v="120"/>
    <n v="12"/>
    <n v="4"/>
    <n v="9"/>
    <n v="11"/>
    <n v="114.17"/>
    <n v="15.22"/>
  </r>
  <r>
    <x v="425"/>
    <x v="3"/>
    <s v="Sunrisers Hyderabad"/>
    <n v="136"/>
    <n v="138"/>
    <n v="7"/>
    <n v="5"/>
    <n v="10"/>
    <n v="13"/>
    <n v="98.55"/>
    <n v="13.6"/>
  </r>
  <r>
    <x v="425"/>
    <x v="10"/>
    <s v="Sunrisers Hyderabad"/>
    <n v="79"/>
    <n v="65"/>
    <n v="2"/>
    <n v="3"/>
    <n v="4"/>
    <n v="5"/>
    <n v="121.54"/>
    <n v="19.75"/>
  </r>
  <r>
    <x v="425"/>
    <x v="11"/>
    <s v="Delhi Daredevils"/>
    <n v="1"/>
    <n v="4"/>
    <n v="0"/>
    <n v="0"/>
    <n v="1"/>
    <n v="1"/>
    <n v="25"/>
    <n v="1"/>
  </r>
  <r>
    <x v="426"/>
    <x v="6"/>
    <s v="Mumbai Indians"/>
    <n v="140"/>
    <n v="78"/>
    <n v="12"/>
    <n v="10"/>
    <n v="6"/>
    <n v="7"/>
    <n v="179.49"/>
    <n v="23.33"/>
  </r>
  <r>
    <x v="426"/>
    <x v="7"/>
    <s v="Mumbai Indians"/>
    <n v="252"/>
    <n v="138"/>
    <n v="25"/>
    <n v="13"/>
    <n v="8"/>
    <n v="12"/>
    <n v="182.61"/>
    <n v="31.5"/>
  </r>
  <r>
    <x v="427"/>
    <x v="15"/>
    <s v="Royal Challengers Bangalore"/>
    <n v="2"/>
    <n v="4"/>
    <n v="0"/>
    <n v="0"/>
    <n v="1"/>
    <n v="2"/>
    <n v="50"/>
    <n v="2"/>
  </r>
  <r>
    <x v="427"/>
    <x v="16"/>
    <s v="Royal Challengers Bangalore"/>
    <n v="27"/>
    <n v="27"/>
    <n v="3"/>
    <n v="0"/>
    <n v="1"/>
    <n v="3"/>
    <n v="100"/>
    <n v="27"/>
  </r>
  <r>
    <x v="427"/>
    <x v="17"/>
    <s v="Royal Challengers Bangalore"/>
    <n v="2"/>
    <n v="4"/>
    <n v="0"/>
    <n v="0"/>
    <n v="1"/>
    <n v="1"/>
    <n v="50"/>
    <n v="2"/>
  </r>
  <r>
    <x v="427"/>
    <x v="4"/>
    <s v="Rajasthan Royals"/>
    <n v="2"/>
    <n v="2"/>
    <n v="0"/>
    <n v="0"/>
    <n v="1"/>
    <n v="1"/>
    <n v="100"/>
    <n v="2"/>
  </r>
  <r>
    <x v="428"/>
    <x v="5"/>
    <s v="Lucknow Super Giants"/>
    <n v="16"/>
    <n v="20"/>
    <n v="2"/>
    <n v="0"/>
    <n v="2"/>
    <n v="3"/>
    <n v="80"/>
    <n v="8"/>
  </r>
  <r>
    <x v="428"/>
    <x v="6"/>
    <s v="Lucknow Super Giants"/>
    <n v="2"/>
    <n v="4"/>
    <n v="0"/>
    <n v="0"/>
    <n v="0"/>
    <n v="1"/>
    <n v="50"/>
    <m/>
  </r>
  <r>
    <x v="429"/>
    <x v="6"/>
    <s v="Sunrisers Hyderabad"/>
    <n v="303"/>
    <n v="212"/>
    <n v="15"/>
    <n v="21"/>
    <n v="9"/>
    <n v="11"/>
    <n v="142.91999999999999"/>
    <n v="33.67"/>
  </r>
  <r>
    <x v="429"/>
    <x v="7"/>
    <s v="Sunrisers Hyderabad"/>
    <n v="182"/>
    <n v="152"/>
    <n v="16"/>
    <n v="4"/>
    <n v="9"/>
    <n v="11"/>
    <n v="119.74"/>
    <n v="20.22"/>
  </r>
  <r>
    <x v="430"/>
    <x v="5"/>
    <s v="Gujarat Titans"/>
    <n v="8"/>
    <n v="9"/>
    <n v="1"/>
    <n v="0"/>
    <n v="2"/>
    <n v="3"/>
    <n v="88.89"/>
    <n v="4"/>
  </r>
  <r>
    <x v="430"/>
    <x v="6"/>
    <s v="Gujarat Titans"/>
    <n v="5"/>
    <n v="9"/>
    <n v="1"/>
    <n v="0"/>
    <n v="2"/>
    <n v="2"/>
    <n v="55.56"/>
    <n v="2.5"/>
  </r>
  <r>
    <x v="430"/>
    <x v="7"/>
    <s v="Chennai Super Kings"/>
    <n v="7"/>
    <n v="17"/>
    <n v="0"/>
    <n v="0"/>
    <n v="4"/>
    <n v="6"/>
    <n v="41.18"/>
    <n v="1.75"/>
  </r>
  <r>
    <x v="431"/>
    <x v="12"/>
    <s v="Kolkata Knight Riders"/>
    <n v="115"/>
    <n v="95"/>
    <n v="7"/>
    <n v="5"/>
    <n v="3"/>
    <n v="5"/>
    <n v="121.05"/>
    <n v="38.33"/>
  </r>
  <r>
    <x v="431"/>
    <x v="13"/>
    <s v="Kochi Tuskers Kerala"/>
    <n v="26"/>
    <n v="15"/>
    <n v="1"/>
    <n v="2"/>
    <n v="1"/>
    <n v="2"/>
    <n v="173.33"/>
    <n v="26"/>
  </r>
  <r>
    <x v="431"/>
    <x v="0"/>
    <s v="Rajasthan Royals"/>
    <n v="340"/>
    <n v="255"/>
    <n v="24"/>
    <n v="16"/>
    <n v="7"/>
    <n v="13"/>
    <n v="133.33000000000001"/>
    <n v="48.57"/>
  </r>
  <r>
    <x v="431"/>
    <x v="1"/>
    <s v="Rajasthan Royals"/>
    <n v="25"/>
    <n v="23"/>
    <n v="2"/>
    <n v="0"/>
    <n v="2"/>
    <n v="2"/>
    <n v="108.7"/>
    <n v="12.5"/>
  </r>
  <r>
    <x v="432"/>
    <x v="4"/>
    <s v="Rajasthan Royals"/>
    <n v="8"/>
    <n v="5"/>
    <n v="0"/>
    <n v="1"/>
    <n v="0"/>
    <n v="1"/>
    <n v="160"/>
    <m/>
  </r>
  <r>
    <x v="433"/>
    <x v="4"/>
    <s v="Punjab Kings"/>
    <n v="51"/>
    <n v="44"/>
    <n v="1"/>
    <n v="5"/>
    <n v="3"/>
    <n v="6"/>
    <n v="115.91"/>
    <n v="17"/>
  </r>
  <r>
    <x v="434"/>
    <x v="0"/>
    <s v="Kings XI Punjab"/>
    <n v="4"/>
    <n v="5"/>
    <n v="0"/>
    <n v="0"/>
    <n v="0"/>
    <n v="1"/>
    <n v="80"/>
    <m/>
  </r>
  <r>
    <x v="434"/>
    <x v="1"/>
    <s v="Kings XI Punjab"/>
    <n v="1"/>
    <n v="9"/>
    <n v="0"/>
    <n v="0"/>
    <n v="3"/>
    <n v="4"/>
    <n v="11.11"/>
    <n v="0.33"/>
  </r>
  <r>
    <x v="435"/>
    <x v="11"/>
    <s v="Rajasthan Royals"/>
    <n v="8"/>
    <n v="6"/>
    <n v="2"/>
    <n v="0"/>
    <n v="1"/>
    <n v="1"/>
    <n v="133.33000000000001"/>
    <n v="8"/>
  </r>
  <r>
    <x v="436"/>
    <x v="12"/>
    <s v="Rajasthan Royals"/>
    <n v="107"/>
    <n v="106"/>
    <n v="4"/>
    <n v="5"/>
    <n v="6"/>
    <n v="8"/>
    <n v="100.94"/>
    <n v="17.829999999999998"/>
  </r>
  <r>
    <x v="436"/>
    <x v="0"/>
    <s v="Kings XI Punjab"/>
    <n v="15"/>
    <n v="24"/>
    <n v="0"/>
    <n v="0"/>
    <n v="5"/>
    <n v="3"/>
    <n v="62.5"/>
    <n v="3"/>
  </r>
  <r>
    <x v="436"/>
    <x v="1"/>
    <s v="Kolkata Knight Riders"/>
    <n v="5"/>
    <n v="8"/>
    <n v="0"/>
    <n v="0"/>
    <n v="1"/>
    <n v="1"/>
    <n v="62.5"/>
    <n v="5"/>
  </r>
  <r>
    <x v="437"/>
    <x v="16"/>
    <s v="Delhi Capitals"/>
    <n v="7"/>
    <n v="13"/>
    <n v="0"/>
    <n v="0"/>
    <n v="0"/>
    <n v="1"/>
    <n v="53.85"/>
    <m/>
  </r>
  <r>
    <x v="437"/>
    <x v="5"/>
    <s v="Delhi Capitals"/>
    <n v="16"/>
    <n v="20"/>
    <n v="2"/>
    <n v="0"/>
    <n v="1"/>
    <n v="1"/>
    <n v="80"/>
    <n v="16"/>
  </r>
  <r>
    <x v="438"/>
    <x v="8"/>
    <s v="Royal Challengers Bangalore"/>
    <n v="112"/>
    <n v="98"/>
    <n v="10"/>
    <n v="6"/>
    <n v="9"/>
    <n v="12"/>
    <n v="114.29"/>
    <n v="12.44"/>
  </r>
  <r>
    <x v="438"/>
    <x v="9"/>
    <s v="Royal Challengers Bangalore"/>
    <n v="65"/>
    <n v="46"/>
    <n v="1"/>
    <n v="6"/>
    <n v="5"/>
    <n v="8"/>
    <n v="141.30000000000001"/>
    <n v="13"/>
  </r>
  <r>
    <x v="438"/>
    <x v="12"/>
    <s v="Royal Challengers Bangalore"/>
    <n v="4"/>
    <n v="8"/>
    <n v="0"/>
    <n v="0"/>
    <n v="2"/>
    <n v="3"/>
    <n v="50"/>
    <n v="2"/>
  </r>
  <r>
    <x v="438"/>
    <x v="13"/>
    <s v="Kings XI Punjab"/>
    <n v="27"/>
    <n v="31"/>
    <n v="2"/>
    <n v="1"/>
    <n v="3"/>
    <n v="7"/>
    <n v="87.1"/>
    <n v="9"/>
  </r>
  <r>
    <x v="438"/>
    <x v="0"/>
    <s v="Kings XI Punjab"/>
    <n v="35"/>
    <n v="29"/>
    <n v="2"/>
    <n v="1"/>
    <n v="2"/>
    <n v="7"/>
    <n v="120.69"/>
    <n v="17.5"/>
  </r>
  <r>
    <x v="438"/>
    <x v="1"/>
    <s v="Kings XI Punjab"/>
    <n v="47"/>
    <n v="38"/>
    <n v="3"/>
    <n v="3"/>
    <n v="5"/>
    <n v="7"/>
    <n v="123.68"/>
    <n v="9.4"/>
  </r>
  <r>
    <x v="438"/>
    <x v="14"/>
    <s v="Mumbai Indians"/>
    <n v="1"/>
    <n v="2"/>
    <n v="0"/>
    <n v="0"/>
    <n v="1"/>
    <n v="1"/>
    <n v="50"/>
    <n v="1"/>
  </r>
  <r>
    <x v="438"/>
    <x v="2"/>
    <s v="Sunrisers Hyderabad"/>
    <n v="17"/>
    <n v="25"/>
    <n v="1"/>
    <n v="0"/>
    <n v="2"/>
    <n v="4"/>
    <n v="68"/>
    <n v="8.5"/>
  </r>
  <r>
    <x v="438"/>
    <x v="3"/>
    <s v="Gujarat Lions"/>
    <n v="24"/>
    <n v="26"/>
    <n v="3"/>
    <n v="0"/>
    <n v="4"/>
    <n v="6"/>
    <n v="92.31"/>
    <n v="6"/>
  </r>
  <r>
    <x v="438"/>
    <x v="10"/>
    <s v="Gujarat Lions"/>
    <n v="8"/>
    <n v="9"/>
    <n v="0"/>
    <n v="0"/>
    <n v="1"/>
    <n v="2"/>
    <n v="88.89"/>
    <n v="8"/>
  </r>
  <r>
    <x v="439"/>
    <x v="0"/>
    <s v="Delhi Daredevils"/>
    <n v="36"/>
    <n v="29"/>
    <n v="4"/>
    <n v="1"/>
    <n v="2"/>
    <n v="4"/>
    <n v="124.14"/>
    <n v="18"/>
  </r>
  <r>
    <x v="439"/>
    <x v="2"/>
    <s v="Chennai Super Kings"/>
    <n v="116"/>
    <n v="72"/>
    <n v="10"/>
    <n v="5"/>
    <n v="6"/>
    <n v="9"/>
    <n v="161.11000000000001"/>
    <n v="19.329999999999998"/>
  </r>
  <r>
    <x v="439"/>
    <x v="3"/>
    <s v="Delhi Daredevils"/>
    <n v="57"/>
    <n v="59"/>
    <n v="2"/>
    <n v="3"/>
    <n v="3"/>
    <n v="6"/>
    <n v="96.61"/>
    <n v="19"/>
  </r>
  <r>
    <x v="439"/>
    <x v="10"/>
    <s v="Royal Challengers Bangalore"/>
    <n v="144"/>
    <n v="111"/>
    <n v="10"/>
    <n v="7"/>
    <n v="9"/>
    <n v="10"/>
    <n v="129.72999999999999"/>
    <n v="16"/>
  </r>
  <r>
    <x v="439"/>
    <x v="11"/>
    <s v="Royal Challengers Bangalore"/>
    <n v="3"/>
    <n v="5"/>
    <n v="0"/>
    <n v="0"/>
    <n v="2"/>
    <n v="2"/>
    <n v="60"/>
    <n v="1.5"/>
  </r>
  <r>
    <x v="439"/>
    <x v="15"/>
    <s v="Royal Challengers Bangalore"/>
    <n v="9"/>
    <n v="12"/>
    <n v="1"/>
    <n v="0"/>
    <n v="4"/>
    <n v="4"/>
    <n v="75"/>
    <n v="2.25"/>
  </r>
  <r>
    <x v="440"/>
    <x v="13"/>
    <s v="Kochi Tuskers Kerala"/>
    <n v="1"/>
    <n v="1"/>
    <n v="0"/>
    <n v="0"/>
    <n v="0"/>
    <n v="1"/>
    <n v="100"/>
    <m/>
  </r>
  <r>
    <x v="440"/>
    <x v="0"/>
    <s v="Royal Challengers Bangalore"/>
    <n v="0"/>
    <n v="1"/>
    <n v="0"/>
    <n v="0"/>
    <n v="0"/>
    <n v="1"/>
    <n v="0"/>
    <m/>
  </r>
  <r>
    <x v="441"/>
    <x v="15"/>
    <s v="Royal Challengers Bangalore"/>
    <n v="19"/>
    <n v="24"/>
    <n v="2"/>
    <n v="0"/>
    <n v="1"/>
    <n v="1"/>
    <n v="79.17"/>
    <n v="19"/>
  </r>
  <r>
    <x v="442"/>
    <x v="3"/>
    <s v="Kings XI Punjab"/>
    <n v="19"/>
    <n v="13"/>
    <n v="1"/>
    <n v="1"/>
    <n v="0"/>
    <n v="2"/>
    <n v="146.15"/>
    <m/>
  </r>
  <r>
    <x v="443"/>
    <x v="15"/>
    <s v="Kings XI Punjab"/>
    <n v="16"/>
    <n v="17"/>
    <n v="1"/>
    <n v="1"/>
    <n v="1"/>
    <n v="1"/>
    <n v="94.12"/>
    <n v="16"/>
  </r>
  <r>
    <x v="443"/>
    <x v="16"/>
    <s v="Kings XI Punjab"/>
    <n v="15"/>
    <n v="15"/>
    <n v="2"/>
    <n v="0"/>
    <n v="2"/>
    <n v="2"/>
    <n v="100"/>
    <n v="7.5"/>
  </r>
  <r>
    <x v="443"/>
    <x v="17"/>
    <s v="Punjab Kings"/>
    <n v="19"/>
    <n v="23"/>
    <n v="1"/>
    <n v="1"/>
    <n v="2"/>
    <n v="2"/>
    <n v="82.61"/>
    <n v="9.5"/>
  </r>
  <r>
    <x v="443"/>
    <x v="4"/>
    <s v="Punjab Kings"/>
    <n v="14"/>
    <n v="11"/>
    <n v="2"/>
    <n v="0"/>
    <n v="1"/>
    <n v="1"/>
    <n v="127.27"/>
    <n v="14"/>
  </r>
  <r>
    <x v="443"/>
    <x v="5"/>
    <s v="Punjab Kings"/>
    <n v="358"/>
    <n v="238"/>
    <n v="38"/>
    <n v="19"/>
    <n v="15"/>
    <n v="14"/>
    <n v="150.41999999999999"/>
    <n v="23.87"/>
  </r>
  <r>
    <x v="443"/>
    <x v="6"/>
    <s v="Punjab Kings"/>
    <n v="334"/>
    <n v="212"/>
    <n v="34"/>
    <n v="20"/>
    <n v="14"/>
    <n v="14"/>
    <n v="157.55000000000001"/>
    <n v="23.86"/>
  </r>
  <r>
    <x v="443"/>
    <x v="7"/>
    <s v="Punjab Kings"/>
    <n v="599"/>
    <n v="368"/>
    <n v="63"/>
    <n v="30"/>
    <n v="17"/>
    <n v="18"/>
    <n v="162.77000000000001"/>
    <n v="35.24"/>
  </r>
  <r>
    <x v="444"/>
    <x v="8"/>
    <s v="Chennai Super Kings"/>
    <n v="302"/>
    <n v="295"/>
    <n v="42"/>
    <n v="3"/>
    <n v="11"/>
    <n v="13"/>
    <n v="102.37"/>
    <n v="27.45"/>
  </r>
  <r>
    <x v="444"/>
    <x v="9"/>
    <s v="Chennai Super Kings"/>
    <n v="142"/>
    <n v="126"/>
    <n v="19"/>
    <n v="2"/>
    <n v="8"/>
    <n v="9"/>
    <n v="112.7"/>
    <n v="17.75"/>
  </r>
  <r>
    <x v="444"/>
    <x v="12"/>
    <s v="Chennai Super Kings"/>
    <n v="72"/>
    <n v="79"/>
    <n v="6"/>
    <n v="2"/>
    <n v="5"/>
    <n v="4"/>
    <n v="91.14"/>
    <n v="14.4"/>
  </r>
  <r>
    <x v="444"/>
    <x v="13"/>
    <s v="Kochi Tuskers Kerala"/>
    <n v="202"/>
    <n v="182"/>
    <n v="25"/>
    <n v="2"/>
    <n v="9"/>
    <n v="13"/>
    <n v="110.99"/>
    <n v="22.44"/>
  </r>
  <r>
    <x v="444"/>
    <x v="0"/>
    <s v="Deccan Chargers"/>
    <n v="194"/>
    <n v="164"/>
    <n v="19"/>
    <n v="4"/>
    <n v="12"/>
    <n v="12"/>
    <n v="118.29"/>
    <n v="16.170000000000002"/>
  </r>
  <r>
    <x v="444"/>
    <x v="1"/>
    <s v="Sunrisers Hyderabad"/>
    <n v="294"/>
    <n v="255"/>
    <n v="37"/>
    <n v="4"/>
    <n v="13"/>
    <n v="13"/>
    <n v="115.29"/>
    <n v="22.62"/>
  </r>
  <r>
    <x v="444"/>
    <x v="14"/>
    <s v="Royal Challengers Bangalore"/>
    <n v="205"/>
    <n v="185"/>
    <n v="30"/>
    <n v="1"/>
    <n v="9"/>
    <n v="12"/>
    <n v="110.81"/>
    <n v="22.78"/>
  </r>
  <r>
    <x v="444"/>
    <x v="2"/>
    <s v="Mumbai Indians"/>
    <n v="339"/>
    <n v="246"/>
    <n v="47"/>
    <n v="5"/>
    <n v="12"/>
    <n v="14"/>
    <n v="137.80000000000001"/>
    <n v="28.25"/>
  </r>
  <r>
    <x v="444"/>
    <x v="3"/>
    <s v="Mumbai Indians"/>
    <n v="177"/>
    <n v="151"/>
    <n v="23"/>
    <n v="4"/>
    <n v="10"/>
    <n v="10"/>
    <n v="117.22"/>
    <n v="17.7"/>
  </r>
  <r>
    <x v="444"/>
    <x v="10"/>
    <s v="Mumbai Indians"/>
    <n v="395"/>
    <n v="293"/>
    <n v="49"/>
    <n v="8"/>
    <n v="18"/>
    <n v="16"/>
    <n v="134.81"/>
    <n v="21.94"/>
  </r>
  <r>
    <x v="444"/>
    <x v="11"/>
    <s v="Royal Challengers Bangalore"/>
    <n v="153"/>
    <n v="109"/>
    <n v="20"/>
    <n v="4"/>
    <n v="5"/>
    <n v="6"/>
    <n v="140.37"/>
    <n v="30.6"/>
  </r>
  <r>
    <x v="444"/>
    <x v="15"/>
    <s v="Royal Challengers Bangalore"/>
    <n v="373"/>
    <n v="265"/>
    <n v="48"/>
    <n v="10"/>
    <n v="15"/>
    <n v="14"/>
    <n v="140.75"/>
    <n v="24.87"/>
  </r>
  <r>
    <x v="445"/>
    <x v="0"/>
    <s v="Deccan Chargers"/>
    <n v="73"/>
    <n v="59"/>
    <n v="6"/>
    <n v="2"/>
    <n v="3"/>
    <n v="3"/>
    <n v="123.73"/>
    <n v="24.33"/>
  </r>
  <r>
    <x v="445"/>
    <x v="1"/>
    <s v="Sunrisers Hyderabad"/>
    <n v="91"/>
    <n v="101"/>
    <n v="9"/>
    <n v="0"/>
    <n v="7"/>
    <n v="7"/>
    <n v="90.1"/>
    <n v="13"/>
  </r>
  <r>
    <x v="446"/>
    <x v="4"/>
    <s v="Punjab Kings"/>
    <n v="206"/>
    <n v="128"/>
    <n v="16"/>
    <n v="13"/>
    <n v="9"/>
    <n v="9"/>
    <n v="160.94"/>
    <n v="22.89"/>
  </r>
  <r>
    <x v="446"/>
    <x v="5"/>
    <s v="Punjab Kings"/>
    <n v="71"/>
    <n v="62"/>
    <n v="6"/>
    <n v="2"/>
    <n v="3"/>
    <n v="4"/>
    <n v="114.52"/>
    <n v="23.67"/>
  </r>
  <r>
    <x v="447"/>
    <x v="9"/>
    <s v="Rajasthan Royals"/>
    <n v="6"/>
    <n v="12"/>
    <n v="1"/>
    <n v="0"/>
    <n v="2"/>
    <n v="2"/>
    <n v="50"/>
    <n v="3"/>
  </r>
  <r>
    <x v="447"/>
    <x v="13"/>
    <s v="Kings XI Punjab"/>
    <n v="463"/>
    <n v="334"/>
    <n v="56"/>
    <n v="20"/>
    <n v="13"/>
    <n v="14"/>
    <n v="138.62"/>
    <n v="35.619999999999997"/>
  </r>
  <r>
    <x v="447"/>
    <x v="0"/>
    <s v="Kings XI Punjab"/>
    <n v="30"/>
    <n v="51"/>
    <n v="4"/>
    <n v="0"/>
    <n v="6"/>
    <n v="6"/>
    <n v="58.82"/>
    <n v="5"/>
  </r>
  <r>
    <x v="447"/>
    <x v="1"/>
    <s v="Kings XI Punjab"/>
    <n v="6"/>
    <n v="17"/>
    <n v="0"/>
    <n v="0"/>
    <n v="1"/>
    <n v="1"/>
    <n v="35.29"/>
    <n v="6"/>
  </r>
  <r>
    <x v="448"/>
    <x v="12"/>
    <s v="Delhi Daredevils"/>
    <n v="203"/>
    <n v="156"/>
    <n v="9"/>
    <n v="13"/>
    <n v="4"/>
    <n v="7"/>
    <n v="130.13"/>
    <n v="50.75"/>
  </r>
  <r>
    <x v="449"/>
    <x v="5"/>
    <s v="Delhi Capitals"/>
    <n v="218"/>
    <n v="133"/>
    <n v="24"/>
    <n v="10"/>
    <n v="8"/>
    <n v="9"/>
    <n v="163.91"/>
    <n v="27.25"/>
  </r>
  <r>
    <x v="449"/>
    <x v="6"/>
    <s v="Kolkata Knight Riders"/>
    <n v="435"/>
    <n v="235"/>
    <n v="50"/>
    <n v="24"/>
    <n v="12"/>
    <n v="12"/>
    <n v="185.11"/>
    <n v="36.25"/>
  </r>
  <r>
    <x v="449"/>
    <x v="7"/>
    <s v="Royal Challengers Bengaluru"/>
    <n v="403"/>
    <n v="227"/>
    <n v="48"/>
    <n v="22"/>
    <n v="12"/>
    <n v="13"/>
    <n v="177.53"/>
    <n v="33.58"/>
  </r>
  <r>
    <x v="450"/>
    <x v="7"/>
    <s v="Sunrisers Hyderabad"/>
    <n v="92"/>
    <n v="68"/>
    <n v="7"/>
    <n v="2"/>
    <n v="4"/>
    <n v="5"/>
    <n v="135.29"/>
    <n v="23"/>
  </r>
  <r>
    <x v="451"/>
    <x v="2"/>
    <s v="Kolkata Knight Riders"/>
    <n v="0"/>
    <n v="2"/>
    <n v="0"/>
    <n v="0"/>
    <n v="1"/>
    <n v="1"/>
    <n v="0"/>
    <n v="0"/>
  </r>
  <r>
    <x v="451"/>
    <x v="10"/>
    <s v="Delhi Daredevils"/>
    <n v="77"/>
    <n v="53"/>
    <n v="5"/>
    <n v="4"/>
    <n v="5"/>
    <n v="8"/>
    <n v="145.28"/>
    <n v="15.4"/>
  </r>
  <r>
    <x v="451"/>
    <x v="16"/>
    <s v="Kolkata Knight Riders"/>
    <n v="146"/>
    <n v="114"/>
    <n v="9"/>
    <n v="8"/>
    <n v="7"/>
    <n v="10"/>
    <n v="128.07"/>
    <n v="20.86"/>
  </r>
  <r>
    <x v="451"/>
    <x v="17"/>
    <s v="Kolkata Knight Riders"/>
    <n v="93"/>
    <n v="56"/>
    <n v="5"/>
    <n v="8"/>
    <n v="5"/>
    <n v="5"/>
    <n v="166.07"/>
    <n v="18.600000000000001"/>
  </r>
  <r>
    <x v="451"/>
    <x v="4"/>
    <s v="Kolkata Knight Riders"/>
    <n v="63"/>
    <n v="23"/>
    <n v="5"/>
    <n v="6"/>
    <n v="4"/>
    <n v="5"/>
    <n v="273.91000000000003"/>
    <n v="15.75"/>
  </r>
  <r>
    <x v="451"/>
    <x v="6"/>
    <s v="Sunrisers Hyderabad"/>
    <n v="136"/>
    <n v="94"/>
    <n v="9"/>
    <n v="8"/>
    <n v="7"/>
    <n v="10"/>
    <n v="144.68"/>
    <n v="19.43"/>
  </r>
  <r>
    <x v="451"/>
    <x v="7"/>
    <s v="Sunrisers Hyderabad"/>
    <n v="97"/>
    <n v="58"/>
    <n v="6"/>
    <n v="7"/>
    <n v="4"/>
    <n v="9"/>
    <n v="167.24"/>
    <n v="24.25"/>
  </r>
  <r>
    <x v="452"/>
    <x v="8"/>
    <s v="Delhi Daredevils"/>
    <n v="2"/>
    <n v="5"/>
    <n v="0"/>
    <n v="0"/>
    <n v="2"/>
    <n v="2"/>
    <n v="40"/>
    <n v="1"/>
  </r>
  <r>
    <x v="452"/>
    <x v="9"/>
    <s v="Delhi Daredevils"/>
    <n v="6"/>
    <n v="10"/>
    <n v="0"/>
    <n v="0"/>
    <n v="2"/>
    <n v="4"/>
    <n v="60"/>
    <n v="3"/>
  </r>
  <r>
    <x v="452"/>
    <x v="12"/>
    <s v="Delhi Daredevils"/>
    <n v="10"/>
    <n v="14"/>
    <n v="0"/>
    <n v="0"/>
    <n v="0"/>
    <n v="2"/>
    <n v="71.430000000000007"/>
    <m/>
  </r>
  <r>
    <x v="452"/>
    <x v="1"/>
    <s v="Kolkata Knight Riders"/>
    <n v="4"/>
    <n v="2"/>
    <n v="1"/>
    <n v="0"/>
    <n v="0"/>
    <n v="1"/>
    <n v="200"/>
    <m/>
  </r>
  <r>
    <x v="452"/>
    <x v="10"/>
    <s v="Gujarat Lions"/>
    <n v="2"/>
    <n v="4"/>
    <n v="0"/>
    <n v="0"/>
    <n v="2"/>
    <n v="3"/>
    <n v="50"/>
    <n v="1"/>
  </r>
  <r>
    <x v="452"/>
    <x v="11"/>
    <s v="Mumbai Indians"/>
    <n v="0"/>
    <n v="4"/>
    <n v="0"/>
    <n v="0"/>
    <n v="1"/>
    <n v="1"/>
    <n v="0"/>
    <n v="0"/>
  </r>
  <r>
    <x v="452"/>
    <x v="4"/>
    <s v="Gujarat Titans"/>
    <n v="2"/>
    <n v="5"/>
    <n v="0"/>
    <n v="0"/>
    <n v="1"/>
    <n v="1"/>
    <n v="40"/>
    <n v="2"/>
  </r>
  <r>
    <x v="453"/>
    <x v="16"/>
    <s v="Sunrisers Hyderabad"/>
    <n v="133"/>
    <n v="109"/>
    <n v="9"/>
    <n v="4"/>
    <n v="9"/>
    <n v="10"/>
    <n v="122.02"/>
    <n v="14.78"/>
  </r>
  <r>
    <x v="453"/>
    <x v="17"/>
    <s v="Sunrisers Hyderabad"/>
    <n v="72"/>
    <n v="74"/>
    <n v="2"/>
    <n v="3"/>
    <n v="5"/>
    <n v="5"/>
    <n v="97.3"/>
    <n v="14.4"/>
  </r>
  <r>
    <x v="453"/>
    <x v="4"/>
    <s v="Sunrisers Hyderabad"/>
    <n v="46"/>
    <n v="33"/>
    <n v="4"/>
    <n v="2"/>
    <n v="2"/>
    <n v="2"/>
    <n v="139.38999999999999"/>
    <n v="23"/>
  </r>
  <r>
    <x v="453"/>
    <x v="5"/>
    <s v="Delhi Capitals"/>
    <n v="22"/>
    <n v="22"/>
    <n v="1"/>
    <n v="0"/>
    <n v="3"/>
    <n v="2"/>
    <n v="100"/>
    <n v="7.33"/>
  </r>
  <r>
    <x v="454"/>
    <x v="8"/>
    <s v="Deccan Chargers"/>
    <n v="1"/>
    <n v="2"/>
    <n v="0"/>
    <n v="0"/>
    <n v="0"/>
    <n v="1"/>
    <n v="50"/>
    <m/>
  </r>
  <r>
    <x v="455"/>
    <x v="4"/>
    <s v="Punjab Kings"/>
    <n v="4"/>
    <n v="1"/>
    <n v="1"/>
    <n v="0"/>
    <n v="0"/>
    <n v="1"/>
    <n v="400"/>
    <m/>
  </r>
  <r>
    <x v="455"/>
    <x v="5"/>
    <s v="Lucknow Super Giants"/>
    <n v="93"/>
    <n v="71"/>
    <n v="12"/>
    <n v="2"/>
    <n v="3"/>
    <n v="4"/>
    <n v="130.99"/>
    <n v="31"/>
  </r>
  <r>
    <x v="456"/>
    <x v="8"/>
    <s v="Kings XI Punjab"/>
    <n v="90"/>
    <n v="58"/>
    <n v="10"/>
    <n v="3"/>
    <n v="4"/>
    <n v="7"/>
    <n v="155.16999999999999"/>
    <n v="22.5"/>
  </r>
  <r>
    <x v="456"/>
    <x v="9"/>
    <s v="Kings XI Punjab"/>
    <n v="31"/>
    <n v="36"/>
    <n v="3"/>
    <n v="0"/>
    <n v="3"/>
    <n v="8"/>
    <n v="86.11"/>
    <n v="10.33"/>
  </r>
  <r>
    <x v="456"/>
    <x v="12"/>
    <s v="Kings XI Punjab"/>
    <n v="62"/>
    <n v="59"/>
    <n v="7"/>
    <n v="0"/>
    <n v="5"/>
    <n v="6"/>
    <n v="105.08"/>
    <n v="12.4"/>
  </r>
  <r>
    <x v="456"/>
    <x v="13"/>
    <s v="Kings XI Punjab"/>
    <n v="48"/>
    <n v="55"/>
    <n v="2"/>
    <n v="2"/>
    <n v="4"/>
    <n v="6"/>
    <n v="87.27"/>
    <n v="12"/>
  </r>
  <r>
    <x v="456"/>
    <x v="0"/>
    <s v="Kings XI Punjab"/>
    <n v="106"/>
    <n v="88"/>
    <n v="9"/>
    <n v="4"/>
    <n v="8"/>
    <n v="12"/>
    <n v="120.45"/>
    <n v="13.25"/>
  </r>
  <r>
    <x v="456"/>
    <x v="1"/>
    <s v="Kings XI Punjab"/>
    <n v="64"/>
    <n v="57"/>
    <n v="5"/>
    <n v="3"/>
    <n v="6"/>
    <n v="10"/>
    <n v="112.28"/>
    <n v="10.67"/>
  </r>
  <r>
    <x v="456"/>
    <x v="14"/>
    <s v="Kolkata Knight Riders"/>
    <n v="31"/>
    <n v="19"/>
    <n v="4"/>
    <n v="1"/>
    <n v="3"/>
    <n v="5"/>
    <n v="163.16"/>
    <n v="10.33"/>
  </r>
  <r>
    <x v="456"/>
    <x v="2"/>
    <s v="Kolkata Knight Riders"/>
    <n v="54"/>
    <n v="47"/>
    <n v="5"/>
    <n v="2"/>
    <n v="5"/>
    <n v="7"/>
    <n v="114.89"/>
    <n v="10.8"/>
  </r>
  <r>
    <x v="456"/>
    <x v="3"/>
    <s v="Kolkata Knight Riders"/>
    <n v="27"/>
    <n v="26"/>
    <n v="4"/>
    <n v="0"/>
    <n v="3"/>
    <n v="3"/>
    <n v="103.85"/>
    <n v="9"/>
  </r>
  <r>
    <x v="456"/>
    <x v="10"/>
    <s v="Kolkata Knight Riders"/>
    <n v="2"/>
    <n v="6"/>
    <n v="0"/>
    <n v="0"/>
    <n v="1"/>
    <n v="1"/>
    <n v="33.33"/>
    <n v="2"/>
  </r>
  <r>
    <x v="456"/>
    <x v="11"/>
    <s v="Kolkata Knight Riders"/>
    <n v="27"/>
    <n v="34"/>
    <n v="1"/>
    <n v="1"/>
    <n v="4"/>
    <n v="5"/>
    <n v="79.41"/>
    <n v="6.75"/>
  </r>
  <r>
    <x v="456"/>
    <x v="15"/>
    <s v="Kolkata Knight Riders"/>
    <n v="42"/>
    <n v="37"/>
    <n v="4"/>
    <n v="2"/>
    <n v="4"/>
    <n v="5"/>
    <n v="113.51"/>
    <n v="10.5"/>
  </r>
  <r>
    <x v="456"/>
    <x v="17"/>
    <s v="Mumbai Indians"/>
    <n v="0"/>
    <n v="2"/>
    <n v="0"/>
    <n v="0"/>
    <n v="1"/>
    <n v="1"/>
    <n v="0"/>
    <n v="0"/>
  </r>
  <r>
    <x v="456"/>
    <x v="5"/>
    <s v="Mumbai Indians"/>
    <n v="25"/>
    <n v="22"/>
    <n v="1"/>
    <n v="1"/>
    <n v="2"/>
    <n v="4"/>
    <n v="113.64"/>
    <n v="12.5"/>
  </r>
  <r>
    <x v="456"/>
    <x v="6"/>
    <s v="Mumbai Indians"/>
    <n v="15"/>
    <n v="15"/>
    <n v="1"/>
    <n v="1"/>
    <n v="4"/>
    <n v="6"/>
    <n v="100"/>
    <n v="3.75"/>
  </r>
  <r>
    <x v="457"/>
    <x v="8"/>
    <s v="Deccan Chargers"/>
    <n v="2"/>
    <n v="4"/>
    <n v="0"/>
    <n v="0"/>
    <n v="1"/>
    <n v="3"/>
    <n v="50"/>
    <n v="2"/>
  </r>
  <r>
    <x v="457"/>
    <x v="9"/>
    <s v="Deccan Chargers"/>
    <n v="1"/>
    <n v="7"/>
    <n v="0"/>
    <n v="0"/>
    <n v="3"/>
    <n v="4"/>
    <n v="14.29"/>
    <n v="0.33"/>
  </r>
  <r>
    <x v="457"/>
    <x v="12"/>
    <s v="Deccan Chargers"/>
    <n v="3"/>
    <n v="8"/>
    <n v="0"/>
    <n v="0"/>
    <n v="3"/>
    <n v="3"/>
    <n v="37.5"/>
    <n v="1"/>
  </r>
  <r>
    <x v="457"/>
    <x v="0"/>
    <s v="Mumbai Indians"/>
    <n v="4"/>
    <n v="13"/>
    <n v="0"/>
    <n v="0"/>
    <n v="1"/>
    <n v="3"/>
    <n v="30.77"/>
    <n v="4"/>
  </r>
  <r>
    <x v="457"/>
    <x v="1"/>
    <s v="Mumbai Indians"/>
    <n v="2"/>
    <n v="4"/>
    <n v="0"/>
    <n v="0"/>
    <n v="1"/>
    <n v="3"/>
    <n v="50"/>
    <n v="2"/>
  </r>
  <r>
    <x v="457"/>
    <x v="14"/>
    <s v="Mumbai Indians"/>
    <n v="4"/>
    <n v="8"/>
    <n v="0"/>
    <n v="0"/>
    <n v="1"/>
    <n v="3"/>
    <n v="50"/>
    <n v="4"/>
  </r>
  <r>
    <x v="458"/>
    <x v="11"/>
    <s v="Delhi Daredevils"/>
    <n v="245"/>
    <n v="160"/>
    <n v="27"/>
    <n v="10"/>
    <n v="9"/>
    <n v="9"/>
    <n v="153.12"/>
    <n v="27.22"/>
  </r>
  <r>
    <x v="458"/>
    <x v="15"/>
    <s v="Delhi Capitals"/>
    <n v="353"/>
    <n v="263"/>
    <n v="45"/>
    <n v="9"/>
    <n v="15"/>
    <n v="16"/>
    <n v="134.22"/>
    <n v="23.53"/>
  </r>
  <r>
    <x v="458"/>
    <x v="16"/>
    <s v="Delhi Capitals"/>
    <n v="228"/>
    <n v="167"/>
    <n v="27"/>
    <n v="8"/>
    <n v="13"/>
    <n v="13"/>
    <n v="136.53"/>
    <n v="17.54"/>
  </r>
  <r>
    <x v="458"/>
    <x v="17"/>
    <s v="Delhi Capitals"/>
    <n v="479"/>
    <n v="300"/>
    <n v="56"/>
    <n v="18"/>
    <n v="14"/>
    <n v="15"/>
    <n v="159.66999999999999"/>
    <n v="34.21"/>
  </r>
  <r>
    <x v="458"/>
    <x v="4"/>
    <s v="Delhi Capitals"/>
    <n v="283"/>
    <n v="184"/>
    <n v="37"/>
    <n v="10"/>
    <n v="10"/>
    <n v="10"/>
    <n v="153.80000000000001"/>
    <n v="28.3"/>
  </r>
  <r>
    <x v="458"/>
    <x v="5"/>
    <s v="Delhi Capitals"/>
    <n v="106"/>
    <n v="84"/>
    <n v="16"/>
    <n v="1"/>
    <n v="8"/>
    <n v="8"/>
    <n v="126.19"/>
    <n v="13.25"/>
  </r>
  <r>
    <x v="458"/>
    <x v="6"/>
    <s v="Delhi Capitals"/>
    <n v="198"/>
    <n v="121"/>
    <n v="30"/>
    <n v="5"/>
    <n v="8"/>
    <n v="8"/>
    <n v="163.63999999999999"/>
    <n v="24.75"/>
  </r>
  <r>
    <x v="459"/>
    <x v="8"/>
    <s v="Mumbai Indians"/>
    <n v="34"/>
    <n v="34"/>
    <n v="4"/>
    <n v="0"/>
    <n v="4"/>
    <n v="4"/>
    <n v="100"/>
    <n v="8.5"/>
  </r>
  <r>
    <x v="459"/>
    <x v="9"/>
    <s v="Mumbai Indians"/>
    <n v="53"/>
    <n v="51"/>
    <n v="4"/>
    <n v="2"/>
    <n v="3"/>
    <n v="4"/>
    <n v="103.92"/>
    <n v="17.670000000000002"/>
  </r>
  <r>
    <x v="459"/>
    <x v="13"/>
    <s v="Rajasthan Royals"/>
    <n v="5"/>
    <n v="5"/>
    <n v="1"/>
    <n v="0"/>
    <n v="1"/>
    <n v="1"/>
    <n v="100"/>
    <n v="5"/>
  </r>
  <r>
    <x v="460"/>
    <x v="3"/>
    <s v="Rising Pune Supergiants"/>
    <n v="6"/>
    <n v="12"/>
    <n v="0"/>
    <n v="0"/>
    <n v="1"/>
    <n v="1"/>
    <n v="50"/>
    <n v="6"/>
  </r>
  <r>
    <x v="461"/>
    <x v="1"/>
    <s v="Rajasthan Royals"/>
    <n v="3"/>
    <n v="6"/>
    <n v="0"/>
    <n v="0"/>
    <n v="0"/>
    <n v="1"/>
    <n v="50"/>
    <m/>
  </r>
  <r>
    <x v="461"/>
    <x v="14"/>
    <s v="Rajasthan Royals"/>
    <n v="5"/>
    <n v="9"/>
    <n v="0"/>
    <n v="0"/>
    <n v="1"/>
    <n v="2"/>
    <n v="55.56"/>
    <n v="5"/>
  </r>
  <r>
    <x v="461"/>
    <x v="2"/>
    <s v="Rajasthan Royals"/>
    <n v="3"/>
    <n v="5"/>
    <n v="0"/>
    <n v="0"/>
    <n v="0"/>
    <n v="2"/>
    <n v="60"/>
    <m/>
  </r>
  <r>
    <x v="461"/>
    <x v="3"/>
    <s v="Gujarat Lions"/>
    <n v="7"/>
    <n v="18"/>
    <n v="1"/>
    <n v="0"/>
    <n v="0"/>
    <n v="1"/>
    <n v="38.89"/>
    <m/>
  </r>
  <r>
    <x v="462"/>
    <x v="4"/>
    <s v="Lucknow Super Giants"/>
    <n v="43"/>
    <n v="28"/>
    <n v="3"/>
    <n v="3"/>
    <n v="3"/>
    <n v="7"/>
    <n v="153.57"/>
    <n v="14.33"/>
  </r>
  <r>
    <x v="462"/>
    <x v="7"/>
    <s v="Delhi Capitals"/>
    <n v="10"/>
    <n v="14"/>
    <n v="0"/>
    <n v="0"/>
    <n v="0"/>
    <n v="3"/>
    <n v="71.430000000000007"/>
    <m/>
  </r>
  <r>
    <x v="463"/>
    <x v="7"/>
    <s v="Mumbai Indians"/>
    <n v="1"/>
    <n v="1"/>
    <n v="0"/>
    <n v="0"/>
    <n v="0"/>
    <n v="1"/>
    <n v="100"/>
    <m/>
  </r>
  <r>
    <x v="464"/>
    <x v="7"/>
    <s v="Sunrisers Hyderabad"/>
    <n v="9"/>
    <n v="11"/>
    <n v="1"/>
    <n v="0"/>
    <n v="1"/>
    <n v="1"/>
    <n v="81.819999999999993"/>
    <n v="9"/>
  </r>
  <r>
    <x v="465"/>
    <x v="17"/>
    <s v="Royal Challengers Bangalore"/>
    <n v="1"/>
    <n v="2"/>
    <n v="0"/>
    <n v="0"/>
    <n v="1"/>
    <n v="2"/>
    <n v="50"/>
    <n v="1"/>
  </r>
  <r>
    <x v="465"/>
    <x v="4"/>
    <s v="Royal Challengers Bangalore"/>
    <n v="38"/>
    <n v="43"/>
    <n v="4"/>
    <n v="1"/>
    <n v="7"/>
    <n v="7"/>
    <n v="88.37"/>
    <n v="5.43"/>
  </r>
  <r>
    <x v="465"/>
    <x v="5"/>
    <s v="Royal Challengers Bangalore"/>
    <n v="33"/>
    <n v="28"/>
    <n v="3"/>
    <n v="0"/>
    <n v="3"/>
    <n v="5"/>
    <n v="117.86"/>
    <n v="11"/>
  </r>
  <r>
    <x v="465"/>
    <x v="7"/>
    <s v="Rajasthan Royals"/>
    <n v="9"/>
    <n v="15"/>
    <n v="0"/>
    <n v="0"/>
    <n v="5"/>
    <n v="5"/>
    <n v="60"/>
    <n v="1.8"/>
  </r>
  <r>
    <x v="466"/>
    <x v="8"/>
    <s v="Rajasthan Royals"/>
    <n v="5"/>
    <n v="8"/>
    <n v="0"/>
    <n v="0"/>
    <n v="0"/>
    <n v="2"/>
    <n v="62.5"/>
    <m/>
  </r>
  <r>
    <x v="466"/>
    <x v="9"/>
    <s v="Royal Challengers Bangalore"/>
    <n v="1"/>
    <n v="2"/>
    <n v="0"/>
    <n v="0"/>
    <n v="1"/>
    <n v="2"/>
    <n v="50"/>
    <n v="1"/>
  </r>
  <r>
    <x v="466"/>
    <x v="12"/>
    <s v="Royal Challengers Bangalore"/>
    <n v="1"/>
    <n v="2"/>
    <n v="0"/>
    <n v="0"/>
    <n v="1"/>
    <n v="1"/>
    <n v="50"/>
    <n v="1"/>
  </r>
  <r>
    <x v="467"/>
    <x v="1"/>
    <s v="Pune Warriors"/>
    <n v="5"/>
    <n v="9"/>
    <n v="0"/>
    <n v="0"/>
    <n v="1"/>
    <n v="2"/>
    <n v="55.56"/>
    <n v="5"/>
  </r>
  <r>
    <x v="467"/>
    <x v="2"/>
    <s v="Sunrisers Hyderabad"/>
    <n v="2"/>
    <n v="2"/>
    <n v="0"/>
    <n v="0"/>
    <n v="0"/>
    <n v="1"/>
    <n v="100"/>
    <m/>
  </r>
  <r>
    <x v="467"/>
    <x v="3"/>
    <s v="Royal Challengers Bangalore"/>
    <n v="10"/>
    <n v="9"/>
    <n v="1"/>
    <n v="0"/>
    <n v="1"/>
    <n v="1"/>
    <n v="111.11"/>
    <n v="10"/>
  </r>
  <r>
    <x v="468"/>
    <x v="7"/>
    <s v="Lucknow Super Giants"/>
    <n v="5"/>
    <n v="10"/>
    <n v="0"/>
    <n v="0"/>
    <n v="0"/>
    <n v="2"/>
    <n v="50"/>
    <m/>
  </r>
  <r>
    <x v="469"/>
    <x v="7"/>
    <s v="Punjab Kings"/>
    <n v="545"/>
    <n v="298"/>
    <n v="60"/>
    <n v="31"/>
    <n v="18"/>
    <n v="18"/>
    <n v="182.89"/>
    <n v="30.28"/>
  </r>
  <r>
    <x v="470"/>
    <x v="1"/>
    <s v="Sunrisers Hyderabad"/>
    <n v="6"/>
    <n v="15"/>
    <n v="1"/>
    <n v="0"/>
    <n v="3"/>
    <n v="3"/>
    <n v="40"/>
    <n v="2"/>
  </r>
  <r>
    <x v="470"/>
    <x v="14"/>
    <s v="Delhi Daredevils"/>
    <n v="153"/>
    <n v="130"/>
    <n v="19"/>
    <n v="4"/>
    <n v="6"/>
    <n v="7"/>
    <n v="117.69"/>
    <n v="25.5"/>
  </r>
  <r>
    <x v="470"/>
    <x v="2"/>
    <s v="Delhi Daredevils"/>
    <n v="122"/>
    <n v="77"/>
    <n v="18"/>
    <n v="4"/>
    <n v="3"/>
    <n v="3"/>
    <n v="158.44"/>
    <n v="40.67"/>
  </r>
  <r>
    <x v="470"/>
    <x v="3"/>
    <s v="Delhi Daredevils"/>
    <n v="445"/>
    <n v="326"/>
    <n v="52"/>
    <n v="13"/>
    <n v="13"/>
    <n v="13"/>
    <n v="136.5"/>
    <n v="34.229999999999997"/>
  </r>
  <r>
    <x v="470"/>
    <x v="11"/>
    <s v="Royal Challengers Bangalore"/>
    <n v="201"/>
    <n v="162"/>
    <n v="20"/>
    <n v="8"/>
    <n v="7"/>
    <n v="8"/>
    <n v="124.07"/>
    <n v="28.71"/>
  </r>
  <r>
    <x v="470"/>
    <x v="15"/>
    <s v="Mumbai Indians"/>
    <n v="529"/>
    <n v="396"/>
    <n v="45"/>
    <n v="25"/>
    <n v="14"/>
    <n v="16"/>
    <n v="133.59"/>
    <n v="37.79"/>
  </r>
  <r>
    <x v="470"/>
    <x v="16"/>
    <s v="Mumbai Indians"/>
    <n v="506"/>
    <n v="361"/>
    <n v="46"/>
    <n v="22"/>
    <n v="15"/>
    <n v="16"/>
    <n v="140.16999999999999"/>
    <n v="33.729999999999997"/>
  </r>
  <r>
    <x v="470"/>
    <x v="17"/>
    <s v="Mumbai Indians"/>
    <n v="297"/>
    <n v="255"/>
    <n v="29"/>
    <n v="7"/>
    <n v="10"/>
    <n v="11"/>
    <n v="116.47"/>
    <n v="29.7"/>
  </r>
  <r>
    <x v="470"/>
    <x v="4"/>
    <s v="Lucknow Super Giants"/>
    <n v="508"/>
    <n v="340"/>
    <n v="47"/>
    <n v="23"/>
    <n v="15"/>
    <n v="15"/>
    <n v="149.41"/>
    <n v="33.869999999999997"/>
  </r>
  <r>
    <x v="470"/>
    <x v="5"/>
    <s v="Lucknow Super Giants"/>
    <n v="143"/>
    <n v="101"/>
    <n v="10"/>
    <n v="8"/>
    <n v="4"/>
    <n v="4"/>
    <n v="141.58000000000001"/>
    <n v="35.75"/>
  </r>
  <r>
    <x v="470"/>
    <x v="6"/>
    <s v="Lucknow Super Giants"/>
    <n v="250"/>
    <n v="186"/>
    <n v="29"/>
    <n v="9"/>
    <n v="11"/>
    <n v="11"/>
    <n v="134.41"/>
    <n v="22.73"/>
  </r>
  <r>
    <x v="470"/>
    <x v="7"/>
    <s v="Kolkata Knight Riders"/>
    <n v="152"/>
    <n v="116"/>
    <n v="9"/>
    <n v="11"/>
    <n v="7"/>
    <n v="8"/>
    <n v="131.03"/>
    <n v="21.71"/>
  </r>
  <r>
    <x v="471"/>
    <x v="9"/>
    <s v="Chennai Super Kings"/>
    <n v="8"/>
    <n v="15"/>
    <n v="1"/>
    <n v="0"/>
    <n v="1"/>
    <n v="1"/>
    <n v="53.33"/>
    <n v="8"/>
  </r>
  <r>
    <x v="471"/>
    <x v="12"/>
    <s v="Chennai Super Kings"/>
    <n v="30"/>
    <n v="40"/>
    <n v="2"/>
    <n v="0"/>
    <n v="3"/>
    <n v="6"/>
    <n v="75"/>
    <n v="10"/>
  </r>
  <r>
    <x v="471"/>
    <x v="13"/>
    <s v="Chennai Super Kings"/>
    <n v="2"/>
    <n v="6"/>
    <n v="0"/>
    <n v="0"/>
    <n v="2"/>
    <n v="2"/>
    <n v="33.33"/>
    <n v="1"/>
  </r>
  <r>
    <x v="471"/>
    <x v="0"/>
    <s v="Chennai Super Kings"/>
    <n v="18"/>
    <n v="15"/>
    <n v="2"/>
    <n v="0"/>
    <n v="3"/>
    <n v="5"/>
    <n v="120"/>
    <n v="6"/>
  </r>
  <r>
    <x v="471"/>
    <x v="1"/>
    <s v="Chennai Super Kings"/>
    <n v="35"/>
    <n v="49"/>
    <n v="4"/>
    <n v="0"/>
    <n v="4"/>
    <n v="5"/>
    <n v="71.430000000000007"/>
    <n v="8.75"/>
  </r>
  <r>
    <x v="471"/>
    <x v="14"/>
    <s v="Chennai Super Kings"/>
    <n v="45"/>
    <n v="45"/>
    <n v="4"/>
    <n v="0"/>
    <n v="2"/>
    <n v="5"/>
    <n v="100"/>
    <n v="22.5"/>
  </r>
  <r>
    <x v="471"/>
    <x v="2"/>
    <s v="Chennai Super Kings"/>
    <n v="52"/>
    <n v="32"/>
    <n v="6"/>
    <n v="1"/>
    <n v="3"/>
    <n v="6"/>
    <n v="162.5"/>
    <n v="17.329999999999998"/>
  </r>
  <r>
    <x v="471"/>
    <x v="3"/>
    <s v="Rising Pune Supergiants"/>
    <n v="41"/>
    <n v="38"/>
    <n v="3"/>
    <n v="1"/>
    <n v="2"/>
    <n v="6"/>
    <n v="107.89"/>
    <n v="20.5"/>
  </r>
  <r>
    <x v="471"/>
    <x v="11"/>
    <s v="Kings XI Punjab"/>
    <n v="102"/>
    <n v="71"/>
    <n v="7"/>
    <n v="5"/>
    <n v="8"/>
    <n v="8"/>
    <n v="143.66"/>
    <n v="12.75"/>
  </r>
  <r>
    <x v="471"/>
    <x v="15"/>
    <s v="Kings XI Punjab"/>
    <n v="42"/>
    <n v="28"/>
    <n v="3"/>
    <n v="3"/>
    <n v="5"/>
    <n v="6"/>
    <n v="150"/>
    <n v="8.4"/>
  </r>
  <r>
    <x v="471"/>
    <x v="16"/>
    <s v="Delhi Capitals"/>
    <n v="37"/>
    <n v="34"/>
    <n v="3"/>
    <n v="1"/>
    <n v="3"/>
    <n v="5"/>
    <n v="108.82"/>
    <n v="12.33"/>
  </r>
  <r>
    <x v="471"/>
    <x v="17"/>
    <s v="Delhi Capitals"/>
    <n v="44"/>
    <n v="42"/>
    <n v="2"/>
    <n v="1"/>
    <n v="3"/>
    <n v="5"/>
    <n v="104.76"/>
    <n v="14.67"/>
  </r>
  <r>
    <x v="471"/>
    <x v="4"/>
    <s v="Rajasthan Royals"/>
    <n v="191"/>
    <n v="134"/>
    <n v="14"/>
    <n v="9"/>
    <n v="9"/>
    <n v="12"/>
    <n v="142.54"/>
    <n v="21.22"/>
  </r>
  <r>
    <x v="471"/>
    <x v="5"/>
    <s v="Rajasthan Royals"/>
    <n v="67"/>
    <n v="51"/>
    <n v="5"/>
    <n v="3"/>
    <n v="5"/>
    <n v="9"/>
    <n v="131.37"/>
    <n v="13.4"/>
  </r>
  <r>
    <x v="471"/>
    <x v="6"/>
    <s v="Rajasthan Royals"/>
    <n v="86"/>
    <n v="74"/>
    <n v="5"/>
    <n v="4"/>
    <n v="6"/>
    <n v="8"/>
    <n v="116.22"/>
    <n v="14.33"/>
  </r>
  <r>
    <x v="471"/>
    <x v="7"/>
    <s v="Chennai Super Kings"/>
    <n v="33"/>
    <n v="29"/>
    <n v="3"/>
    <n v="1"/>
    <n v="4"/>
    <n v="4"/>
    <n v="113.79"/>
    <n v="8.25"/>
  </r>
  <r>
    <x v="472"/>
    <x v="8"/>
    <s v="Delhi Daredevils"/>
    <n v="34"/>
    <n v="28"/>
    <n v="2"/>
    <n v="2"/>
    <n v="2"/>
    <n v="3"/>
    <n v="121.43"/>
    <n v="17"/>
  </r>
  <r>
    <x v="472"/>
    <x v="9"/>
    <s v="Delhi Daredevils"/>
    <n v="8"/>
    <n v="18"/>
    <n v="1"/>
    <n v="0"/>
    <n v="5"/>
    <n v="5"/>
    <n v="44.44"/>
    <n v="1.6"/>
  </r>
  <r>
    <x v="472"/>
    <x v="12"/>
    <s v="Delhi Daredevils"/>
    <n v="24"/>
    <n v="17"/>
    <n v="1"/>
    <n v="2"/>
    <n v="3"/>
    <n v="3"/>
    <n v="141.18"/>
    <n v="8"/>
  </r>
  <r>
    <x v="472"/>
    <x v="13"/>
    <s v="Kolkata Knight Riders"/>
    <n v="25"/>
    <n v="22"/>
    <n v="3"/>
    <n v="0"/>
    <n v="2"/>
    <n v="6"/>
    <n v="113.64"/>
    <n v="12.5"/>
  </r>
  <r>
    <x v="472"/>
    <x v="0"/>
    <s v="Kolkata Knight Riders"/>
    <n v="35"/>
    <n v="28"/>
    <n v="4"/>
    <n v="0"/>
    <n v="3"/>
    <n v="6"/>
    <n v="125"/>
    <n v="11.67"/>
  </r>
  <r>
    <x v="472"/>
    <x v="1"/>
    <s v="Kolkata Knight Riders"/>
    <n v="99"/>
    <n v="80"/>
    <n v="8"/>
    <n v="3"/>
    <n v="6"/>
    <n v="10"/>
    <n v="123.75"/>
    <n v="16.5"/>
  </r>
  <r>
    <x v="472"/>
    <x v="14"/>
    <s v="Rajasthan Royals"/>
    <n v="67"/>
    <n v="53"/>
    <n v="4"/>
    <n v="3"/>
    <n v="5"/>
    <n v="7"/>
    <n v="126.42"/>
    <n v="13.4"/>
  </r>
  <r>
    <x v="472"/>
    <x v="2"/>
    <s v="Rajasthan Royals"/>
    <n v="0"/>
    <n v="1"/>
    <n v="0"/>
    <n v="0"/>
    <n v="1"/>
    <n v="1"/>
    <n v="0"/>
    <n v="0"/>
  </r>
  <r>
    <x v="472"/>
    <x v="3"/>
    <s v="Rising Pune Supergiants"/>
    <n v="34"/>
    <n v="20"/>
    <n v="1"/>
    <n v="2"/>
    <n v="1"/>
    <n v="5"/>
    <n v="170"/>
    <n v="34"/>
  </r>
  <r>
    <x v="472"/>
    <x v="10"/>
    <s v="Rising Pune Supergiant"/>
    <n v="16"/>
    <n v="17"/>
    <n v="0"/>
    <n v="1"/>
    <n v="1"/>
    <n v="1"/>
    <n v="94.12"/>
    <n v="16"/>
  </r>
  <r>
    <x v="473"/>
    <x v="9"/>
    <s v="Royal Challengers Bangalore"/>
    <n v="19"/>
    <n v="17"/>
    <n v="1"/>
    <n v="2"/>
    <n v="3"/>
    <n v="3"/>
    <n v="111.76"/>
    <n v="6.33"/>
  </r>
  <r>
    <x v="474"/>
    <x v="1"/>
    <s v="Mumbai Indians"/>
    <n v="21"/>
    <n v="21"/>
    <n v="3"/>
    <n v="0"/>
    <n v="3"/>
    <n v="4"/>
    <n v="100"/>
    <n v="7"/>
  </r>
  <r>
    <x v="474"/>
    <x v="14"/>
    <s v="Kings XI Punjab"/>
    <n v="82"/>
    <n v="75"/>
    <n v="8"/>
    <n v="1"/>
    <n v="2"/>
    <n v="6"/>
    <n v="109.33"/>
    <n v="41"/>
  </r>
  <r>
    <x v="474"/>
    <x v="2"/>
    <s v="Kings XI Punjab"/>
    <n v="36"/>
    <n v="33"/>
    <n v="2"/>
    <n v="2"/>
    <n v="2"/>
    <n v="4"/>
    <n v="109.09"/>
    <n v="18"/>
  </r>
  <r>
    <x v="474"/>
    <x v="3"/>
    <s v="Kings XI Punjab"/>
    <n v="14"/>
    <n v="6"/>
    <n v="0"/>
    <n v="1"/>
    <n v="0"/>
    <n v="2"/>
    <n v="233.33"/>
    <m/>
  </r>
  <r>
    <x v="474"/>
    <x v="4"/>
    <s v="Punjab Kings"/>
    <n v="37"/>
    <n v="40"/>
    <n v="4"/>
    <n v="2"/>
    <n v="2"/>
    <n v="4"/>
    <n v="92.5"/>
    <n v="18.5"/>
  </r>
  <r>
    <x v="474"/>
    <x v="5"/>
    <s v="Punjab Kings"/>
    <n v="20"/>
    <n v="12"/>
    <n v="1"/>
    <n v="1"/>
    <n v="1"/>
    <n v="2"/>
    <n v="166.67"/>
    <n v="20"/>
  </r>
  <r>
    <x v="475"/>
    <x v="8"/>
    <s v="Royal Challengers Bangalore"/>
    <n v="371"/>
    <n v="297"/>
    <n v="35"/>
    <n v="11"/>
    <n v="14"/>
    <n v="14"/>
    <n v="124.92"/>
    <n v="26.5"/>
  </r>
  <r>
    <x v="475"/>
    <x v="9"/>
    <s v="Royal Challengers Bangalore"/>
    <n v="271"/>
    <n v="234"/>
    <n v="28"/>
    <n v="3"/>
    <n v="11"/>
    <n v="12"/>
    <n v="115.81"/>
    <n v="24.64"/>
  </r>
  <r>
    <x v="475"/>
    <x v="12"/>
    <s v="Royal Challengers Bangalore"/>
    <n v="256"/>
    <n v="199"/>
    <n v="34"/>
    <n v="3"/>
    <n v="9"/>
    <n v="11"/>
    <n v="128.63999999999999"/>
    <n v="28.44"/>
  </r>
  <r>
    <x v="475"/>
    <x v="13"/>
    <s v="Rajasthan Royals"/>
    <n v="343"/>
    <n v="312"/>
    <n v="45"/>
    <n v="2"/>
    <n v="11"/>
    <n v="12"/>
    <n v="109.94"/>
    <n v="31.18"/>
  </r>
  <r>
    <x v="475"/>
    <x v="0"/>
    <s v="Rajasthan Royals"/>
    <n v="462"/>
    <n v="412"/>
    <n v="63"/>
    <n v="4"/>
    <n v="16"/>
    <n v="16"/>
    <n v="112.14"/>
    <n v="28.88"/>
  </r>
  <r>
    <x v="475"/>
    <x v="1"/>
    <s v="Rajasthan Royals"/>
    <n v="471"/>
    <n v="424"/>
    <n v="64"/>
    <n v="5"/>
    <n v="16"/>
    <n v="17"/>
    <n v="111.08"/>
    <n v="29.44"/>
  </r>
  <r>
    <x v="476"/>
    <x v="12"/>
    <s v="Mumbai Indians"/>
    <n v="66"/>
    <n v="69"/>
    <n v="7"/>
    <n v="0"/>
    <n v="3"/>
    <n v="7"/>
    <n v="95.65"/>
    <n v="22"/>
  </r>
  <r>
    <x v="476"/>
    <x v="13"/>
    <s v="Kings XI Punjab"/>
    <n v="90"/>
    <n v="96"/>
    <n v="7"/>
    <n v="1"/>
    <n v="3"/>
    <n v="4"/>
    <n v="93.75"/>
    <n v="30"/>
  </r>
  <r>
    <x v="476"/>
    <x v="1"/>
    <s v="Kolkata Knight Riders"/>
    <n v="3"/>
    <n v="6"/>
    <n v="0"/>
    <n v="0"/>
    <n v="2"/>
    <n v="2"/>
    <n v="50"/>
    <n v="1.5"/>
  </r>
  <r>
    <x v="477"/>
    <x v="7"/>
    <s v="Mumbai Indians"/>
    <n v="6"/>
    <n v="15"/>
    <n v="0"/>
    <n v="0"/>
    <n v="2"/>
    <n v="2"/>
    <n v="40"/>
    <n v="3"/>
  </r>
  <r>
    <x v="478"/>
    <x v="13"/>
    <s v="Royal Challengers Bangalore"/>
    <n v="3"/>
    <n v="5"/>
    <n v="0"/>
    <n v="0"/>
    <n v="1"/>
    <n v="1"/>
    <n v="60"/>
    <n v="3"/>
  </r>
  <r>
    <x v="479"/>
    <x v="15"/>
    <s v="Rajasthan Royals"/>
    <n v="160"/>
    <n v="126"/>
    <n v="17"/>
    <n v="5"/>
    <n v="4"/>
    <n v="5"/>
    <n v="126.98"/>
    <n v="40"/>
  </r>
  <r>
    <x v="479"/>
    <x v="16"/>
    <s v="Rajasthan Royals"/>
    <n v="86"/>
    <n v="77"/>
    <n v="6"/>
    <n v="3"/>
    <n v="6"/>
    <n v="8"/>
    <n v="111.69"/>
    <n v="14.33"/>
  </r>
  <r>
    <x v="479"/>
    <x v="17"/>
    <s v="Rajasthan Royals"/>
    <n v="93"/>
    <n v="82"/>
    <n v="6"/>
    <n v="4"/>
    <n v="8"/>
    <n v="10"/>
    <n v="113.41"/>
    <n v="11.62"/>
  </r>
  <r>
    <x v="479"/>
    <x v="4"/>
    <s v="Rajasthan Royals"/>
    <n v="183"/>
    <n v="132"/>
    <n v="11"/>
    <n v="10"/>
    <n v="11"/>
    <n v="14"/>
    <n v="138.63999999999999"/>
    <n v="16.64"/>
  </r>
  <r>
    <x v="479"/>
    <x v="5"/>
    <s v="Rajasthan Royals"/>
    <n v="78"/>
    <n v="65"/>
    <n v="4"/>
    <n v="5"/>
    <n v="6"/>
    <n v="7"/>
    <n v="120"/>
    <n v="13"/>
  </r>
  <r>
    <x v="479"/>
    <x v="6"/>
    <s v="Rajasthan Royals"/>
    <n v="573"/>
    <n v="383"/>
    <n v="40"/>
    <n v="33"/>
    <n v="12"/>
    <n v="14"/>
    <n v="149.61000000000001"/>
    <n v="47.75"/>
  </r>
  <r>
    <x v="479"/>
    <x v="7"/>
    <s v="Rajasthan Royals"/>
    <n v="397"/>
    <n v="236"/>
    <n v="28"/>
    <n v="27"/>
    <n v="13"/>
    <n v="14"/>
    <n v="168.22"/>
    <n v="30.54"/>
  </r>
  <r>
    <x v="480"/>
    <x v="4"/>
    <s v="Delhi Capitals"/>
    <n v="250"/>
    <n v="167"/>
    <n v="10"/>
    <n v="22"/>
    <n v="11"/>
    <n v="12"/>
    <n v="149.69999999999999"/>
    <n v="22.73"/>
  </r>
  <r>
    <x v="480"/>
    <x v="5"/>
    <s v="Delhi Capitals"/>
    <n v="7"/>
    <n v="9"/>
    <n v="1"/>
    <n v="0"/>
    <n v="3"/>
    <n v="3"/>
    <n v="77.78"/>
    <n v="2.33"/>
  </r>
  <r>
    <x v="480"/>
    <x v="6"/>
    <s v="Rajasthan Royals"/>
    <n v="103"/>
    <n v="68"/>
    <n v="10"/>
    <n v="6"/>
    <n v="6"/>
    <n v="7"/>
    <n v="151.47"/>
    <n v="17.170000000000002"/>
  </r>
  <r>
    <x v="480"/>
    <x v="7"/>
    <s v="Kolkata Knight Riders"/>
    <n v="5"/>
    <n v="5"/>
    <n v="1"/>
    <n v="0"/>
    <n v="1"/>
    <n v="1"/>
    <n v="100"/>
    <n v="5"/>
  </r>
  <r>
    <x v="481"/>
    <x v="1"/>
    <s v="Royal Challengers Bangalore"/>
    <n v="38"/>
    <n v="36"/>
    <n v="3"/>
    <n v="1"/>
    <n v="4"/>
    <n v="6"/>
    <n v="105.56"/>
    <n v="9.5"/>
  </r>
  <r>
    <x v="481"/>
    <x v="14"/>
    <s v="Royal Challengers Bangalore"/>
    <n v="13"/>
    <n v="13"/>
    <n v="0"/>
    <n v="1"/>
    <n v="1"/>
    <n v="1"/>
    <n v="100"/>
    <n v="13"/>
  </r>
  <r>
    <x v="482"/>
    <x v="6"/>
    <s v="Chennai Super Kings"/>
    <n v="222"/>
    <n v="137"/>
    <n v="22"/>
    <n v="12"/>
    <n v="9"/>
    <n v="10"/>
    <n v="162.04"/>
    <n v="24.67"/>
  </r>
  <r>
    <x v="482"/>
    <x v="7"/>
    <s v="Chennai Super Kings"/>
    <n v="191"/>
    <n v="147"/>
    <n v="18"/>
    <n v="4"/>
    <n v="7"/>
    <n v="8"/>
    <n v="129.93"/>
    <n v="27.29"/>
  </r>
  <r>
    <x v="483"/>
    <x v="6"/>
    <s v="Gujarat Titans"/>
    <n v="13"/>
    <n v="6"/>
    <n v="0"/>
    <n v="2"/>
    <n v="1"/>
    <n v="1"/>
    <n v="216.67"/>
    <n v="13"/>
  </r>
  <r>
    <x v="483"/>
    <x v="7"/>
    <s v="Gujarat Titans"/>
    <n v="5"/>
    <n v="10"/>
    <n v="0"/>
    <n v="0"/>
    <n v="2"/>
    <n v="3"/>
    <n v="50"/>
    <n v="2.5"/>
  </r>
  <r>
    <x v="484"/>
    <x v="4"/>
    <s v="Mumbai Indians"/>
    <n v="0"/>
    <n v="2"/>
    <n v="0"/>
    <n v="0"/>
    <n v="1"/>
    <n v="1"/>
    <n v="0"/>
    <n v="0"/>
  </r>
  <r>
    <x v="485"/>
    <x v="12"/>
    <s v="Mumbai Indians"/>
    <n v="112"/>
    <n v="96"/>
    <n v="11"/>
    <n v="0"/>
    <n v="6"/>
    <n v="10"/>
    <n v="116.67"/>
    <n v="18.670000000000002"/>
  </r>
  <r>
    <x v="485"/>
    <x v="13"/>
    <s v="Mumbai Indians"/>
    <n v="25"/>
    <n v="34"/>
    <n v="1"/>
    <n v="0"/>
    <n v="2"/>
    <n v="3"/>
    <n v="73.53"/>
    <n v="12.5"/>
  </r>
  <r>
    <x v="485"/>
    <x v="1"/>
    <s v="Kings XI Punjab"/>
    <n v="109"/>
    <n v="76"/>
    <n v="9"/>
    <n v="5"/>
    <n v="5"/>
    <n v="8"/>
    <n v="143.41999999999999"/>
    <n v="21.8"/>
  </r>
  <r>
    <x v="485"/>
    <x v="3"/>
    <s v="Kolkata Knight Riders"/>
    <n v="24"/>
    <n v="24"/>
    <n v="1"/>
    <n v="1"/>
    <n v="3"/>
    <n v="3"/>
    <n v="100"/>
    <n v="8"/>
  </r>
  <r>
    <x v="486"/>
    <x v="12"/>
    <s v="Deccan Chargers"/>
    <n v="29"/>
    <n v="26"/>
    <n v="3"/>
    <n v="1"/>
    <n v="3"/>
    <n v="4"/>
    <n v="111.54"/>
    <n v="9.67"/>
  </r>
  <r>
    <x v="486"/>
    <x v="13"/>
    <s v="Pune Warriors"/>
    <n v="24"/>
    <n v="21"/>
    <n v="1"/>
    <n v="2"/>
    <n v="2"/>
    <n v="5"/>
    <n v="114.29"/>
    <n v="12"/>
  </r>
  <r>
    <x v="486"/>
    <x v="0"/>
    <s v="Pune Warriors"/>
    <n v="2"/>
    <n v="11"/>
    <n v="0"/>
    <n v="0"/>
    <n v="3"/>
    <n v="4"/>
    <n v="18.18"/>
    <n v="0.67"/>
  </r>
  <r>
    <x v="486"/>
    <x v="1"/>
    <s v="Pune Warriors"/>
    <n v="11"/>
    <n v="17"/>
    <n v="1"/>
    <n v="0"/>
    <n v="3"/>
    <n v="6"/>
    <n v="64.709999999999994"/>
    <n v="3.67"/>
  </r>
  <r>
    <x v="487"/>
    <x v="4"/>
    <s v="Sunrisers Hyderabad"/>
    <n v="58"/>
    <n v="40"/>
    <n v="2"/>
    <n v="5"/>
    <n v="3"/>
    <n v="3"/>
    <n v="145"/>
    <n v="19.329999999999998"/>
  </r>
  <r>
    <x v="487"/>
    <x v="5"/>
    <s v="Lucknow Super Giants"/>
    <n v="0"/>
    <n v="1"/>
    <n v="0"/>
    <n v="0"/>
    <n v="1"/>
    <n v="1"/>
    <n v="0"/>
    <n v="0"/>
  </r>
  <r>
    <x v="487"/>
    <x v="6"/>
    <s v="Mumbai Indians"/>
    <n v="57"/>
    <n v="21"/>
    <n v="5"/>
    <n v="5"/>
    <n v="2"/>
    <n v="5"/>
    <n v="271.43"/>
    <n v="28.5"/>
  </r>
  <r>
    <x v="487"/>
    <x v="7"/>
    <s v="Royal Challengers Bengaluru"/>
    <n v="70"/>
    <n v="23"/>
    <n v="5"/>
    <n v="7"/>
    <n v="2"/>
    <n v="3"/>
    <n v="304.35000000000002"/>
    <n v="35"/>
  </r>
  <r>
    <x v="488"/>
    <x v="1"/>
    <s v="Rajasthan Royals"/>
    <n v="1"/>
    <n v="2"/>
    <n v="0"/>
    <n v="0"/>
    <n v="0"/>
    <n v="1"/>
    <n v="50"/>
    <m/>
  </r>
  <r>
    <x v="488"/>
    <x v="14"/>
    <s v="Delhi Daredevils"/>
    <n v="18"/>
    <n v="21"/>
    <n v="2"/>
    <n v="0"/>
    <n v="2"/>
    <n v="3"/>
    <n v="85.71"/>
    <n v="9"/>
  </r>
  <r>
    <x v="489"/>
    <x v="14"/>
    <s v="Rajasthan Royals"/>
    <n v="16"/>
    <n v="13"/>
    <n v="0"/>
    <n v="1"/>
    <n v="1"/>
    <n v="1"/>
    <n v="123.08"/>
    <n v="16"/>
  </r>
  <r>
    <x v="489"/>
    <x v="10"/>
    <s v="Kings XI Punjab"/>
    <n v="19"/>
    <n v="11"/>
    <n v="4"/>
    <n v="0"/>
    <n v="1"/>
    <n v="2"/>
    <n v="172.73"/>
    <n v="19"/>
  </r>
  <r>
    <x v="489"/>
    <x v="11"/>
    <s v="Delhi Daredevils"/>
    <n v="50"/>
    <n v="43"/>
    <n v="5"/>
    <n v="1"/>
    <n v="4"/>
    <n v="5"/>
    <n v="116.28"/>
    <n v="12.5"/>
  </r>
  <r>
    <x v="489"/>
    <x v="15"/>
    <s v="Delhi Capitals"/>
    <n v="26"/>
    <n v="22"/>
    <n v="2"/>
    <n v="1"/>
    <n v="1"/>
    <n v="4"/>
    <n v="118.18"/>
    <n v="26"/>
  </r>
  <r>
    <x v="489"/>
    <x v="16"/>
    <s v="Rajasthan Royals"/>
    <n v="255"/>
    <n v="182"/>
    <n v="13"/>
    <n v="17"/>
    <n v="6"/>
    <n v="11"/>
    <n v="140.11000000000001"/>
    <n v="42.5"/>
  </r>
  <r>
    <x v="489"/>
    <x v="17"/>
    <s v="Rajasthan Royals"/>
    <n v="155"/>
    <n v="147"/>
    <n v="11"/>
    <n v="6"/>
    <n v="11"/>
    <n v="11"/>
    <n v="105.44"/>
    <n v="14.09"/>
  </r>
  <r>
    <x v="489"/>
    <x v="4"/>
    <s v="Gujarat Titans"/>
    <n v="217"/>
    <n v="147"/>
    <n v="22"/>
    <n v="9"/>
    <n v="7"/>
    <n v="12"/>
    <n v="147.62"/>
    <n v="31"/>
  </r>
  <r>
    <x v="489"/>
    <x v="5"/>
    <s v="Gujarat Titans"/>
    <n v="87"/>
    <n v="57"/>
    <n v="3"/>
    <n v="7"/>
    <n v="4"/>
    <n v="10"/>
    <n v="152.63"/>
    <n v="21.75"/>
  </r>
  <r>
    <x v="489"/>
    <x v="6"/>
    <s v="Gujarat Titans"/>
    <n v="188"/>
    <n v="126"/>
    <n v="24"/>
    <n v="5"/>
    <n v="8"/>
    <n v="9"/>
    <n v="149.21"/>
    <n v="23.5"/>
  </r>
  <r>
    <x v="489"/>
    <x v="7"/>
    <s v="Gujarat Titans"/>
    <n v="99"/>
    <n v="59"/>
    <n v="6"/>
    <n v="7"/>
    <n v="6"/>
    <n v="11"/>
    <n v="167.8"/>
    <n v="16.5"/>
  </r>
  <r>
    <x v="490"/>
    <x v="8"/>
    <s v="Royal Challengers Bangalore"/>
    <n v="25"/>
    <n v="22"/>
    <n v="2"/>
    <n v="1"/>
    <n v="3"/>
    <n v="4"/>
    <n v="113.64"/>
    <n v="8.33"/>
  </r>
  <r>
    <x v="490"/>
    <x v="9"/>
    <s v="Royal Challengers Bangalore"/>
    <n v="47"/>
    <n v="44"/>
    <n v="4"/>
    <n v="1"/>
    <n v="4"/>
    <n v="7"/>
    <n v="106.82"/>
    <n v="11.75"/>
  </r>
  <r>
    <x v="490"/>
    <x v="12"/>
    <s v="Royal Challengers Bangalore"/>
    <n v="27"/>
    <n v="32"/>
    <n v="1"/>
    <n v="0"/>
    <n v="3"/>
    <n v="5"/>
    <n v="84.38"/>
    <n v="9"/>
  </r>
  <r>
    <x v="490"/>
    <x v="13"/>
    <s v="Kochi Tuskers Kerala"/>
    <n v="50"/>
    <n v="47"/>
    <n v="4"/>
    <n v="1"/>
    <n v="6"/>
    <n v="7"/>
    <n v="106.38"/>
    <n v="8.33"/>
  </r>
  <r>
    <x v="490"/>
    <x v="0"/>
    <s v="Royal Challengers Bangalore"/>
    <n v="68"/>
    <n v="62"/>
    <n v="3"/>
    <n v="2"/>
    <n v="5"/>
    <n v="7"/>
    <n v="109.68"/>
    <n v="13.6"/>
  </r>
  <r>
    <x v="490"/>
    <x v="1"/>
    <s v="Royal Challengers Bangalore"/>
    <n v="70"/>
    <n v="44"/>
    <n v="6"/>
    <n v="3"/>
    <n v="1"/>
    <n v="5"/>
    <n v="159.09"/>
    <n v="70"/>
  </r>
  <r>
    <x v="490"/>
    <x v="14"/>
    <s v="Kolkata Knight Riders"/>
    <n v="4"/>
    <n v="6"/>
    <n v="0"/>
    <n v="0"/>
    <n v="2"/>
    <n v="2"/>
    <n v="66.67"/>
    <n v="2"/>
  </r>
  <r>
    <x v="490"/>
    <x v="2"/>
    <s v="Mumbai Indians"/>
    <n v="0"/>
    <n v="2"/>
    <n v="0"/>
    <n v="0"/>
    <n v="1"/>
    <n v="2"/>
    <n v="0"/>
    <n v="0"/>
  </r>
  <r>
    <x v="490"/>
    <x v="3"/>
    <s v="Mumbai Indians"/>
    <n v="13"/>
    <n v="12"/>
    <n v="0"/>
    <n v="1"/>
    <n v="1"/>
    <n v="2"/>
    <n v="108.33"/>
    <n v="13"/>
  </r>
  <r>
    <x v="490"/>
    <x v="11"/>
    <s v="Kolkata Knight Riders"/>
    <n v="6"/>
    <n v="3"/>
    <n v="1"/>
    <n v="0"/>
    <n v="0"/>
    <n v="1"/>
    <n v="200"/>
    <m/>
  </r>
  <r>
    <x v="491"/>
    <x v="4"/>
    <s v="Punjab Kings"/>
    <n v="11"/>
    <n v="14"/>
    <n v="1"/>
    <n v="0"/>
    <n v="2"/>
    <n v="2"/>
    <n v="78.569999999999993"/>
    <n v="5.5"/>
  </r>
  <r>
    <x v="491"/>
    <x v="7"/>
    <s v="Mumbai Indians"/>
    <n v="8"/>
    <n v="4"/>
    <n v="0"/>
    <n v="0"/>
    <n v="0"/>
    <n v="1"/>
    <n v="200"/>
    <m/>
  </r>
  <r>
    <x v="492"/>
    <x v="8"/>
    <s v="Rajasthan Royals"/>
    <n v="135"/>
    <n v="100"/>
    <n v="11"/>
    <n v="6"/>
    <n v="7"/>
    <n v="9"/>
    <n v="135"/>
    <n v="19.29"/>
  </r>
  <r>
    <x v="492"/>
    <x v="9"/>
    <s v="Rajasthan Royals"/>
    <n v="295"/>
    <n v="265"/>
    <n v="21"/>
    <n v="6"/>
    <n v="12"/>
    <n v="13"/>
    <n v="111.32"/>
    <n v="24.58"/>
  </r>
  <r>
    <x v="492"/>
    <x v="13"/>
    <s v="Kochi Tuskers Kerala"/>
    <n v="283"/>
    <n v="227"/>
    <n v="20"/>
    <n v="14"/>
    <n v="9"/>
    <n v="12"/>
    <n v="124.67"/>
    <n v="31.44"/>
  </r>
  <r>
    <x v="492"/>
    <x v="0"/>
    <s v="Chennai Super Kings"/>
    <n v="191"/>
    <n v="151"/>
    <n v="13"/>
    <n v="9"/>
    <n v="12"/>
    <n v="14"/>
    <n v="126.49"/>
    <n v="15.92"/>
  </r>
  <r>
    <x v="492"/>
    <x v="1"/>
    <s v="Chennai Super Kings"/>
    <n v="201"/>
    <n v="134"/>
    <n v="17"/>
    <n v="6"/>
    <n v="9"/>
    <n v="14"/>
    <n v="150"/>
    <n v="22.33"/>
  </r>
  <r>
    <x v="492"/>
    <x v="14"/>
    <s v="Chennai Super Kings"/>
    <n v="146"/>
    <n v="109"/>
    <n v="9"/>
    <n v="5"/>
    <n v="5"/>
    <n v="10"/>
    <n v="133.94"/>
    <n v="29.2"/>
  </r>
  <r>
    <x v="492"/>
    <x v="2"/>
    <s v="Chennai Super Kings"/>
    <n v="132"/>
    <n v="126"/>
    <n v="7"/>
    <n v="3"/>
    <n v="8"/>
    <n v="11"/>
    <n v="104.76"/>
    <n v="16.5"/>
  </r>
  <r>
    <x v="492"/>
    <x v="3"/>
    <s v="Gujarat Lions"/>
    <n v="191"/>
    <n v="175"/>
    <n v="14"/>
    <n v="4"/>
    <n v="10"/>
    <n v="15"/>
    <n v="109.14"/>
    <n v="19.100000000000001"/>
  </r>
  <r>
    <x v="492"/>
    <x v="10"/>
    <s v="Gujarat Lions"/>
    <n v="158"/>
    <n v="113"/>
    <n v="13"/>
    <n v="4"/>
    <n v="4"/>
    <n v="10"/>
    <n v="139.82"/>
    <n v="39.5"/>
  </r>
  <r>
    <x v="492"/>
    <x v="11"/>
    <s v="Chennai Super Kings"/>
    <n v="89"/>
    <n v="74"/>
    <n v="3"/>
    <n v="4"/>
    <n v="5"/>
    <n v="8"/>
    <n v="120.27"/>
    <n v="17.8"/>
  </r>
  <r>
    <x v="492"/>
    <x v="15"/>
    <s v="Chennai Super Kings"/>
    <n v="106"/>
    <n v="87"/>
    <n v="7"/>
    <n v="4"/>
    <n v="2"/>
    <n v="9"/>
    <n v="121.84"/>
    <n v="53"/>
  </r>
  <r>
    <x v="492"/>
    <x v="16"/>
    <s v="Chennai Super Kings"/>
    <n v="232"/>
    <n v="134"/>
    <n v="22"/>
    <n v="11"/>
    <n v="5"/>
    <n v="11"/>
    <n v="173.13"/>
    <n v="46.4"/>
  </r>
  <r>
    <x v="492"/>
    <x v="17"/>
    <s v="Chennai Super Kings"/>
    <n v="227"/>
    <n v="155"/>
    <n v="19"/>
    <n v="9"/>
    <n v="4"/>
    <n v="11"/>
    <n v="146.44999999999999"/>
    <n v="56.75"/>
  </r>
  <r>
    <x v="492"/>
    <x v="4"/>
    <s v="Chennai Super Kings"/>
    <n v="116"/>
    <n v="98"/>
    <n v="6"/>
    <n v="5"/>
    <n v="8"/>
    <n v="10"/>
    <n v="118.37"/>
    <n v="14.5"/>
  </r>
  <r>
    <x v="492"/>
    <x v="5"/>
    <s v="Chennai Super Kings"/>
    <n v="190"/>
    <n v="132"/>
    <n v="11"/>
    <n v="9"/>
    <n v="8"/>
    <n v="12"/>
    <n v="143.94"/>
    <n v="23.75"/>
  </r>
  <r>
    <x v="492"/>
    <x v="6"/>
    <s v="Chennai Super Kings"/>
    <n v="267"/>
    <n v="187"/>
    <n v="22"/>
    <n v="8"/>
    <n v="6"/>
    <n v="11"/>
    <n v="142.78"/>
    <n v="44.5"/>
  </r>
  <r>
    <x v="492"/>
    <x v="7"/>
    <s v="Chennai Super Kings"/>
    <n v="301"/>
    <n v="222"/>
    <n v="25"/>
    <n v="10"/>
    <n v="9"/>
    <n v="14"/>
    <n v="135.59"/>
    <n v="33.44"/>
  </r>
  <r>
    <x v="493"/>
    <x v="10"/>
    <s v="Rising Pune Supergiant"/>
    <n v="391"/>
    <n v="267"/>
    <n v="43"/>
    <n v="17"/>
    <n v="12"/>
    <n v="14"/>
    <n v="146.44"/>
    <n v="32.58"/>
  </r>
  <r>
    <x v="493"/>
    <x v="11"/>
    <s v="Rajasthan Royals"/>
    <n v="226"/>
    <n v="166"/>
    <n v="18"/>
    <n v="8"/>
    <n v="9"/>
    <n v="12"/>
    <n v="136.13999999999999"/>
    <n v="25.11"/>
  </r>
  <r>
    <x v="493"/>
    <x v="15"/>
    <s v="Rajasthan Royals"/>
    <n v="141"/>
    <n v="117"/>
    <n v="13"/>
    <n v="2"/>
    <n v="6"/>
    <n v="7"/>
    <n v="120.51"/>
    <n v="23.5"/>
  </r>
  <r>
    <x v="493"/>
    <x v="16"/>
    <s v="Kolkata Knight Riders"/>
    <n v="230"/>
    <n v="181"/>
    <n v="21"/>
    <n v="10"/>
    <n v="10"/>
    <n v="11"/>
    <n v="127.07"/>
    <n v="23"/>
  </r>
  <r>
    <x v="493"/>
    <x v="17"/>
    <s v="Kolkata Knight Riders"/>
    <n v="397"/>
    <n v="282"/>
    <n v="41"/>
    <n v="11"/>
    <n v="15"/>
    <n v="16"/>
    <n v="140.78"/>
    <n v="26.47"/>
  </r>
  <r>
    <x v="493"/>
    <x v="4"/>
    <s v="Sunrisers Hyderabad"/>
    <n v="413"/>
    <n v="260"/>
    <n v="40"/>
    <n v="20"/>
    <n v="12"/>
    <n v="14"/>
    <n v="158.85"/>
    <n v="34.42"/>
  </r>
  <r>
    <x v="493"/>
    <x v="5"/>
    <s v="Sunrisers Hyderabad"/>
    <n v="273"/>
    <n v="212"/>
    <n v="29"/>
    <n v="10"/>
    <n v="12"/>
    <n v="13"/>
    <n v="128.77000000000001"/>
    <n v="22.75"/>
  </r>
  <r>
    <x v="493"/>
    <x v="6"/>
    <s v="Sunrisers Hyderabad"/>
    <n v="165"/>
    <n v="113"/>
    <n v="18"/>
    <n v="6"/>
    <n v="5"/>
    <n v="6"/>
    <n v="146.02000000000001"/>
    <n v="33"/>
  </r>
  <r>
    <x v="493"/>
    <x v="7"/>
    <s v="Chennai Super Kings"/>
    <n v="55"/>
    <n v="57"/>
    <n v="6"/>
    <n v="1"/>
    <n v="5"/>
    <n v="5"/>
    <n v="96.49"/>
    <n v="11"/>
  </r>
  <r>
    <x v="494"/>
    <x v="10"/>
    <s v="Rising Pune Supergiant"/>
    <n v="3"/>
    <n v="2"/>
    <n v="0"/>
    <n v="0"/>
    <n v="0"/>
    <n v="1"/>
    <n v="150"/>
    <m/>
  </r>
  <r>
    <x v="494"/>
    <x v="15"/>
    <s v="Mumbai Indians"/>
    <n v="12"/>
    <n v="11"/>
    <n v="2"/>
    <n v="0"/>
    <n v="2"/>
    <n v="4"/>
    <n v="109.09"/>
    <n v="6"/>
  </r>
  <r>
    <x v="494"/>
    <x v="16"/>
    <s v="Mumbai Indians"/>
    <n v="2"/>
    <n v="4"/>
    <n v="0"/>
    <n v="0"/>
    <n v="0"/>
    <n v="1"/>
    <n v="50"/>
    <m/>
  </r>
  <r>
    <x v="494"/>
    <x v="17"/>
    <s v="Mumbai Indians"/>
    <n v="14"/>
    <n v="15"/>
    <n v="1"/>
    <n v="0"/>
    <n v="4"/>
    <n v="4"/>
    <n v="93.33"/>
    <n v="3.5"/>
  </r>
  <r>
    <x v="494"/>
    <x v="4"/>
    <s v="Punjab Kings"/>
    <n v="77"/>
    <n v="68"/>
    <n v="7"/>
    <n v="4"/>
    <n v="7"/>
    <n v="8"/>
    <n v="113.24"/>
    <n v="11"/>
  </r>
  <r>
    <x v="494"/>
    <x v="5"/>
    <s v="Punjab Kings"/>
    <n v="0"/>
    <n v="9"/>
    <n v="0"/>
    <n v="0"/>
    <n v="2"/>
    <n v="2"/>
    <n v="0"/>
    <n v="0"/>
  </r>
  <r>
    <x v="494"/>
    <x v="6"/>
    <s v="Punjab Kings"/>
    <n v="21"/>
    <n v="15"/>
    <n v="3"/>
    <n v="1"/>
    <n v="1"/>
    <n v="2"/>
    <n v="140"/>
    <n v="21"/>
  </r>
  <r>
    <x v="495"/>
    <x v="16"/>
    <s v="Chennai Super Kings"/>
    <n v="204"/>
    <n v="169"/>
    <n v="16"/>
    <n v="6"/>
    <n v="3"/>
    <n v="6"/>
    <n v="120.71"/>
    <n v="68"/>
  </r>
  <r>
    <x v="495"/>
    <x v="17"/>
    <s v="Chennai Super Kings"/>
    <n v="635"/>
    <n v="462"/>
    <n v="64"/>
    <n v="23"/>
    <n v="15"/>
    <n v="16"/>
    <n v="137.44999999999999"/>
    <n v="42.33"/>
  </r>
  <r>
    <x v="495"/>
    <x v="4"/>
    <s v="Chennai Super Kings"/>
    <n v="368"/>
    <n v="289"/>
    <n v="33"/>
    <n v="14"/>
    <n v="14"/>
    <n v="14"/>
    <n v="127.34"/>
    <n v="26.29"/>
  </r>
  <r>
    <x v="495"/>
    <x v="5"/>
    <s v="Chennai Super Kings"/>
    <n v="590"/>
    <n v="398"/>
    <n v="46"/>
    <n v="30"/>
    <n v="13"/>
    <n v="15"/>
    <n v="148.24"/>
    <n v="45.38"/>
  </r>
  <r>
    <x v="495"/>
    <x v="6"/>
    <s v="Chennai Super Kings"/>
    <n v="583"/>
    <n v="412"/>
    <n v="58"/>
    <n v="18"/>
    <n v="11"/>
    <n v="14"/>
    <n v="141.5"/>
    <n v="53"/>
  </r>
  <r>
    <x v="495"/>
    <x v="7"/>
    <s v="Chennai Super Kings"/>
    <n v="122"/>
    <n v="81"/>
    <n v="14"/>
    <n v="4"/>
    <n v="5"/>
    <n v="5"/>
    <n v="150.62"/>
    <n v="24.4"/>
  </r>
  <r>
    <x v="496"/>
    <x v="7"/>
    <s v="Mumbai Indians"/>
    <n v="388"/>
    <n v="255"/>
    <n v="47"/>
    <n v="17"/>
    <n v="13"/>
    <n v="14"/>
    <n v="152.16"/>
    <n v="29.85"/>
  </r>
  <r>
    <x v="497"/>
    <x v="0"/>
    <s v="Mumbai Indians"/>
    <n v="83"/>
    <n v="73"/>
    <n v="10"/>
    <n v="4"/>
    <n v="6"/>
    <n v="6"/>
    <n v="113.7"/>
    <n v="13.83"/>
  </r>
  <r>
    <x v="498"/>
    <x v="9"/>
    <s v="Royal Challengers Bangalore"/>
    <n v="122"/>
    <n v="98"/>
    <n v="8"/>
    <n v="8"/>
    <n v="8"/>
    <n v="8"/>
    <n v="124.49"/>
    <n v="15.25"/>
  </r>
  <r>
    <x v="498"/>
    <x v="12"/>
    <s v="Royal Challengers Bangalore"/>
    <n v="1"/>
    <n v="2"/>
    <n v="0"/>
    <n v="0"/>
    <n v="1"/>
    <n v="1"/>
    <n v="50"/>
    <n v="1"/>
  </r>
  <r>
    <x v="498"/>
    <x v="13"/>
    <s v="Delhi Daredevils"/>
    <n v="14"/>
    <n v="16"/>
    <n v="1"/>
    <n v="0"/>
    <n v="1"/>
    <n v="4"/>
    <n v="87.5"/>
    <n v="14"/>
  </r>
  <r>
    <x v="498"/>
    <x v="1"/>
    <s v="Delhi Daredevils"/>
    <n v="22"/>
    <n v="25"/>
    <n v="2"/>
    <n v="0"/>
    <n v="2"/>
    <n v="2"/>
    <n v="88"/>
    <n v="11"/>
  </r>
  <r>
    <x v="499"/>
    <x v="2"/>
    <s v="Chennai Super Kings"/>
    <n v="2"/>
    <n v="2"/>
    <n v="0"/>
    <n v="0"/>
    <n v="0"/>
    <n v="1"/>
    <n v="100"/>
    <m/>
  </r>
  <r>
    <x v="500"/>
    <x v="8"/>
    <s v="Deccan Chargers"/>
    <n v="404"/>
    <n v="270"/>
    <n v="38"/>
    <n v="19"/>
    <n v="11"/>
    <n v="12"/>
    <n v="149.63"/>
    <n v="36.729999999999997"/>
  </r>
  <r>
    <x v="500"/>
    <x v="9"/>
    <s v="Deccan Chargers"/>
    <n v="362"/>
    <n v="313"/>
    <n v="22"/>
    <n v="18"/>
    <n v="13"/>
    <n v="16"/>
    <n v="115.65"/>
    <n v="27.85"/>
  </r>
  <r>
    <x v="500"/>
    <x v="12"/>
    <s v="Deccan Chargers"/>
    <n v="404"/>
    <n v="300"/>
    <n v="36"/>
    <n v="14"/>
    <n v="18"/>
    <n v="16"/>
    <n v="134.66999999999999"/>
    <n v="22.44"/>
  </r>
  <r>
    <x v="500"/>
    <x v="13"/>
    <s v="Mumbai Indians"/>
    <n v="372"/>
    <n v="297"/>
    <n v="32"/>
    <n v="13"/>
    <n v="10"/>
    <n v="13"/>
    <n v="125.25"/>
    <n v="37.200000000000003"/>
  </r>
  <r>
    <x v="500"/>
    <x v="0"/>
    <s v="Mumbai Indians"/>
    <n v="433"/>
    <n v="341"/>
    <n v="39"/>
    <n v="18"/>
    <n v="14"/>
    <n v="16"/>
    <n v="126.98"/>
    <n v="30.93"/>
  </r>
  <r>
    <x v="500"/>
    <x v="1"/>
    <s v="Mumbai Indians"/>
    <n v="538"/>
    <n v="408"/>
    <n v="35"/>
    <n v="28"/>
    <n v="14"/>
    <n v="19"/>
    <n v="131.86000000000001"/>
    <n v="38.43"/>
  </r>
  <r>
    <x v="500"/>
    <x v="14"/>
    <s v="Mumbai Indians"/>
    <n v="390"/>
    <n v="302"/>
    <n v="31"/>
    <n v="16"/>
    <n v="14"/>
    <n v="15"/>
    <n v="129.13999999999999"/>
    <n v="27.86"/>
  </r>
  <r>
    <x v="500"/>
    <x v="2"/>
    <s v="Mumbai Indians"/>
    <n v="482"/>
    <n v="333"/>
    <n v="41"/>
    <n v="21"/>
    <n v="15"/>
    <n v="16"/>
    <n v="144.74"/>
    <n v="32.130000000000003"/>
  </r>
  <r>
    <x v="500"/>
    <x v="3"/>
    <s v="Mumbai Indians"/>
    <n v="489"/>
    <n v="366"/>
    <n v="49"/>
    <n v="17"/>
    <n v="12"/>
    <n v="14"/>
    <n v="133.61000000000001"/>
    <n v="40.75"/>
  </r>
  <r>
    <x v="500"/>
    <x v="10"/>
    <s v="Mumbai Indians"/>
    <n v="333"/>
    <n v="273"/>
    <n v="31"/>
    <n v="9"/>
    <n v="14"/>
    <n v="16"/>
    <n v="121.98"/>
    <n v="23.79"/>
  </r>
  <r>
    <x v="500"/>
    <x v="11"/>
    <s v="Mumbai Indians"/>
    <n v="286"/>
    <n v="214"/>
    <n v="25"/>
    <n v="12"/>
    <n v="13"/>
    <n v="14"/>
    <n v="133.63999999999999"/>
    <n v="22"/>
  </r>
  <r>
    <x v="500"/>
    <x v="15"/>
    <s v="Mumbai Indians"/>
    <n v="405"/>
    <n v="314"/>
    <n v="52"/>
    <n v="10"/>
    <n v="14"/>
    <n v="15"/>
    <n v="128.97999999999999"/>
    <n v="28.93"/>
  </r>
  <r>
    <x v="500"/>
    <x v="16"/>
    <s v="Mumbai Indians"/>
    <n v="334"/>
    <n v="263"/>
    <n v="27"/>
    <n v="19"/>
    <n v="15"/>
    <n v="12"/>
    <n v="127"/>
    <n v="22.27"/>
  </r>
  <r>
    <x v="500"/>
    <x v="17"/>
    <s v="Mumbai Indians"/>
    <n v="381"/>
    <n v="298"/>
    <n v="33"/>
    <n v="14"/>
    <n v="12"/>
    <n v="13"/>
    <n v="127.85"/>
    <n v="31.75"/>
  </r>
  <r>
    <x v="500"/>
    <x v="4"/>
    <s v="Mumbai Indians"/>
    <n v="268"/>
    <n v="222"/>
    <n v="28"/>
    <n v="13"/>
    <n v="14"/>
    <n v="14"/>
    <n v="120.72"/>
    <n v="19.14"/>
  </r>
  <r>
    <x v="500"/>
    <x v="5"/>
    <s v="Mumbai Indians"/>
    <n v="332"/>
    <n v="248"/>
    <n v="35"/>
    <n v="17"/>
    <n v="16"/>
    <n v="16"/>
    <n v="133.87"/>
    <n v="20.75"/>
  </r>
  <r>
    <x v="500"/>
    <x v="6"/>
    <s v="Mumbai Indians"/>
    <n v="417"/>
    <n v="276"/>
    <n v="45"/>
    <n v="23"/>
    <n v="13"/>
    <n v="14"/>
    <n v="151.09"/>
    <n v="32.08"/>
  </r>
  <r>
    <x v="500"/>
    <x v="7"/>
    <s v="Mumbai Indians"/>
    <n v="418"/>
    <n v="279"/>
    <n v="41"/>
    <n v="22"/>
    <n v="14"/>
    <n v="15"/>
    <n v="149.82"/>
    <n v="29.86"/>
  </r>
  <r>
    <x v="501"/>
    <x v="6"/>
    <s v="Chennai Super Kings"/>
    <n v="2"/>
    <n v="2"/>
    <n v="0"/>
    <n v="0"/>
    <n v="0"/>
    <n v="1"/>
    <n v="100"/>
    <m/>
  </r>
  <r>
    <x v="502"/>
    <x v="9"/>
    <s v="Deccan Chargers"/>
    <n v="21"/>
    <n v="18"/>
    <n v="0"/>
    <n v="0"/>
    <n v="1"/>
    <n v="5"/>
    <n v="116.67"/>
    <n v="21"/>
  </r>
  <r>
    <x v="502"/>
    <x v="12"/>
    <s v="Deccan Chargers"/>
    <n v="45"/>
    <n v="39"/>
    <n v="2"/>
    <n v="2"/>
    <n v="4"/>
    <n v="5"/>
    <n v="115.38"/>
    <n v="11.25"/>
  </r>
  <r>
    <x v="502"/>
    <x v="13"/>
    <s v="Kings XI Punjab"/>
    <n v="31"/>
    <n v="38"/>
    <n v="3"/>
    <n v="0"/>
    <n v="5"/>
    <n v="7"/>
    <n v="81.58"/>
    <n v="6.2"/>
  </r>
  <r>
    <x v="502"/>
    <x v="0"/>
    <s v="Kings XI Punjab"/>
    <n v="18"/>
    <n v="11"/>
    <n v="1"/>
    <n v="1"/>
    <n v="1"/>
    <n v="2"/>
    <n v="163.63999999999999"/>
    <n v="18"/>
  </r>
  <r>
    <x v="502"/>
    <x v="1"/>
    <s v="Kings XI Punjab"/>
    <n v="2"/>
    <n v="5"/>
    <n v="0"/>
    <n v="0"/>
    <n v="1"/>
    <n v="2"/>
    <n v="40"/>
    <n v="2"/>
  </r>
  <r>
    <x v="503"/>
    <x v="0"/>
    <s v="Mumbai Indians"/>
    <n v="32"/>
    <n v="30"/>
    <n v="3"/>
    <n v="1"/>
    <n v="3"/>
    <n v="5"/>
    <n v="106.67"/>
    <n v="10.67"/>
  </r>
  <r>
    <x v="504"/>
    <x v="9"/>
    <s v="Rajasthan Royals"/>
    <n v="103"/>
    <n v="102"/>
    <n v="12"/>
    <n v="3"/>
    <n v="7"/>
    <n v="7"/>
    <n v="100.98"/>
    <n v="14.71"/>
  </r>
  <r>
    <x v="505"/>
    <x v="6"/>
    <s v="Royal Challengers Bengaluru"/>
    <n v="3"/>
    <n v="6"/>
    <n v="0"/>
    <n v="0"/>
    <n v="0"/>
    <n v="1"/>
    <n v="50"/>
    <m/>
  </r>
  <r>
    <x v="506"/>
    <x v="11"/>
    <s v="Sunrisers Hyderabad"/>
    <n v="0"/>
    <n v="5"/>
    <n v="0"/>
    <n v="0"/>
    <n v="1"/>
    <n v="1"/>
    <n v="0"/>
    <n v="0"/>
  </r>
  <r>
    <x v="506"/>
    <x v="15"/>
    <s v="Sunrisers Hyderabad"/>
    <n v="7"/>
    <n v="12"/>
    <n v="0"/>
    <n v="0"/>
    <n v="1"/>
    <n v="1"/>
    <n v="58.33"/>
    <n v="7"/>
  </r>
  <r>
    <x v="506"/>
    <x v="6"/>
    <s v="Delhi Capitals"/>
    <n v="3"/>
    <n v="9"/>
    <n v="0"/>
    <n v="0"/>
    <n v="2"/>
    <n v="2"/>
    <n v="33.33"/>
    <n v="1.5"/>
  </r>
  <r>
    <x v="507"/>
    <x v="11"/>
    <s v="Kolkata Knight Riders"/>
    <n v="29"/>
    <n v="31"/>
    <n v="4"/>
    <n v="0"/>
    <n v="4"/>
    <n v="4"/>
    <n v="93.55"/>
    <n v="7.25"/>
  </r>
  <r>
    <x v="507"/>
    <x v="15"/>
    <s v="Kolkata Knight Riders"/>
    <n v="37"/>
    <n v="34"/>
    <n v="1"/>
    <n v="2"/>
    <n v="2"/>
    <n v="3"/>
    <n v="108.82"/>
    <n v="18.5"/>
  </r>
  <r>
    <x v="507"/>
    <x v="16"/>
    <s v="Kolkata Knight Riders"/>
    <n v="11"/>
    <n v="11"/>
    <n v="1"/>
    <n v="0"/>
    <n v="1"/>
    <n v="1"/>
    <n v="100"/>
    <n v="11"/>
  </r>
  <r>
    <x v="507"/>
    <x v="4"/>
    <s v="Kolkata Knight Riders"/>
    <n v="174"/>
    <n v="117"/>
    <n v="17"/>
    <n v="7"/>
    <n v="5"/>
    <n v="7"/>
    <n v="148.72"/>
    <n v="34.799999999999997"/>
  </r>
  <r>
    <x v="507"/>
    <x v="5"/>
    <s v="Kolkata Knight Riders"/>
    <n v="474"/>
    <n v="313"/>
    <n v="31"/>
    <n v="29"/>
    <n v="8"/>
    <n v="14"/>
    <n v="151.44"/>
    <n v="59.25"/>
  </r>
  <r>
    <x v="507"/>
    <x v="6"/>
    <s v="Kolkata Knight Riders"/>
    <n v="168"/>
    <n v="111"/>
    <n v="13"/>
    <n v="8"/>
    <n v="9"/>
    <n v="11"/>
    <n v="151.35"/>
    <n v="18.670000000000002"/>
  </r>
  <r>
    <x v="507"/>
    <x v="7"/>
    <s v="Kolkata Knight Riders"/>
    <n v="206"/>
    <n v="133"/>
    <n v="20"/>
    <n v="10"/>
    <n v="7"/>
    <n v="11"/>
    <n v="154.88999999999999"/>
    <n v="29.43"/>
  </r>
  <r>
    <x v="508"/>
    <x v="17"/>
    <s v="Royal Challengers Bangalore"/>
    <n v="71"/>
    <n v="62"/>
    <n v="3"/>
    <n v="3"/>
    <n v="4"/>
    <n v="4"/>
    <n v="114.52"/>
    <n v="17.75"/>
  </r>
  <r>
    <x v="508"/>
    <x v="4"/>
    <s v="Royal Challengers Bangalore"/>
    <n v="333"/>
    <n v="217"/>
    <n v="27"/>
    <n v="18"/>
    <n v="6"/>
    <n v="7"/>
    <n v="153.46"/>
    <n v="55.5"/>
  </r>
  <r>
    <x v="508"/>
    <x v="6"/>
    <s v="Royal Challengers Bengaluru"/>
    <n v="395"/>
    <n v="223"/>
    <n v="21"/>
    <n v="33"/>
    <n v="14"/>
    <n v="13"/>
    <n v="177.13"/>
    <n v="28.21"/>
  </r>
  <r>
    <x v="508"/>
    <x v="7"/>
    <s v="Royal Challengers Bengaluru"/>
    <n v="312"/>
    <n v="217"/>
    <n v="25"/>
    <n v="14"/>
    <n v="12"/>
    <n v="14"/>
    <n v="143.78"/>
    <n v="26"/>
  </r>
  <r>
    <x v="509"/>
    <x v="13"/>
    <s v="Kolkata Knight Riders"/>
    <n v="107"/>
    <n v="73"/>
    <n v="9"/>
    <n v="5"/>
    <n v="3"/>
    <n v="3"/>
    <n v="146.58000000000001"/>
    <n v="35.67"/>
  </r>
  <r>
    <x v="509"/>
    <x v="0"/>
    <s v="Kolkata Knight Riders"/>
    <n v="21"/>
    <n v="21"/>
    <n v="1"/>
    <n v="1"/>
    <n v="2"/>
    <n v="3"/>
    <n v="100"/>
    <n v="10.5"/>
  </r>
  <r>
    <x v="509"/>
    <x v="1"/>
    <s v="Kolkata Knight Riders"/>
    <n v="85"/>
    <n v="63"/>
    <n v="9"/>
    <n v="2"/>
    <n v="3"/>
    <n v="4"/>
    <n v="134.91999999999999"/>
    <n v="28.33"/>
  </r>
  <r>
    <x v="509"/>
    <x v="14"/>
    <s v="Kolkata Knight Riders"/>
    <n v="52"/>
    <n v="33"/>
    <n v="3"/>
    <n v="4"/>
    <n v="4"/>
    <n v="6"/>
    <n v="157.58000000000001"/>
    <n v="13"/>
  </r>
  <r>
    <x v="509"/>
    <x v="2"/>
    <s v="Kolkata Knight Riders"/>
    <n v="61"/>
    <n v="45"/>
    <n v="4"/>
    <n v="3"/>
    <n v="5"/>
    <n v="5"/>
    <n v="135.56"/>
    <n v="12.2"/>
  </r>
  <r>
    <x v="510"/>
    <x v="4"/>
    <s v="Mumbai Indians"/>
    <n v="0"/>
    <n v="1"/>
    <n v="0"/>
    <n v="0"/>
    <n v="1"/>
    <n v="1"/>
    <n v="0"/>
    <n v="0"/>
  </r>
  <r>
    <x v="510"/>
    <x v="5"/>
    <s v="Mumbai Indians"/>
    <n v="0"/>
    <n v="2"/>
    <n v="0"/>
    <n v="0"/>
    <n v="0"/>
    <n v="1"/>
    <n v="0"/>
    <m/>
  </r>
  <r>
    <x v="511"/>
    <x v="8"/>
    <s v="Deccan Chargers"/>
    <n v="27"/>
    <n v="24"/>
    <n v="2"/>
    <n v="1"/>
    <n v="5"/>
    <n v="9"/>
    <n v="112.5"/>
    <n v="5.4"/>
  </r>
  <r>
    <x v="511"/>
    <x v="9"/>
    <s v="Deccan Chargers"/>
    <n v="8"/>
    <n v="17"/>
    <n v="0"/>
    <n v="0"/>
    <n v="4"/>
    <n v="5"/>
    <n v="47.06"/>
    <n v="2"/>
  </r>
  <r>
    <x v="511"/>
    <x v="12"/>
    <s v="Deccan Chargers"/>
    <n v="9"/>
    <n v="19"/>
    <n v="0"/>
    <n v="0"/>
    <n v="2"/>
    <n v="5"/>
    <n v="47.37"/>
    <n v="4.5"/>
  </r>
  <r>
    <x v="511"/>
    <x v="13"/>
    <s v="Kochi Tuskers Kerala"/>
    <n v="2"/>
    <n v="4"/>
    <n v="0"/>
    <n v="0"/>
    <n v="2"/>
    <n v="4"/>
    <n v="50"/>
    <n v="1"/>
  </r>
  <r>
    <x v="511"/>
    <x v="0"/>
    <s v="Mumbai Indians"/>
    <n v="6"/>
    <n v="12"/>
    <n v="0"/>
    <n v="0"/>
    <n v="2"/>
    <n v="5"/>
    <n v="50"/>
    <n v="3"/>
  </r>
  <r>
    <x v="512"/>
    <x v="0"/>
    <s v="Royal Challengers Bangalore"/>
    <n v="0"/>
    <n v="2"/>
    <n v="0"/>
    <n v="0"/>
    <n v="2"/>
    <n v="1"/>
    <n v="0"/>
    <n v="0"/>
  </r>
  <r>
    <x v="513"/>
    <x v="3"/>
    <s v="Delhi Daredevils"/>
    <n v="198"/>
    <n v="152"/>
    <n v="19"/>
    <n v="6"/>
    <n v="7"/>
    <n v="10"/>
    <n v="130.26"/>
    <n v="28.29"/>
  </r>
  <r>
    <x v="513"/>
    <x v="10"/>
    <s v="Delhi Daredevils"/>
    <n v="366"/>
    <n v="220"/>
    <n v="28"/>
    <n v="24"/>
    <n v="14"/>
    <n v="14"/>
    <n v="166.36"/>
    <n v="26.14"/>
  </r>
  <r>
    <x v="513"/>
    <x v="11"/>
    <s v="Delhi Daredevils"/>
    <n v="684"/>
    <n v="394"/>
    <n v="68"/>
    <n v="37"/>
    <n v="15"/>
    <n v="14"/>
    <n v="173.6"/>
    <n v="45.6"/>
  </r>
  <r>
    <x v="513"/>
    <x v="15"/>
    <s v="Delhi Capitals"/>
    <n v="494"/>
    <n v="302"/>
    <n v="37"/>
    <n v="27"/>
    <n v="13"/>
    <n v="16"/>
    <n v="163.58000000000001"/>
    <n v="38"/>
  </r>
  <r>
    <x v="513"/>
    <x v="16"/>
    <s v="Delhi Capitals"/>
    <n v="345"/>
    <n v="300"/>
    <n v="32"/>
    <n v="9"/>
    <n v="10"/>
    <n v="14"/>
    <n v="115"/>
    <n v="34.5"/>
  </r>
  <r>
    <x v="513"/>
    <x v="17"/>
    <s v="Delhi Capitals"/>
    <n v="424"/>
    <n v="328"/>
    <n v="43"/>
    <n v="10"/>
    <n v="13"/>
    <n v="16"/>
    <n v="129.27000000000001"/>
    <n v="32.619999999999997"/>
  </r>
  <r>
    <x v="513"/>
    <x v="4"/>
    <s v="Delhi Capitals"/>
    <n v="340"/>
    <n v="222"/>
    <n v="35"/>
    <n v="16"/>
    <n v="13"/>
    <n v="13"/>
    <n v="153.15"/>
    <n v="26.15"/>
  </r>
  <r>
    <x v="513"/>
    <x v="6"/>
    <s v="Delhi Capitals"/>
    <n v="446"/>
    <n v="287"/>
    <n v="36"/>
    <n v="25"/>
    <n v="11"/>
    <n v="13"/>
    <n v="155.4"/>
    <n v="40.549999999999997"/>
  </r>
  <r>
    <x v="513"/>
    <x v="7"/>
    <s v="Lucknow Super Giants"/>
    <n v="269"/>
    <n v="202"/>
    <n v="23"/>
    <n v="16"/>
    <n v="11"/>
    <n v="13"/>
    <n v="133.16999999999999"/>
    <n v="24.45"/>
  </r>
  <r>
    <x v="514"/>
    <x v="8"/>
    <s v="Kings XI Punjab"/>
    <n v="28"/>
    <n v="21"/>
    <n v="4"/>
    <n v="1"/>
    <n v="0"/>
    <n v="1"/>
    <n v="133.33000000000001"/>
    <m/>
  </r>
  <r>
    <x v="514"/>
    <x v="9"/>
    <s v="Kings XI Punjab"/>
    <n v="23"/>
    <n v="22"/>
    <n v="2"/>
    <n v="0"/>
    <n v="0"/>
    <n v="3"/>
    <n v="104.55"/>
    <m/>
  </r>
  <r>
    <x v="514"/>
    <x v="12"/>
    <s v="Kings XI Punjab"/>
    <n v="5"/>
    <n v="8"/>
    <n v="0"/>
    <n v="0"/>
    <n v="1"/>
    <n v="2"/>
    <n v="62.5"/>
    <n v="5"/>
  </r>
  <r>
    <x v="514"/>
    <x v="13"/>
    <s v="Kochi Tuskers Kerala"/>
    <n v="11"/>
    <n v="13"/>
    <n v="0"/>
    <n v="0"/>
    <n v="2"/>
    <n v="3"/>
    <n v="84.62"/>
    <n v="5.5"/>
  </r>
  <r>
    <x v="515"/>
    <x v="8"/>
    <s v="Mumbai Indians"/>
    <n v="8"/>
    <n v="9"/>
    <n v="1"/>
    <n v="0"/>
    <n v="0"/>
    <n v="3"/>
    <n v="88.89"/>
    <m/>
  </r>
  <r>
    <x v="515"/>
    <x v="9"/>
    <s v="Mumbai Indians"/>
    <n v="12"/>
    <n v="9"/>
    <n v="0"/>
    <n v="1"/>
    <n v="1"/>
    <n v="2"/>
    <n v="133.33000000000001"/>
    <n v="12"/>
  </r>
  <r>
    <x v="516"/>
    <x v="14"/>
    <s v="Royal Challengers Bangalore"/>
    <n v="39"/>
    <n v="41"/>
    <n v="2"/>
    <n v="2"/>
    <n v="4"/>
    <n v="3"/>
    <n v="95.12"/>
    <n v="9.75"/>
  </r>
  <r>
    <x v="516"/>
    <x v="2"/>
    <s v="Royal Challengers Bangalore"/>
    <n v="14"/>
    <n v="10"/>
    <n v="1"/>
    <n v="1"/>
    <n v="2"/>
    <n v="2"/>
    <n v="140"/>
    <n v="7"/>
  </r>
  <r>
    <x v="516"/>
    <x v="5"/>
    <s v="Delhi Capitals"/>
    <n v="209"/>
    <n v="140"/>
    <n v="17"/>
    <n v="11"/>
    <n v="7"/>
    <n v="9"/>
    <n v="149.29"/>
    <n v="29.86"/>
  </r>
  <r>
    <x v="516"/>
    <x v="6"/>
    <s v="Punjab Kings"/>
    <n v="211"/>
    <n v="115"/>
    <n v="25"/>
    <n v="11"/>
    <n v="8"/>
    <n v="8"/>
    <n v="183.48"/>
    <n v="26.38"/>
  </r>
  <r>
    <x v="517"/>
    <x v="8"/>
    <s v="Kings XI Punjab"/>
    <n v="73"/>
    <n v="75"/>
    <n v="6"/>
    <n v="1"/>
    <n v="3"/>
    <n v="4"/>
    <n v="97.33"/>
    <n v="24.33"/>
  </r>
  <r>
    <x v="518"/>
    <x v="9"/>
    <s v="Kings XI Punjab"/>
    <n v="138"/>
    <n v="119"/>
    <n v="8"/>
    <n v="7"/>
    <n v="6"/>
    <n v="5"/>
    <n v="115.97"/>
    <n v="23"/>
  </r>
  <r>
    <x v="518"/>
    <x v="12"/>
    <s v="Kings XI Punjab"/>
    <n v="248"/>
    <n v="214"/>
    <n v="25"/>
    <n v="3"/>
    <n v="8"/>
    <n v="9"/>
    <n v="115.89"/>
    <n v="31"/>
  </r>
  <r>
    <x v="518"/>
    <x v="2"/>
    <s v="Sunrisers Hyderabad"/>
    <n v="145"/>
    <n v="120"/>
    <n v="6"/>
    <n v="6"/>
    <n v="5"/>
    <n v="8"/>
    <n v="120.83"/>
    <n v="29"/>
  </r>
  <r>
    <x v="519"/>
    <x v="12"/>
    <s v="Kolkata Knight Riders"/>
    <n v="2"/>
    <n v="8"/>
    <n v="0"/>
    <n v="0"/>
    <n v="1"/>
    <n v="1"/>
    <n v="25"/>
    <n v="2"/>
  </r>
  <r>
    <x v="520"/>
    <x v="12"/>
    <s v="Kings XI Punjab"/>
    <n v="4"/>
    <n v="2"/>
    <n v="1"/>
    <n v="0"/>
    <n v="0"/>
    <n v="1"/>
    <n v="200"/>
    <m/>
  </r>
  <r>
    <x v="521"/>
    <x v="8"/>
    <s v="Kolkata Knight Riders"/>
    <n v="39"/>
    <n v="53"/>
    <n v="2"/>
    <n v="1"/>
    <n v="3"/>
    <n v="4"/>
    <n v="73.58"/>
    <n v="13"/>
  </r>
  <r>
    <x v="521"/>
    <x v="1"/>
    <s v="Mumbai Indians"/>
    <n v="52"/>
    <n v="75"/>
    <n v="3"/>
    <n v="1"/>
    <n v="5"/>
    <n v="5"/>
    <n v="69.33"/>
    <n v="10.4"/>
  </r>
  <r>
    <x v="522"/>
    <x v="13"/>
    <s v="Kochi Tuskers Kerala"/>
    <n v="46"/>
    <n v="50"/>
    <n v="4"/>
    <n v="1"/>
    <n v="7"/>
    <n v="8"/>
    <n v="92"/>
    <n v="6.57"/>
  </r>
  <r>
    <x v="522"/>
    <x v="1"/>
    <s v="Pune Warriors"/>
    <n v="4"/>
    <n v="1"/>
    <n v="1"/>
    <n v="0"/>
    <n v="0"/>
    <n v="1"/>
    <n v="400"/>
    <m/>
  </r>
  <r>
    <x v="523"/>
    <x v="17"/>
    <s v="Delhi Capitals"/>
    <n v="25"/>
    <n v="27"/>
    <n v="3"/>
    <n v="0"/>
    <n v="1"/>
    <n v="2"/>
    <n v="92.59"/>
    <n v="25"/>
  </r>
  <r>
    <x v="523"/>
    <x v="4"/>
    <s v="Delhi Capitals"/>
    <n v="6"/>
    <n v="3"/>
    <n v="0"/>
    <n v="1"/>
    <n v="1"/>
    <n v="1"/>
    <n v="200"/>
    <n v="6"/>
  </r>
  <r>
    <x v="523"/>
    <x v="5"/>
    <s v="Delhi Capitals"/>
    <n v="49"/>
    <n v="43"/>
    <n v="3"/>
    <n v="1"/>
    <n v="3"/>
    <n v="4"/>
    <n v="113.95"/>
    <n v="16.329999999999998"/>
  </r>
  <r>
    <x v="524"/>
    <x v="8"/>
    <s v="Mumbai Indians"/>
    <n v="320"/>
    <n v="274"/>
    <n v="34"/>
    <n v="9"/>
    <n v="12"/>
    <n v="14"/>
    <n v="116.79"/>
    <n v="26.67"/>
  </r>
  <r>
    <x v="524"/>
    <x v="9"/>
    <s v="Royal Challengers Bangalore"/>
    <n v="175"/>
    <n v="170"/>
    <n v="18"/>
    <n v="3"/>
    <n v="11"/>
    <n v="13"/>
    <n v="102.94"/>
    <n v="15.91"/>
  </r>
  <r>
    <x v="524"/>
    <x v="12"/>
    <s v="Royal Challengers Bangalore"/>
    <n v="374"/>
    <n v="218"/>
    <n v="21"/>
    <n v="27"/>
    <n v="12"/>
    <n v="14"/>
    <n v="171.56"/>
    <n v="31.17"/>
  </r>
  <r>
    <x v="524"/>
    <x v="13"/>
    <s v="Pune Warriors"/>
    <n v="264"/>
    <n v="205"/>
    <n v="27"/>
    <n v="10"/>
    <n v="10"/>
    <n v="13"/>
    <n v="128.78"/>
    <n v="26.4"/>
  </r>
  <r>
    <x v="524"/>
    <x v="0"/>
    <s v="Pune Warriors"/>
    <n v="405"/>
    <n v="342"/>
    <n v="38"/>
    <n v="10"/>
    <n v="14"/>
    <n v="16"/>
    <n v="118.42"/>
    <n v="28.93"/>
  </r>
  <r>
    <x v="524"/>
    <x v="1"/>
    <s v="Pune Warriors"/>
    <n v="434"/>
    <n v="368"/>
    <n v="42"/>
    <n v="12"/>
    <n v="16"/>
    <n v="16"/>
    <n v="117.93"/>
    <n v="27.12"/>
  </r>
  <r>
    <x v="524"/>
    <x v="14"/>
    <s v="Kolkata Knight Riders"/>
    <n v="660"/>
    <n v="478"/>
    <n v="74"/>
    <n v="18"/>
    <n v="16"/>
    <n v="16"/>
    <n v="138.08000000000001"/>
    <n v="41.25"/>
  </r>
  <r>
    <x v="524"/>
    <x v="2"/>
    <s v="Kolkata Knight Riders"/>
    <n v="364"/>
    <n v="277"/>
    <n v="42"/>
    <n v="7"/>
    <n v="12"/>
    <n v="13"/>
    <n v="131.41"/>
    <n v="30.33"/>
  </r>
  <r>
    <x v="524"/>
    <x v="3"/>
    <s v="Kolkata Knight Riders"/>
    <n v="394"/>
    <n v="288"/>
    <n v="45"/>
    <n v="8"/>
    <n v="16"/>
    <n v="15"/>
    <n v="136.81"/>
    <n v="24.62"/>
  </r>
  <r>
    <x v="524"/>
    <x v="10"/>
    <s v="Kolkata Knight Riders"/>
    <n v="388"/>
    <n v="235"/>
    <n v="36"/>
    <n v="21"/>
    <n v="12"/>
    <n v="13"/>
    <n v="165.11"/>
    <n v="32.33"/>
  </r>
  <r>
    <x v="524"/>
    <x v="11"/>
    <s v="Kolkata Knight Riders"/>
    <n v="351"/>
    <n v="264"/>
    <n v="30"/>
    <n v="21"/>
    <n v="17"/>
    <n v="16"/>
    <n v="132.94999999999999"/>
    <n v="20.65"/>
  </r>
  <r>
    <x v="524"/>
    <x v="15"/>
    <s v="Kolkata Knight Riders"/>
    <n v="284"/>
    <n v="247"/>
    <n v="28"/>
    <n v="10"/>
    <n v="9"/>
    <n v="11"/>
    <n v="114.98"/>
    <n v="31.56"/>
  </r>
  <r>
    <x v="524"/>
    <x v="16"/>
    <s v="Rajasthan Royals"/>
    <n v="196"/>
    <n v="164"/>
    <n v="19"/>
    <n v="7"/>
    <n v="12"/>
    <n v="12"/>
    <n v="119.51"/>
    <n v="16.329999999999998"/>
  </r>
  <r>
    <x v="524"/>
    <x v="17"/>
    <s v="Chennai Super Kings"/>
    <n v="115"/>
    <n v="84"/>
    <n v="8"/>
    <n v="5"/>
    <n v="4"/>
    <n v="4"/>
    <n v="136.9"/>
    <n v="28.75"/>
  </r>
  <r>
    <x v="524"/>
    <x v="4"/>
    <s v="Chennai Super Kings"/>
    <n v="230"/>
    <n v="170"/>
    <n v="19"/>
    <n v="14"/>
    <n v="11"/>
    <n v="11"/>
    <n v="135.29"/>
    <n v="20.91"/>
  </r>
  <r>
    <x v="525"/>
    <x v="5"/>
    <s v="Kolkata Knight Riders"/>
    <n v="227"/>
    <n v="169"/>
    <n v="17"/>
    <n v="15"/>
    <n v="11"/>
    <n v="11"/>
    <n v="134.32"/>
    <n v="20.64"/>
  </r>
  <r>
    <x v="525"/>
    <x v="6"/>
    <s v="Kolkata Knight Riders"/>
    <n v="62"/>
    <n v="46"/>
    <n v="7"/>
    <n v="4"/>
    <n v="2"/>
    <n v="2"/>
    <n v="134.78"/>
    <n v="31"/>
  </r>
  <r>
    <x v="525"/>
    <x v="7"/>
    <s v="Kolkata Knight Riders"/>
    <n v="74"/>
    <n v="53"/>
    <n v="10"/>
    <n v="3"/>
    <n v="4"/>
    <n v="5"/>
    <n v="139.62"/>
    <n v="18.5"/>
  </r>
  <r>
    <x v="526"/>
    <x v="4"/>
    <s v="Mumbai Indians"/>
    <n v="45"/>
    <n v="39"/>
    <n v="3"/>
    <n v="1"/>
    <n v="2"/>
    <n v="4"/>
    <n v="115.38"/>
    <n v="22.5"/>
  </r>
  <r>
    <x v="526"/>
    <x v="6"/>
    <s v="Kolkata Knight Riders"/>
    <n v="125"/>
    <n v="61"/>
    <n v="5"/>
    <n v="12"/>
    <n v="4"/>
    <n v="9"/>
    <n v="204.92"/>
    <n v="31.25"/>
  </r>
  <r>
    <x v="526"/>
    <x v="7"/>
    <s v="Kolkata Knight Riders"/>
    <n v="47"/>
    <n v="35"/>
    <n v="1"/>
    <n v="4"/>
    <n v="5"/>
    <n v="7"/>
    <n v="134.29"/>
    <n v="9.4"/>
  </r>
  <r>
    <x v="527"/>
    <x v="10"/>
    <s v="Sunrisers Hyderabad"/>
    <n v="11"/>
    <n v="9"/>
    <n v="0"/>
    <n v="1"/>
    <n v="2"/>
    <n v="3"/>
    <n v="122.22"/>
    <n v="5.5"/>
  </r>
  <r>
    <x v="527"/>
    <x v="11"/>
    <s v="Sunrisers Hyderabad"/>
    <n v="59"/>
    <n v="31"/>
    <n v="3"/>
    <n v="6"/>
    <n v="5"/>
    <n v="7"/>
    <n v="190.32"/>
    <n v="11.8"/>
  </r>
  <r>
    <x v="527"/>
    <x v="15"/>
    <s v="Sunrisers Hyderabad"/>
    <n v="34"/>
    <n v="23"/>
    <n v="2"/>
    <n v="2"/>
    <n v="5"/>
    <n v="7"/>
    <n v="147.83000000000001"/>
    <n v="6.8"/>
  </r>
  <r>
    <x v="527"/>
    <x v="16"/>
    <s v="Sunrisers Hyderabad"/>
    <n v="35"/>
    <n v="29"/>
    <n v="3"/>
    <n v="2"/>
    <n v="4"/>
    <n v="6"/>
    <n v="120.69"/>
    <n v="8.75"/>
  </r>
  <r>
    <x v="527"/>
    <x v="17"/>
    <s v="Sunrisers Hyderabad"/>
    <n v="83"/>
    <n v="66"/>
    <n v="9"/>
    <n v="2"/>
    <n v="8"/>
    <n v="10"/>
    <n v="125.76"/>
    <n v="10.38"/>
  </r>
  <r>
    <x v="527"/>
    <x v="4"/>
    <s v="Gujarat Titans"/>
    <n v="91"/>
    <n v="44"/>
    <n v="3"/>
    <n v="9"/>
    <n v="4"/>
    <n v="8"/>
    <n v="206.82"/>
    <n v="22.75"/>
  </r>
  <r>
    <x v="527"/>
    <x v="5"/>
    <s v="Gujarat Titans"/>
    <n v="130"/>
    <n v="60"/>
    <n v="8"/>
    <n v="13"/>
    <n v="4"/>
    <n v="9"/>
    <n v="216.67"/>
    <n v="32.5"/>
  </r>
  <r>
    <x v="527"/>
    <x v="6"/>
    <s v="Gujarat Titans"/>
    <n v="102"/>
    <n v="69"/>
    <n v="11"/>
    <n v="3"/>
    <n v="5"/>
    <n v="8"/>
    <n v="147.83000000000001"/>
    <n v="20.399999999999999"/>
  </r>
  <r>
    <x v="527"/>
    <x v="7"/>
    <s v="Gujarat Titans"/>
    <n v="40"/>
    <n v="28"/>
    <n v="2"/>
    <n v="3"/>
    <n v="5"/>
    <n v="8"/>
    <n v="142.86000000000001"/>
    <n v="8"/>
  </r>
  <r>
    <x v="528"/>
    <x v="15"/>
    <s v="Mumbai Indians"/>
    <n v="5"/>
    <n v="4"/>
    <n v="0"/>
    <n v="0"/>
    <n v="0"/>
    <n v="1"/>
    <n v="125"/>
    <m/>
  </r>
  <r>
    <x v="528"/>
    <x v="4"/>
    <s v="Kolkata Knight Riders"/>
    <n v="7"/>
    <n v="6"/>
    <n v="1"/>
    <n v="0"/>
    <n v="1"/>
    <n v="1"/>
    <n v="116.67"/>
    <n v="7"/>
  </r>
  <r>
    <x v="528"/>
    <x v="6"/>
    <s v="Delhi Capitals"/>
    <n v="28"/>
    <n v="30"/>
    <n v="4"/>
    <n v="0"/>
    <n v="4"/>
    <n v="4"/>
    <n v="93.33"/>
    <n v="7"/>
  </r>
  <r>
    <x v="529"/>
    <x v="16"/>
    <s v="Kings XI Punjab"/>
    <n v="7"/>
    <n v="12"/>
    <n v="1"/>
    <n v="0"/>
    <n v="1"/>
    <n v="2"/>
    <n v="58.33"/>
    <n v="7"/>
  </r>
  <r>
    <x v="529"/>
    <x v="17"/>
    <s v="Punjab Kings"/>
    <n v="1"/>
    <n v="4"/>
    <n v="0"/>
    <n v="0"/>
    <n v="1"/>
    <n v="1"/>
    <n v="25"/>
    <n v="1"/>
  </r>
  <r>
    <x v="529"/>
    <x v="4"/>
    <s v="Lucknow Super Giants"/>
    <n v="0"/>
    <n v="1"/>
    <n v="0"/>
    <n v="0"/>
    <n v="0"/>
    <n v="1"/>
    <n v="0"/>
    <m/>
  </r>
  <r>
    <x v="529"/>
    <x v="5"/>
    <s v="Lucknow Super Giants"/>
    <n v="20"/>
    <n v="27"/>
    <n v="1"/>
    <n v="0"/>
    <n v="3"/>
    <n v="7"/>
    <n v="74.069999999999993"/>
    <n v="6.67"/>
  </r>
  <r>
    <x v="529"/>
    <x v="6"/>
    <s v="Lucknow Super Giants"/>
    <n v="4"/>
    <n v="6"/>
    <n v="0"/>
    <n v="0"/>
    <n v="2"/>
    <n v="3"/>
    <n v="66.67"/>
    <n v="2"/>
  </r>
  <r>
    <x v="529"/>
    <x v="7"/>
    <s v="Lucknow Super Giants"/>
    <n v="13"/>
    <n v="16"/>
    <n v="0"/>
    <n v="2"/>
    <n v="2"/>
    <n v="2"/>
    <n v="81.25"/>
    <n v="6.5"/>
  </r>
  <r>
    <x v="530"/>
    <x v="8"/>
    <s v="Chennai Super Kings"/>
    <n v="1"/>
    <n v="7"/>
    <n v="0"/>
    <n v="0"/>
    <n v="1"/>
    <n v="1"/>
    <n v="14.29"/>
    <n v="1"/>
  </r>
  <r>
    <x v="530"/>
    <x v="12"/>
    <s v="Chennai Super Kings"/>
    <n v="30"/>
    <n v="18"/>
    <n v="2"/>
    <n v="2"/>
    <n v="1"/>
    <n v="2"/>
    <n v="166.67"/>
    <n v="30"/>
  </r>
  <r>
    <x v="530"/>
    <x v="13"/>
    <s v="Chennai Super Kings"/>
    <n v="83"/>
    <n v="74"/>
    <n v="6"/>
    <n v="3"/>
    <n v="4"/>
    <n v="5"/>
    <n v="112.16"/>
    <n v="20.75"/>
  </r>
  <r>
    <x v="530"/>
    <x v="0"/>
    <s v="Chennai Super Kings"/>
    <n v="19"/>
    <n v="6"/>
    <n v="1"/>
    <n v="2"/>
    <n v="0"/>
    <n v="2"/>
    <n v="316.67"/>
    <m/>
  </r>
  <r>
    <x v="530"/>
    <x v="1"/>
    <s v="Chennai Super Kings"/>
    <n v="0"/>
    <n v="2"/>
    <n v="0"/>
    <n v="0"/>
    <n v="1"/>
    <n v="1"/>
    <n v="0"/>
    <n v="0"/>
  </r>
  <r>
    <x v="530"/>
    <x v="14"/>
    <s v="Sunrisers Hyderabad"/>
    <n v="3"/>
    <n v="5"/>
    <n v="0"/>
    <n v="0"/>
    <n v="1"/>
    <n v="1"/>
    <n v="60"/>
    <n v="3"/>
  </r>
  <r>
    <x v="531"/>
    <x v="13"/>
    <s v="Royal Challengers Bangalore"/>
    <n v="13"/>
    <n v="8"/>
    <n v="2"/>
    <n v="0"/>
    <n v="0"/>
    <n v="2"/>
    <n v="162.5"/>
    <m/>
  </r>
  <r>
    <x v="531"/>
    <x v="0"/>
    <s v="Royal Challengers Bangalore"/>
    <n v="14"/>
    <n v="8"/>
    <n v="3"/>
    <n v="0"/>
    <n v="0"/>
    <n v="1"/>
    <n v="175"/>
    <m/>
  </r>
  <r>
    <x v="531"/>
    <x v="2"/>
    <s v="Royal Challengers Bangalore"/>
    <n v="0"/>
    <n v="1"/>
    <n v="0"/>
    <n v="0"/>
    <n v="0"/>
    <n v="1"/>
    <n v="0"/>
    <m/>
  </r>
  <r>
    <x v="531"/>
    <x v="10"/>
    <s v="Royal Challengers Bangalore"/>
    <n v="32"/>
    <n v="40"/>
    <n v="2"/>
    <n v="0"/>
    <n v="3"/>
    <n v="6"/>
    <n v="80"/>
    <n v="10.67"/>
  </r>
  <r>
    <x v="532"/>
    <x v="10"/>
    <s v="Royal Challengers Bangalore"/>
    <n v="13"/>
    <n v="23"/>
    <n v="0"/>
    <n v="0"/>
    <n v="5"/>
    <n v="5"/>
    <n v="56.52"/>
    <n v="2.6"/>
  </r>
  <r>
    <x v="533"/>
    <x v="8"/>
    <s v="Chennai Super Kings"/>
    <n v="192"/>
    <n v="130"/>
    <n v="21"/>
    <n v="8"/>
    <n v="6"/>
    <n v="11"/>
    <n v="147.69"/>
    <n v="32"/>
  </r>
  <r>
    <x v="533"/>
    <x v="9"/>
    <s v="Chennai Super Kings"/>
    <n v="177"/>
    <n v="164"/>
    <n v="20"/>
    <n v="4"/>
    <n v="9"/>
    <n v="11"/>
    <n v="107.93"/>
    <n v="19.670000000000002"/>
  </r>
  <r>
    <x v="533"/>
    <x v="12"/>
    <s v="Chennai Super Kings"/>
    <n v="356"/>
    <n v="301"/>
    <n v="41"/>
    <n v="5"/>
    <n v="12"/>
    <n v="15"/>
    <n v="118.27"/>
    <n v="29.67"/>
  </r>
  <r>
    <x v="533"/>
    <x v="13"/>
    <s v="Chennai Super Kings"/>
    <n v="396"/>
    <n v="312"/>
    <n v="38"/>
    <n v="9"/>
    <n v="6"/>
    <n v="12"/>
    <n v="126.92"/>
    <n v="66"/>
  </r>
  <r>
    <x v="533"/>
    <x v="0"/>
    <s v="Chennai Super Kings"/>
    <n v="196"/>
    <n v="181"/>
    <n v="23"/>
    <n v="2"/>
    <n v="8"/>
    <n v="9"/>
    <n v="108.29"/>
    <n v="24.5"/>
  </r>
  <r>
    <x v="533"/>
    <x v="1"/>
    <s v="Chennai Super Kings"/>
    <n v="124"/>
    <n v="120"/>
    <n v="11"/>
    <n v="0"/>
    <n v="7"/>
    <n v="7"/>
    <n v="103.33"/>
    <n v="17.71"/>
  </r>
  <r>
    <x v="534"/>
    <x v="8"/>
    <s v="Royal Challengers Bangalore"/>
    <n v="25"/>
    <n v="31"/>
    <n v="4"/>
    <n v="0"/>
    <n v="3"/>
    <n v="3"/>
    <n v="80.650000000000006"/>
    <n v="8.33"/>
  </r>
  <r>
    <x v="535"/>
    <x v="8"/>
    <s v="Delhi Daredevils"/>
    <n v="340"/>
    <n v="295"/>
    <n v="35"/>
    <n v="8"/>
    <n v="10"/>
    <n v="14"/>
    <n v="115.25"/>
    <n v="34"/>
  </r>
  <r>
    <x v="535"/>
    <x v="9"/>
    <s v="Mumbai Indians"/>
    <n v="40"/>
    <n v="45"/>
    <n v="3"/>
    <n v="0"/>
    <n v="4"/>
    <n v="4"/>
    <n v="88.89"/>
    <n v="10"/>
  </r>
  <r>
    <x v="535"/>
    <x v="12"/>
    <s v="Mumbai Indians"/>
    <n v="191"/>
    <n v="169"/>
    <n v="23"/>
    <n v="3"/>
    <n v="10"/>
    <n v="10"/>
    <n v="113.02"/>
    <n v="19.100000000000001"/>
  </r>
  <r>
    <x v="535"/>
    <x v="13"/>
    <s v="Deccan Chargers"/>
    <n v="400"/>
    <n v="309"/>
    <n v="47"/>
    <n v="7"/>
    <n v="12"/>
    <n v="14"/>
    <n v="129.44999999999999"/>
    <n v="33.33"/>
  </r>
  <r>
    <x v="535"/>
    <x v="0"/>
    <s v="Deccan Chargers"/>
    <n v="569"/>
    <n v="438"/>
    <n v="58"/>
    <n v="18"/>
    <n v="13"/>
    <n v="15"/>
    <n v="129.91"/>
    <n v="43.77"/>
  </r>
  <r>
    <x v="535"/>
    <x v="1"/>
    <s v="Sunrisers Hyderabad"/>
    <n v="311"/>
    <n v="253"/>
    <n v="37"/>
    <n v="5"/>
    <n v="8"/>
    <n v="10"/>
    <n v="122.92"/>
    <n v="38.880000000000003"/>
  </r>
  <r>
    <x v="535"/>
    <x v="14"/>
    <s v="Sunrisers Hyderabad"/>
    <n v="377"/>
    <n v="317"/>
    <n v="49"/>
    <n v="7"/>
    <n v="12"/>
    <n v="14"/>
    <n v="118.93"/>
    <n v="31.42"/>
  </r>
  <r>
    <x v="535"/>
    <x v="2"/>
    <s v="Sunrisers Hyderabad"/>
    <n v="353"/>
    <n v="285"/>
    <n v="45"/>
    <n v="6"/>
    <n v="13"/>
    <n v="14"/>
    <n v="123.86"/>
    <n v="27.15"/>
  </r>
  <r>
    <x v="535"/>
    <x v="3"/>
    <s v="Sunrisers Hyderabad"/>
    <n v="501"/>
    <n v="427"/>
    <n v="51"/>
    <n v="8"/>
    <n v="13"/>
    <n v="17"/>
    <n v="117.33"/>
    <n v="38.54"/>
  </r>
  <r>
    <x v="535"/>
    <x v="10"/>
    <s v="Sunrisers Hyderabad"/>
    <n v="479"/>
    <n v="375"/>
    <n v="53"/>
    <n v="9"/>
    <n v="13"/>
    <n v="14"/>
    <n v="127.73"/>
    <n v="36.85"/>
  </r>
  <r>
    <x v="535"/>
    <x v="11"/>
    <s v="Sunrisers Hyderabad"/>
    <n v="497"/>
    <n v="362"/>
    <n v="59"/>
    <n v="14"/>
    <n v="14"/>
    <n v="16"/>
    <n v="137.29"/>
    <n v="35.5"/>
  </r>
  <r>
    <x v="535"/>
    <x v="15"/>
    <s v="Delhi Capitals"/>
    <n v="521"/>
    <n v="382"/>
    <n v="64"/>
    <n v="11"/>
    <n v="16"/>
    <n v="16"/>
    <n v="136.38999999999999"/>
    <n v="32.56"/>
  </r>
  <r>
    <x v="535"/>
    <x v="16"/>
    <s v="Delhi Capitals"/>
    <n v="618"/>
    <n v="425"/>
    <n v="67"/>
    <n v="13"/>
    <n v="14"/>
    <n v="17"/>
    <n v="145.41"/>
    <n v="44.14"/>
  </r>
  <r>
    <x v="535"/>
    <x v="17"/>
    <s v="Delhi Capitals"/>
    <n v="587"/>
    <n v="471"/>
    <n v="63"/>
    <n v="16"/>
    <n v="15"/>
    <n v="16"/>
    <n v="124.63"/>
    <n v="39.130000000000003"/>
  </r>
  <r>
    <x v="535"/>
    <x v="4"/>
    <s v="Punjab Kings"/>
    <n v="460"/>
    <n v="372"/>
    <n v="47"/>
    <n v="12"/>
    <n v="12"/>
    <n v="14"/>
    <n v="123.66"/>
    <n v="38.33"/>
  </r>
  <r>
    <x v="535"/>
    <x v="5"/>
    <s v="Punjab Kings"/>
    <n v="373"/>
    <n v="258"/>
    <n v="49"/>
    <n v="12"/>
    <n v="10"/>
    <n v="11"/>
    <n v="144.57"/>
    <n v="37.299999999999997"/>
  </r>
  <r>
    <x v="535"/>
    <x v="6"/>
    <s v="Punjab Kings"/>
    <n v="152"/>
    <n v="121"/>
    <n v="18"/>
    <n v="4"/>
    <n v="5"/>
    <n v="5"/>
    <n v="125.62"/>
    <n v="30.4"/>
  </r>
  <r>
    <x v="536"/>
    <x v="15"/>
    <s v="Royal Challengers Bangalore"/>
    <n v="40"/>
    <n v="33"/>
    <n v="1"/>
    <n v="3"/>
    <n v="4"/>
    <n v="4"/>
    <n v="121.21"/>
    <n v="10"/>
  </r>
  <r>
    <x v="536"/>
    <x v="16"/>
    <s v="Royal Challengers Bangalore"/>
    <n v="129"/>
    <n v="105"/>
    <n v="5"/>
    <n v="9"/>
    <n v="7"/>
    <n v="9"/>
    <n v="122.86"/>
    <n v="18.43"/>
  </r>
  <r>
    <x v="536"/>
    <x v="17"/>
    <s v="Rajasthan Royals"/>
    <n v="230"/>
    <n v="193"/>
    <n v="18"/>
    <n v="10"/>
    <n v="8"/>
    <n v="9"/>
    <n v="119.17"/>
    <n v="28.75"/>
  </r>
  <r>
    <x v="536"/>
    <x v="4"/>
    <s v="Chennai Super Kings"/>
    <n v="289"/>
    <n v="184"/>
    <n v="22"/>
    <n v="16"/>
    <n v="9"/>
    <n v="11"/>
    <n v="157.07"/>
    <n v="32.11"/>
  </r>
  <r>
    <x v="536"/>
    <x v="5"/>
    <s v="Chennai Super Kings"/>
    <n v="418"/>
    <n v="264"/>
    <n v="12"/>
    <n v="35"/>
    <n v="11"/>
    <n v="14"/>
    <n v="158.33000000000001"/>
    <n v="38"/>
  </r>
  <r>
    <x v="536"/>
    <x v="6"/>
    <s v="Chennai Super Kings"/>
    <n v="396"/>
    <n v="243"/>
    <n v="28"/>
    <n v="28"/>
    <n v="11"/>
    <n v="14"/>
    <n v="162.96"/>
    <n v="36"/>
  </r>
  <r>
    <x v="536"/>
    <x v="7"/>
    <s v="Chennai Super Kings"/>
    <n v="357"/>
    <n v="268"/>
    <n v="22"/>
    <n v="21"/>
    <n v="11"/>
    <n v="14"/>
    <n v="133.21"/>
    <n v="32.450000000000003"/>
  </r>
  <r>
    <x v="537"/>
    <x v="14"/>
    <s v="Mumbai Indians"/>
    <n v="11"/>
    <n v="10"/>
    <n v="1"/>
    <n v="0"/>
    <n v="1"/>
    <n v="1"/>
    <n v="110"/>
    <n v="11"/>
  </r>
  <r>
    <x v="537"/>
    <x v="2"/>
    <s v="Mumbai Indians"/>
    <n v="1"/>
    <n v="1"/>
    <n v="0"/>
    <n v="0"/>
    <n v="0"/>
    <n v="1"/>
    <n v="100"/>
    <m/>
  </r>
  <r>
    <x v="537"/>
    <x v="3"/>
    <s v="Mumbai Indians"/>
    <n v="2"/>
    <n v="16"/>
    <n v="0"/>
    <n v="0"/>
    <n v="1"/>
    <n v="1"/>
    <n v="12.5"/>
    <n v="2"/>
  </r>
  <r>
    <x v="537"/>
    <x v="11"/>
    <s v="Rajasthan Royals"/>
    <n v="50"/>
    <n v="45"/>
    <n v="5"/>
    <n v="0"/>
    <n v="2"/>
    <n v="4"/>
    <n v="111.11"/>
    <n v="25"/>
  </r>
  <r>
    <x v="537"/>
    <x v="15"/>
    <s v="Rajasthan Royals"/>
    <n v="63"/>
    <n v="46"/>
    <n v="8"/>
    <n v="1"/>
    <n v="4"/>
    <n v="7"/>
    <n v="136.96"/>
    <n v="15.75"/>
  </r>
  <r>
    <x v="537"/>
    <x v="16"/>
    <s v="Rajasthan Royals"/>
    <n v="37"/>
    <n v="39"/>
    <n v="3"/>
    <n v="0"/>
    <n v="4"/>
    <n v="5"/>
    <n v="94.87"/>
    <n v="9.25"/>
  </r>
  <r>
    <x v="537"/>
    <x v="17"/>
    <s v="Rajasthan Royals"/>
    <n v="7"/>
    <n v="5"/>
    <n v="0"/>
    <n v="1"/>
    <n v="1"/>
    <n v="2"/>
    <n v="140"/>
    <n v="7"/>
  </r>
  <r>
    <x v="537"/>
    <x v="4"/>
    <s v="Sunrisers Hyderabad"/>
    <n v="9"/>
    <n v="7"/>
    <n v="2"/>
    <n v="0"/>
    <n v="0"/>
    <n v="1"/>
    <n v="128.57"/>
    <m/>
  </r>
  <r>
    <x v="538"/>
    <x v="1"/>
    <s v="Delhi Daredevils"/>
    <n v="7"/>
    <n v="9"/>
    <n v="0"/>
    <n v="0"/>
    <n v="0"/>
    <n v="1"/>
    <n v="77.78"/>
    <m/>
  </r>
  <r>
    <x v="538"/>
    <x v="14"/>
    <s v="Delhi Daredevils"/>
    <n v="2"/>
    <n v="2"/>
    <n v="0"/>
    <n v="0"/>
    <n v="0"/>
    <n v="1"/>
    <n v="100"/>
    <m/>
  </r>
  <r>
    <x v="538"/>
    <x v="10"/>
    <s v="Sunrisers Hyderabad"/>
    <n v="0"/>
    <n v="2"/>
    <n v="0"/>
    <n v="0"/>
    <n v="0"/>
    <n v="1"/>
    <n v="0"/>
    <m/>
  </r>
  <r>
    <x v="538"/>
    <x v="11"/>
    <s v="Sunrisers Hyderabad"/>
    <n v="3"/>
    <n v="14"/>
    <n v="0"/>
    <n v="0"/>
    <n v="2"/>
    <n v="3"/>
    <n v="21.43"/>
    <n v="1.5"/>
  </r>
  <r>
    <x v="538"/>
    <x v="15"/>
    <s v="Sunrisers Hyderabad"/>
    <n v="0"/>
    <n v="1"/>
    <n v="0"/>
    <n v="0"/>
    <n v="1"/>
    <n v="1"/>
    <n v="0"/>
    <n v="0"/>
  </r>
  <r>
    <x v="538"/>
    <x v="17"/>
    <s v="Sunrisers Hyderabad"/>
    <n v="8"/>
    <n v="8"/>
    <n v="1"/>
    <n v="0"/>
    <n v="0"/>
    <n v="2"/>
    <n v="100"/>
    <m/>
  </r>
  <r>
    <x v="539"/>
    <x v="3"/>
    <s v="Gujarat Lions"/>
    <n v="0"/>
    <n v="1"/>
    <n v="0"/>
    <n v="0"/>
    <n v="1"/>
    <n v="1"/>
    <n v="0"/>
    <n v="0"/>
  </r>
  <r>
    <x v="540"/>
    <x v="12"/>
    <s v="Delhi Daredevils"/>
    <n v="0"/>
    <n v="9"/>
    <n v="0"/>
    <n v="0"/>
    <n v="2"/>
    <n v="2"/>
    <n v="0"/>
    <n v="0"/>
  </r>
  <r>
    <x v="541"/>
    <x v="15"/>
    <s v="Delhi Capitals"/>
    <n v="0"/>
    <n v="1"/>
    <n v="0"/>
    <n v="0"/>
    <n v="1"/>
    <n v="1"/>
    <n v="0"/>
    <n v="0"/>
  </r>
  <r>
    <x v="542"/>
    <x v="13"/>
    <s v="Delhi Daredevils"/>
    <n v="0"/>
    <n v="1"/>
    <n v="0"/>
    <n v="0"/>
    <n v="1"/>
    <n v="1"/>
    <n v="0"/>
    <n v="0"/>
  </r>
  <r>
    <x v="542"/>
    <x v="0"/>
    <s v="Delhi Daredevils"/>
    <n v="0"/>
    <n v="2"/>
    <n v="0"/>
    <n v="0"/>
    <n v="2"/>
    <n v="1"/>
    <n v="0"/>
    <n v="0"/>
  </r>
  <r>
    <x v="542"/>
    <x v="1"/>
    <s v="Delhi Daredevils"/>
    <n v="14"/>
    <n v="27"/>
    <n v="1"/>
    <n v="0"/>
    <n v="5"/>
    <n v="6"/>
    <n v="51.85"/>
    <n v="2.8"/>
  </r>
  <r>
    <x v="542"/>
    <x v="14"/>
    <s v="Delhi Daredevils"/>
    <n v="7"/>
    <n v="19"/>
    <n v="0"/>
    <n v="0"/>
    <n v="2"/>
    <n v="3"/>
    <n v="36.840000000000003"/>
    <n v="3.5"/>
  </r>
  <r>
    <x v="542"/>
    <x v="2"/>
    <s v="Delhi Daredevils"/>
    <n v="2"/>
    <n v="7"/>
    <n v="0"/>
    <n v="0"/>
    <n v="1"/>
    <n v="1"/>
    <n v="28.57"/>
    <n v="2"/>
  </r>
  <r>
    <x v="542"/>
    <x v="3"/>
    <s v="Delhi Daredevils"/>
    <n v="1"/>
    <n v="5"/>
    <n v="0"/>
    <n v="0"/>
    <n v="0"/>
    <n v="1"/>
    <n v="20"/>
    <m/>
  </r>
  <r>
    <x v="542"/>
    <x v="10"/>
    <s v="Delhi Daredevils"/>
    <n v="2"/>
    <n v="9"/>
    <n v="0"/>
    <n v="0"/>
    <n v="3"/>
    <n v="3"/>
    <n v="22.22"/>
    <n v="0.67"/>
  </r>
  <r>
    <x v="542"/>
    <x v="11"/>
    <s v="Delhi Daredevils"/>
    <n v="6"/>
    <n v="8"/>
    <n v="0"/>
    <n v="0"/>
    <n v="0"/>
    <n v="1"/>
    <n v="75"/>
    <m/>
  </r>
  <r>
    <x v="542"/>
    <x v="16"/>
    <s v="Sunrisers Hyderabad"/>
    <n v="7"/>
    <n v="8"/>
    <n v="1"/>
    <n v="0"/>
    <n v="1"/>
    <n v="2"/>
    <n v="87.5"/>
    <n v="7"/>
  </r>
  <r>
    <x v="542"/>
    <x v="17"/>
    <s v="Sunrisers Hyderabad"/>
    <n v="0"/>
    <n v="1"/>
    <n v="0"/>
    <n v="0"/>
    <n v="1"/>
    <n v="1"/>
    <n v="0"/>
    <n v="0"/>
  </r>
  <r>
    <x v="543"/>
    <x v="12"/>
    <s v="Rajasthan Royals"/>
    <n v="14"/>
    <n v="12"/>
    <n v="2"/>
    <n v="0"/>
    <n v="3"/>
    <n v="3"/>
    <n v="116.67"/>
    <n v="4.67"/>
  </r>
  <r>
    <x v="543"/>
    <x v="1"/>
    <s v="Kolkata Knight Riders"/>
    <n v="23"/>
    <n v="15"/>
    <n v="4"/>
    <n v="0"/>
    <n v="1"/>
    <n v="1"/>
    <n v="153.33000000000001"/>
    <n v="23"/>
  </r>
  <r>
    <x v="544"/>
    <x v="13"/>
    <s v="Pune Warriors"/>
    <n v="18"/>
    <n v="15"/>
    <n v="2"/>
    <n v="0"/>
    <n v="1"/>
    <n v="1"/>
    <n v="120"/>
    <n v="18"/>
  </r>
  <r>
    <x v="544"/>
    <x v="14"/>
    <s v="Royal Challengers Bangalore"/>
    <n v="73"/>
    <n v="64"/>
    <n v="7"/>
    <n v="1"/>
    <n v="4"/>
    <n v="7"/>
    <n v="114.06"/>
    <n v="18.25"/>
  </r>
  <r>
    <x v="545"/>
    <x v="13"/>
    <s v="Chennai Super Kings"/>
    <n v="2"/>
    <n v="4"/>
    <n v="0"/>
    <n v="0"/>
    <n v="1"/>
    <n v="1"/>
    <n v="50"/>
    <n v="2"/>
  </r>
  <r>
    <x v="546"/>
    <x v="8"/>
    <s v="Kings XI Punjab"/>
    <n v="4"/>
    <n v="8"/>
    <n v="0"/>
    <n v="0"/>
    <n v="2"/>
    <n v="2"/>
    <n v="50"/>
    <n v="2"/>
  </r>
  <r>
    <x v="546"/>
    <x v="9"/>
    <s v="Kings XI Punjab"/>
    <n v="115"/>
    <n v="91"/>
    <n v="9"/>
    <n v="8"/>
    <n v="7"/>
    <n v="8"/>
    <n v="126.37"/>
    <n v="16.43"/>
  </r>
  <r>
    <x v="546"/>
    <x v="13"/>
    <s v="Deccan Chargers"/>
    <n v="249"/>
    <n v="190"/>
    <n v="25"/>
    <n v="10"/>
    <n v="9"/>
    <n v="10"/>
    <n v="131.05000000000001"/>
    <n v="27.67"/>
  </r>
  <r>
    <x v="547"/>
    <x v="8"/>
    <s v="Kings XI Punjab"/>
    <n v="0"/>
    <n v="3"/>
    <n v="0"/>
    <n v="0"/>
    <n v="1"/>
    <n v="2"/>
    <n v="0"/>
    <n v="0"/>
  </r>
  <r>
    <x v="547"/>
    <x v="9"/>
    <s v="Kings XI Punjab"/>
    <n v="5"/>
    <n v="18"/>
    <n v="1"/>
    <n v="0"/>
    <n v="0"/>
    <n v="2"/>
    <n v="27.78"/>
    <m/>
  </r>
  <r>
    <x v="547"/>
    <x v="12"/>
    <s v="Kings XI Punjab"/>
    <n v="27"/>
    <n v="21"/>
    <n v="5"/>
    <n v="0"/>
    <n v="0"/>
    <n v="3"/>
    <n v="128.57"/>
    <m/>
  </r>
  <r>
    <x v="547"/>
    <x v="13"/>
    <s v="Kochi Tuskers Kerala"/>
    <n v="1"/>
    <n v="9"/>
    <n v="0"/>
    <n v="0"/>
    <n v="1"/>
    <n v="3"/>
    <n v="11.11"/>
    <n v="1"/>
  </r>
  <r>
    <x v="547"/>
    <x v="1"/>
    <s v="Rajasthan Royals"/>
    <n v="1"/>
    <n v="4"/>
    <n v="0"/>
    <n v="0"/>
    <n v="1"/>
    <n v="2"/>
    <n v="25"/>
    <n v="1"/>
  </r>
  <r>
    <x v="548"/>
    <x v="12"/>
    <s v="Royal Challengers Bangalore"/>
    <n v="27"/>
    <n v="29"/>
    <n v="3"/>
    <n v="0"/>
    <n v="1"/>
    <n v="1"/>
    <n v="93.1"/>
    <n v="27"/>
  </r>
  <r>
    <x v="548"/>
    <x v="13"/>
    <s v="Delhi Daredevils"/>
    <n v="4"/>
    <n v="7"/>
    <n v="0"/>
    <n v="0"/>
    <n v="1"/>
    <n v="1"/>
    <n v="57.14"/>
    <n v="4"/>
  </r>
  <r>
    <x v="549"/>
    <x v="12"/>
    <s v="Chennai Super Kings"/>
    <n v="3"/>
    <n v="4"/>
    <n v="0"/>
    <n v="0"/>
    <n v="0"/>
    <n v="1"/>
    <n v="75"/>
    <m/>
  </r>
  <r>
    <x v="550"/>
    <x v="8"/>
    <s v="Chennai Super Kings"/>
    <n v="145"/>
    <n v="109"/>
    <n v="21"/>
    <n v="3"/>
    <n v="8"/>
    <n v="8"/>
    <n v="133.03"/>
    <n v="18.12"/>
  </r>
  <r>
    <x v="551"/>
    <x v="2"/>
    <s v="Royal Challengers Bangalore"/>
    <n v="15"/>
    <n v="13"/>
    <n v="1"/>
    <n v="1"/>
    <n v="1"/>
    <n v="2"/>
    <n v="115.38"/>
    <n v="15"/>
  </r>
  <r>
    <x v="551"/>
    <x v="4"/>
    <s v="Sunrisers Hyderabad"/>
    <n v="7"/>
    <n v="5"/>
    <n v="0"/>
    <n v="1"/>
    <n v="1"/>
    <n v="1"/>
    <n v="140"/>
    <n v="7"/>
  </r>
  <r>
    <x v="552"/>
    <x v="8"/>
    <s v="Rajasthan Royals"/>
    <n v="311"/>
    <n v="231"/>
    <n v="43"/>
    <n v="6"/>
    <n v="9"/>
    <n v="9"/>
    <n v="134.63"/>
    <n v="34.56"/>
  </r>
  <r>
    <x v="552"/>
    <x v="9"/>
    <s v="Rajasthan Royals"/>
    <n v="98"/>
    <n v="93"/>
    <n v="11"/>
    <n v="4"/>
    <n v="8"/>
    <n v="8"/>
    <n v="105.38"/>
    <n v="12.25"/>
  </r>
  <r>
    <x v="552"/>
    <x v="12"/>
    <s v="Rajasthan Royals"/>
    <n v="5"/>
    <n v="4"/>
    <n v="1"/>
    <n v="0"/>
    <n v="1"/>
    <n v="1"/>
    <n v="125"/>
    <n v="5"/>
  </r>
  <r>
    <x v="552"/>
    <x v="13"/>
    <s v="Rajasthan Royals"/>
    <n v="9"/>
    <n v="9"/>
    <n v="1"/>
    <n v="0"/>
    <n v="1"/>
    <n v="1"/>
    <n v="100"/>
    <n v="9"/>
  </r>
  <r>
    <x v="553"/>
    <x v="0"/>
    <s v="Mumbai Indians"/>
    <n v="0"/>
    <n v="4"/>
    <n v="0"/>
    <n v="0"/>
    <n v="1"/>
    <n v="1"/>
    <n v="0"/>
    <n v="0"/>
  </r>
  <r>
    <x v="553"/>
    <x v="14"/>
    <s v="Kolkata Knight Riders"/>
    <n v="164"/>
    <n v="115"/>
    <n v="16"/>
    <n v="5"/>
    <n v="6"/>
    <n v="10"/>
    <n v="142.61000000000001"/>
    <n v="27.33"/>
  </r>
  <r>
    <x v="553"/>
    <x v="2"/>
    <s v="Kolkata Knight Riders"/>
    <n v="157"/>
    <n v="113"/>
    <n v="12"/>
    <n v="8"/>
    <n v="9"/>
    <n v="13"/>
    <n v="138.94"/>
    <n v="17.440000000000001"/>
  </r>
  <r>
    <x v="553"/>
    <x v="3"/>
    <s v="Kolkata Knight Riders"/>
    <n v="182"/>
    <n v="141"/>
    <n v="18"/>
    <n v="5"/>
    <n v="7"/>
    <n v="11"/>
    <n v="129.08000000000001"/>
    <n v="26"/>
  </r>
  <r>
    <x v="553"/>
    <x v="10"/>
    <s v="Kolkata Knight Riders"/>
    <n v="105"/>
    <n v="88"/>
    <n v="8"/>
    <n v="3"/>
    <n v="6"/>
    <n v="7"/>
    <n v="119.32"/>
    <n v="17.5"/>
  </r>
  <r>
    <x v="553"/>
    <x v="11"/>
    <s v="Mumbai Indians"/>
    <n v="512"/>
    <n v="384"/>
    <n v="61"/>
    <n v="16"/>
    <n v="14"/>
    <n v="14"/>
    <n v="133.33000000000001"/>
    <n v="36.57"/>
  </r>
  <r>
    <x v="553"/>
    <x v="15"/>
    <s v="Mumbai Indians"/>
    <n v="424"/>
    <n v="324"/>
    <n v="45"/>
    <n v="10"/>
    <n v="14"/>
    <n v="15"/>
    <n v="130.86000000000001"/>
    <n v="30.29"/>
  </r>
  <r>
    <x v="553"/>
    <x v="16"/>
    <s v="Mumbai Indians"/>
    <n v="480"/>
    <n v="330"/>
    <n v="61"/>
    <n v="11"/>
    <n v="9"/>
    <n v="15"/>
    <n v="145.44999999999999"/>
    <n v="53.33"/>
  </r>
  <r>
    <x v="553"/>
    <x v="17"/>
    <s v="Mumbai Indians"/>
    <n v="317"/>
    <n v="220"/>
    <n v="40"/>
    <n v="10"/>
    <n v="14"/>
    <n v="14"/>
    <n v="144.09"/>
    <n v="22.64"/>
  </r>
  <r>
    <x v="553"/>
    <x v="4"/>
    <s v="Mumbai Indians"/>
    <n v="303"/>
    <n v="206"/>
    <n v="23"/>
    <n v="16"/>
    <n v="8"/>
    <n v="8"/>
    <n v="147.09"/>
    <n v="37.880000000000003"/>
  </r>
  <r>
    <x v="553"/>
    <x v="5"/>
    <s v="Mumbai Indians"/>
    <n v="605"/>
    <n v="332"/>
    <n v="65"/>
    <n v="28"/>
    <n v="14"/>
    <n v="16"/>
    <n v="182.23"/>
    <n v="43.21"/>
  </r>
  <r>
    <x v="553"/>
    <x v="6"/>
    <s v="Mumbai Indians"/>
    <n v="345"/>
    <n v="205"/>
    <n v="36"/>
    <n v="18"/>
    <n v="10"/>
    <n v="11"/>
    <n v="168.29"/>
    <n v="34.5"/>
  </r>
  <r>
    <x v="553"/>
    <x v="7"/>
    <s v="Mumbai Indians"/>
    <n v="717"/>
    <n v="427"/>
    <n v="69"/>
    <n v="38"/>
    <n v="11"/>
    <n v="16"/>
    <n v="167.92"/>
    <n v="65.180000000000007"/>
  </r>
  <r>
    <x v="554"/>
    <x v="8"/>
    <s v="Deccan Chargers"/>
    <n v="47"/>
    <n v="49"/>
    <n v="1"/>
    <n v="3"/>
    <n v="5"/>
    <n v="6"/>
    <n v="95.92"/>
    <n v="9.4"/>
  </r>
  <r>
    <x v="554"/>
    <x v="9"/>
    <s v="Kolkata Knight Riders"/>
    <n v="2"/>
    <n v="9"/>
    <n v="0"/>
    <n v="0"/>
    <n v="1"/>
    <n v="1"/>
    <n v="22.22"/>
    <n v="2"/>
  </r>
  <r>
    <x v="555"/>
    <x v="6"/>
    <s v="Rajasthan Royals"/>
    <n v="33"/>
    <n v="19"/>
    <n v="3"/>
    <n v="2"/>
    <n v="2"/>
    <n v="3"/>
    <n v="173.68"/>
    <n v="16.5"/>
  </r>
  <r>
    <x v="555"/>
    <x v="7"/>
    <s v="Rajasthan Royals"/>
    <n v="106"/>
    <n v="65"/>
    <n v="6"/>
    <n v="8"/>
    <n v="5"/>
    <n v="8"/>
    <n v="163.08000000000001"/>
    <n v="21.2"/>
  </r>
  <r>
    <x v="556"/>
    <x v="9"/>
    <s v="Chennai Super Kings"/>
    <n v="20"/>
    <n v="15"/>
    <n v="3"/>
    <n v="0"/>
    <n v="2"/>
    <n v="2"/>
    <n v="133.33000000000001"/>
    <n v="10"/>
  </r>
  <r>
    <x v="556"/>
    <x v="0"/>
    <s v="Chennai Super Kings"/>
    <n v="7"/>
    <n v="12"/>
    <n v="0"/>
    <n v="0"/>
    <n v="0"/>
    <n v="2"/>
    <n v="58.33"/>
    <m/>
  </r>
  <r>
    <x v="556"/>
    <x v="3"/>
    <s v="Gujarat Lions"/>
    <n v="1"/>
    <n v="2"/>
    <n v="0"/>
    <n v="0"/>
    <n v="0"/>
    <n v="1"/>
    <n v="50"/>
    <m/>
  </r>
  <r>
    <x v="557"/>
    <x v="8"/>
    <s v="Royal Challengers Bangalore"/>
    <n v="6"/>
    <n v="14"/>
    <n v="0"/>
    <n v="0"/>
    <n v="2"/>
    <n v="2"/>
    <n v="42.86"/>
    <n v="3"/>
  </r>
  <r>
    <x v="558"/>
    <x v="8"/>
    <s v="Deccan Chargers"/>
    <n v="112"/>
    <n v="122"/>
    <n v="9"/>
    <n v="2"/>
    <n v="6"/>
    <n v="8"/>
    <n v="91.8"/>
    <n v="18.670000000000002"/>
  </r>
  <r>
    <x v="558"/>
    <x v="9"/>
    <s v="Deccan Chargers"/>
    <n v="14"/>
    <n v="8"/>
    <n v="0"/>
    <n v="1"/>
    <n v="1"/>
    <n v="1"/>
    <n v="175"/>
    <n v="14"/>
  </r>
  <r>
    <x v="558"/>
    <x v="13"/>
    <s v="Chennai Super Kings"/>
    <n v="5"/>
    <n v="2"/>
    <n v="1"/>
    <n v="0"/>
    <n v="0"/>
    <n v="1"/>
    <n v="250"/>
    <m/>
  </r>
  <r>
    <x v="559"/>
    <x v="13"/>
    <s v="Pune Warriors"/>
    <n v="2"/>
    <n v="3"/>
    <n v="0"/>
    <n v="0"/>
    <n v="2"/>
    <n v="2"/>
    <n v="66.67"/>
    <n v="1"/>
  </r>
  <r>
    <x v="560"/>
    <x v="8"/>
    <s v="Kolkata Knight Riders"/>
    <n v="349"/>
    <n v="305"/>
    <n v="33"/>
    <n v="15"/>
    <n v="14"/>
    <n v="13"/>
    <n v="114.43"/>
    <n v="24.93"/>
  </r>
  <r>
    <x v="560"/>
    <x v="9"/>
    <s v="Kolkata Knight Riders"/>
    <n v="189"/>
    <n v="205"/>
    <n v="13"/>
    <n v="6"/>
    <n v="11"/>
    <n v="11"/>
    <n v="92.2"/>
    <n v="17.18"/>
  </r>
  <r>
    <x v="560"/>
    <x v="12"/>
    <s v="Kolkata Knight Riders"/>
    <n v="493"/>
    <n v="418"/>
    <n v="58"/>
    <n v="15"/>
    <n v="13"/>
    <n v="14"/>
    <n v="117.94"/>
    <n v="37.92"/>
  </r>
  <r>
    <x v="560"/>
    <x v="13"/>
    <s v="Pune Warriors"/>
    <n v="50"/>
    <n v="58"/>
    <n v="3"/>
    <n v="2"/>
    <n v="2"/>
    <n v="3"/>
    <n v="86.21"/>
    <n v="25"/>
  </r>
  <r>
    <x v="560"/>
    <x v="0"/>
    <s v="Pune Warriors"/>
    <n v="268"/>
    <n v="271"/>
    <n v="30"/>
    <n v="4"/>
    <n v="14"/>
    <n v="15"/>
    <n v="98.89"/>
    <n v="19.14"/>
  </r>
  <r>
    <x v="561"/>
    <x v="8"/>
    <s v="Mumbai Indians"/>
    <n v="18"/>
    <n v="9"/>
    <n v="1"/>
    <n v="1"/>
    <n v="2"/>
    <n v="2"/>
    <n v="200"/>
    <n v="9"/>
  </r>
  <r>
    <x v="561"/>
    <x v="9"/>
    <s v="Rajasthan Royals"/>
    <n v="6"/>
    <n v="8"/>
    <n v="1"/>
    <n v="0"/>
    <n v="1"/>
    <n v="1"/>
    <n v="75"/>
    <n v="6"/>
  </r>
  <r>
    <x v="561"/>
    <x v="13"/>
    <s v="Kings XI Punjab"/>
    <n v="9"/>
    <n v="9"/>
    <n v="1"/>
    <n v="0"/>
    <n v="1"/>
    <n v="1"/>
    <n v="100"/>
    <n v="9"/>
  </r>
  <r>
    <x v="561"/>
    <x v="0"/>
    <s v="Kings XI Punjab"/>
    <n v="66"/>
    <n v="62"/>
    <n v="7"/>
    <n v="1"/>
    <n v="3"/>
    <n v="4"/>
    <n v="106.45"/>
    <n v="22"/>
  </r>
  <r>
    <x v="562"/>
    <x v="6"/>
    <s v="Delhi Capitals"/>
    <n v="183"/>
    <n v="122"/>
    <n v="12"/>
    <n v="12"/>
    <n v="8"/>
    <n v="9"/>
    <n v="150"/>
    <n v="22.88"/>
  </r>
  <r>
    <x v="563"/>
    <x v="15"/>
    <s v="Mumbai Indians"/>
    <n v="15"/>
    <n v="13"/>
    <n v="1"/>
    <n v="1"/>
    <n v="1"/>
    <n v="1"/>
    <n v="115.38"/>
    <n v="15"/>
  </r>
  <r>
    <x v="564"/>
    <x v="12"/>
    <s v="Kolkata Knight Riders"/>
    <n v="1"/>
    <n v="2"/>
    <n v="0"/>
    <n v="0"/>
    <n v="1"/>
    <n v="1"/>
    <n v="50"/>
    <n v="1"/>
  </r>
  <r>
    <x v="565"/>
    <x v="8"/>
    <s v="Kings XI Punjab"/>
    <n v="616"/>
    <n v="440"/>
    <n v="59"/>
    <n v="26"/>
    <n v="10"/>
    <n v="11"/>
    <n v="140"/>
    <n v="61.6"/>
  </r>
  <r>
    <x v="565"/>
    <x v="12"/>
    <s v="Kings XI Punjab"/>
    <n v="147"/>
    <n v="114"/>
    <n v="14"/>
    <n v="6"/>
    <n v="3"/>
    <n v="4"/>
    <n v="128.94999999999999"/>
    <n v="49"/>
  </r>
  <r>
    <x v="565"/>
    <x v="13"/>
    <s v="Kings XI Punjab"/>
    <n v="504"/>
    <n v="343"/>
    <n v="52"/>
    <n v="20"/>
    <n v="12"/>
    <n v="13"/>
    <n v="146.94"/>
    <n v="42"/>
  </r>
  <r>
    <x v="565"/>
    <x v="0"/>
    <s v="Kings XI Punjab"/>
    <n v="336"/>
    <n v="280"/>
    <n v="39"/>
    <n v="7"/>
    <n v="10"/>
    <n v="13"/>
    <n v="120"/>
    <n v="33.6"/>
  </r>
  <r>
    <x v="565"/>
    <x v="1"/>
    <s v="Kings XI Punjab"/>
    <n v="300"/>
    <n v="249"/>
    <n v="39"/>
    <n v="4"/>
    <n v="8"/>
    <n v="8"/>
    <n v="120.48"/>
    <n v="37.5"/>
  </r>
  <r>
    <x v="565"/>
    <x v="14"/>
    <s v="Kings XI Punjab"/>
    <n v="70"/>
    <n v="52"/>
    <n v="7"/>
    <n v="3"/>
    <n v="2"/>
    <n v="2"/>
    <n v="134.62"/>
    <n v="35"/>
  </r>
  <r>
    <x v="565"/>
    <x v="2"/>
    <s v="Kings XI Punjab"/>
    <n v="93"/>
    <n v="62"/>
    <n v="10"/>
    <n v="3"/>
    <n v="6"/>
    <n v="4"/>
    <n v="150"/>
    <n v="15.5"/>
  </r>
  <r>
    <x v="565"/>
    <x v="3"/>
    <s v="Kings XI Punjab"/>
    <n v="159"/>
    <n v="134"/>
    <n v="13"/>
    <n v="4"/>
    <n v="6"/>
    <n v="6"/>
    <n v="118.66"/>
    <n v="26.5"/>
  </r>
  <r>
    <x v="565"/>
    <x v="10"/>
    <s v="Kings XI Punjab"/>
    <n v="264"/>
    <n v="192"/>
    <n v="36"/>
    <n v="5"/>
    <n v="8"/>
    <n v="8"/>
    <n v="137.5"/>
    <n v="33"/>
  </r>
  <r>
    <x v="566"/>
    <x v="15"/>
    <s v="Delhi Capitals"/>
    <n v="73"/>
    <n v="54"/>
    <n v="2"/>
    <n v="7"/>
    <n v="5"/>
    <n v="7"/>
    <n v="135.19"/>
    <n v="14.6"/>
  </r>
  <r>
    <x v="566"/>
    <x v="4"/>
    <s v="Royal Challengers Bangalore"/>
    <n v="33"/>
    <n v="50"/>
    <n v="1"/>
    <n v="1"/>
    <n v="2"/>
    <n v="2"/>
    <n v="66"/>
    <n v="16.5"/>
  </r>
  <r>
    <x v="566"/>
    <x v="7"/>
    <s v="Gujarat Titans"/>
    <n v="291"/>
    <n v="184"/>
    <n v="22"/>
    <n v="18"/>
    <n v="11"/>
    <n v="11"/>
    <n v="158.15"/>
    <n v="26.45"/>
  </r>
  <r>
    <x v="567"/>
    <x v="6"/>
    <s v="Gujarat Titans"/>
    <n v="6"/>
    <n v="7"/>
    <n v="1"/>
    <n v="0"/>
    <n v="0"/>
    <n v="3"/>
    <n v="85.71"/>
    <m/>
  </r>
  <r>
    <x v="567"/>
    <x v="7"/>
    <s v="Kolkata Knight Riders"/>
    <n v="2"/>
    <n v="4"/>
    <n v="0"/>
    <n v="0"/>
    <n v="0"/>
    <n v="2"/>
    <n v="50"/>
    <m/>
  </r>
  <r>
    <x v="568"/>
    <x v="12"/>
    <s v="Kings XI Punjab"/>
    <n v="1"/>
    <n v="2"/>
    <n v="0"/>
    <n v="0"/>
    <n v="1"/>
    <n v="2"/>
    <n v="50"/>
    <n v="1"/>
  </r>
  <r>
    <x v="568"/>
    <x v="13"/>
    <s v="Kings XI Punjab"/>
    <n v="4"/>
    <n v="3"/>
    <n v="0"/>
    <n v="0"/>
    <n v="0"/>
    <n v="2"/>
    <n v="133.33000000000001"/>
    <m/>
  </r>
  <r>
    <x v="569"/>
    <x v="8"/>
    <s v="Chennai Super Kings"/>
    <n v="421"/>
    <n v="294"/>
    <n v="35"/>
    <n v="18"/>
    <n v="9"/>
    <n v="14"/>
    <n v="143.19999999999999"/>
    <n v="46.78"/>
  </r>
  <r>
    <x v="569"/>
    <x v="9"/>
    <s v="Chennai Super Kings"/>
    <n v="434"/>
    <n v="306"/>
    <n v="37"/>
    <n v="21"/>
    <n v="15"/>
    <n v="14"/>
    <n v="141.83000000000001"/>
    <n v="28.93"/>
  </r>
  <r>
    <x v="569"/>
    <x v="12"/>
    <s v="Chennai Super Kings"/>
    <n v="528"/>
    <n v="364"/>
    <n v="45"/>
    <n v="23"/>
    <n v="13"/>
    <n v="16"/>
    <n v="145.05000000000001"/>
    <n v="40.619999999999997"/>
  </r>
  <r>
    <x v="569"/>
    <x v="13"/>
    <s v="Chennai Super Kings"/>
    <n v="438"/>
    <n v="323"/>
    <n v="36"/>
    <n v="17"/>
    <n v="14"/>
    <n v="16"/>
    <n v="135.6"/>
    <n v="31.29"/>
  </r>
  <r>
    <x v="569"/>
    <x v="0"/>
    <s v="Chennai Super Kings"/>
    <n v="441"/>
    <n v="324"/>
    <n v="36"/>
    <n v="19"/>
    <n v="17"/>
    <n v="18"/>
    <n v="136.11000000000001"/>
    <n v="25.94"/>
  </r>
  <r>
    <x v="569"/>
    <x v="1"/>
    <s v="Chennai Super Kings"/>
    <n v="548"/>
    <n v="364"/>
    <n v="50"/>
    <n v="18"/>
    <n v="12"/>
    <n v="17"/>
    <n v="150.55000000000001"/>
    <n v="45.67"/>
  </r>
  <r>
    <x v="569"/>
    <x v="14"/>
    <s v="Chennai Super Kings"/>
    <n v="523"/>
    <n v="357"/>
    <n v="51"/>
    <n v="19"/>
    <n v="12"/>
    <n v="16"/>
    <n v="146.5"/>
    <n v="43.58"/>
  </r>
  <r>
    <x v="569"/>
    <x v="2"/>
    <s v="Chennai Super Kings"/>
    <n v="374"/>
    <n v="303"/>
    <n v="31"/>
    <n v="16"/>
    <n v="15"/>
    <n v="17"/>
    <n v="123.43"/>
    <n v="24.93"/>
  </r>
  <r>
    <x v="569"/>
    <x v="3"/>
    <s v="Gujarat Lions"/>
    <n v="399"/>
    <n v="312"/>
    <n v="39"/>
    <n v="10"/>
    <n v="15"/>
    <n v="15"/>
    <n v="127.88"/>
    <n v="26.6"/>
  </r>
  <r>
    <x v="569"/>
    <x v="10"/>
    <s v="Gujarat Lions"/>
    <n v="442"/>
    <n v="304"/>
    <n v="42"/>
    <n v="13"/>
    <n v="11"/>
    <n v="14"/>
    <n v="145.38999999999999"/>
    <n v="40.18"/>
  </r>
  <r>
    <x v="569"/>
    <x v="11"/>
    <s v="Chennai Super Kings"/>
    <n v="445"/>
    <n v="335"/>
    <n v="46"/>
    <n v="12"/>
    <n v="12"/>
    <n v="15"/>
    <n v="132.84"/>
    <n v="37.08"/>
  </r>
  <r>
    <x v="569"/>
    <x v="15"/>
    <s v="Chennai Super Kings"/>
    <n v="383"/>
    <n v="312"/>
    <n v="45"/>
    <n v="9"/>
    <n v="16"/>
    <n v="17"/>
    <n v="122.76"/>
    <n v="23.94"/>
  </r>
  <r>
    <x v="569"/>
    <x v="17"/>
    <s v="Chennai Super Kings"/>
    <n v="160"/>
    <n v="127"/>
    <n v="13"/>
    <n v="9"/>
    <n v="7"/>
    <n v="11"/>
    <n v="125.98"/>
    <n v="22.86"/>
  </r>
  <r>
    <x v="570"/>
    <x v="7"/>
    <s v="Chennai Super Kings"/>
    <n v="71"/>
    <n v="63"/>
    <n v="9"/>
    <n v="2"/>
    <n v="5"/>
    <n v="5"/>
    <n v="112.7"/>
    <n v="14.2"/>
  </r>
  <r>
    <x v="571"/>
    <x v="8"/>
    <s v="Rajasthan Royals"/>
    <n v="5"/>
    <n v="12"/>
    <n v="0"/>
    <n v="0"/>
    <n v="1"/>
    <n v="3"/>
    <n v="41.67"/>
    <n v="5"/>
  </r>
  <r>
    <x v="571"/>
    <x v="9"/>
    <s v="Rajasthan Royals"/>
    <n v="9"/>
    <n v="17"/>
    <n v="0"/>
    <n v="0"/>
    <n v="2"/>
    <n v="3"/>
    <n v="52.94"/>
    <n v="4.5"/>
  </r>
  <r>
    <x v="571"/>
    <x v="12"/>
    <s v="Rajasthan Royals"/>
    <n v="20"/>
    <n v="14"/>
    <n v="3"/>
    <n v="1"/>
    <n v="3"/>
    <n v="4"/>
    <n v="142.86000000000001"/>
    <n v="6.67"/>
  </r>
  <r>
    <x v="571"/>
    <x v="13"/>
    <s v="Rajasthan Royals"/>
    <n v="0"/>
    <n v="2"/>
    <n v="0"/>
    <n v="0"/>
    <n v="1"/>
    <n v="1"/>
    <n v="0"/>
    <n v="0"/>
  </r>
  <r>
    <x v="571"/>
    <x v="0"/>
    <s v="Rajasthan Royals"/>
    <n v="5"/>
    <n v="6"/>
    <n v="0"/>
    <n v="0"/>
    <n v="0"/>
    <n v="1"/>
    <n v="83.33"/>
    <m/>
  </r>
  <r>
    <x v="571"/>
    <x v="1"/>
    <s v="Rajasthan Royals"/>
    <n v="3"/>
    <n v="7"/>
    <n v="0"/>
    <n v="0"/>
    <n v="1"/>
    <n v="2"/>
    <n v="42.86"/>
    <n v="3"/>
  </r>
  <r>
    <x v="572"/>
    <x v="8"/>
    <s v="Rajasthan Royals"/>
    <n v="70"/>
    <n v="58"/>
    <n v="7"/>
    <n v="2"/>
    <n v="7"/>
    <n v="7"/>
    <n v="120.69"/>
    <n v="10"/>
  </r>
  <r>
    <x v="572"/>
    <x v="9"/>
    <s v="Rajasthan Royals"/>
    <n v="108"/>
    <n v="116"/>
    <n v="6"/>
    <n v="4"/>
    <n v="7"/>
    <n v="10"/>
    <n v="93.1"/>
    <n v="15.43"/>
  </r>
  <r>
    <x v="572"/>
    <x v="12"/>
    <s v="Rajasthan Royals"/>
    <n v="10"/>
    <n v="19"/>
    <n v="0"/>
    <n v="0"/>
    <n v="3"/>
    <n v="6"/>
    <n v="52.63"/>
    <n v="3.33"/>
  </r>
  <r>
    <x v="572"/>
    <x v="13"/>
    <s v="Rajasthan Royals"/>
    <n v="10"/>
    <n v="20"/>
    <n v="1"/>
    <n v="0"/>
    <n v="2"/>
    <n v="4"/>
    <n v="50"/>
    <n v="5"/>
  </r>
  <r>
    <x v="573"/>
    <x v="9"/>
    <s v="Mumbai Indians"/>
    <n v="0"/>
    <n v="1"/>
    <n v="0"/>
    <n v="0"/>
    <n v="1"/>
    <n v="1"/>
    <n v="0"/>
    <n v="0"/>
  </r>
  <r>
    <x v="573"/>
    <x v="12"/>
    <s v="Mumbai Indians"/>
    <n v="1"/>
    <n v="1"/>
    <n v="0"/>
    <n v="0"/>
    <n v="0"/>
    <n v="1"/>
    <n v="100"/>
    <m/>
  </r>
  <r>
    <x v="573"/>
    <x v="13"/>
    <s v="Mumbai Indians"/>
    <n v="8"/>
    <n v="9"/>
    <n v="0"/>
    <n v="1"/>
    <n v="2"/>
    <n v="2"/>
    <n v="88.89"/>
    <n v="4"/>
  </r>
  <r>
    <x v="573"/>
    <x v="0"/>
    <s v="Mumbai Indians"/>
    <n v="55"/>
    <n v="53"/>
    <n v="4"/>
    <n v="3"/>
    <n v="5"/>
    <n v="6"/>
    <n v="103.77"/>
    <n v="11"/>
  </r>
  <r>
    <x v="573"/>
    <x v="1"/>
    <s v="Mumbai Indians"/>
    <n v="9"/>
    <n v="18"/>
    <n v="1"/>
    <n v="0"/>
    <n v="3"/>
    <n v="6"/>
    <n v="50"/>
    <n v="3"/>
  </r>
  <r>
    <x v="573"/>
    <x v="14"/>
    <s v="Mumbai Indians"/>
    <n v="2"/>
    <n v="4"/>
    <n v="0"/>
    <n v="0"/>
    <n v="0"/>
    <n v="1"/>
    <n v="50"/>
    <m/>
  </r>
  <r>
    <x v="573"/>
    <x v="2"/>
    <s v="Mumbai Indians"/>
    <n v="6"/>
    <n v="10"/>
    <n v="1"/>
    <n v="0"/>
    <n v="0"/>
    <n v="1"/>
    <n v="60"/>
    <m/>
  </r>
  <r>
    <x v="573"/>
    <x v="10"/>
    <s v="Mumbai Indians"/>
    <n v="7"/>
    <n v="3"/>
    <n v="0"/>
    <n v="1"/>
    <n v="1"/>
    <n v="2"/>
    <n v="233.33"/>
    <n v="7"/>
  </r>
  <r>
    <x v="574"/>
    <x v="15"/>
    <s v="Kings XI Punjab"/>
    <n v="95"/>
    <n v="55"/>
    <n v="13"/>
    <n v="3"/>
    <n v="4"/>
    <n v="8"/>
    <n v="172.73"/>
    <n v="23.75"/>
  </r>
  <r>
    <x v="574"/>
    <x v="16"/>
    <s v="Chennai Super Kings"/>
    <n v="186"/>
    <n v="141"/>
    <n v="12"/>
    <n v="12"/>
    <n v="8"/>
    <n v="11"/>
    <n v="131.91"/>
    <n v="23.25"/>
  </r>
  <r>
    <x v="574"/>
    <x v="17"/>
    <s v="Chennai Super Kings"/>
    <n v="56"/>
    <n v="29"/>
    <n v="5"/>
    <n v="3"/>
    <n v="3"/>
    <n v="4"/>
    <n v="193.1"/>
    <n v="18.670000000000002"/>
  </r>
  <r>
    <x v="574"/>
    <x v="5"/>
    <s v="Punjab Kings"/>
    <n v="276"/>
    <n v="201"/>
    <n v="20"/>
    <n v="13"/>
    <n v="10"/>
    <n v="13"/>
    <n v="137.31"/>
    <n v="27.6"/>
  </r>
  <r>
    <x v="574"/>
    <x v="6"/>
    <s v="Punjab Kings"/>
    <n v="270"/>
    <n v="217"/>
    <n v="24"/>
    <n v="6"/>
    <n v="11"/>
    <n v="12"/>
    <n v="124.42"/>
    <n v="24.55"/>
  </r>
  <r>
    <x v="574"/>
    <x v="7"/>
    <s v="Chennai Super Kings"/>
    <n v="114"/>
    <n v="82"/>
    <n v="11"/>
    <n v="4"/>
    <n v="5"/>
    <n v="5"/>
    <n v="139.02000000000001"/>
    <n v="22.8"/>
  </r>
  <r>
    <x v="575"/>
    <x v="9"/>
    <s v="Rajasthan Royals"/>
    <n v="9"/>
    <n v="13"/>
    <n v="0"/>
    <n v="0"/>
    <n v="0"/>
    <n v="2"/>
    <n v="69.23"/>
    <m/>
  </r>
  <r>
    <x v="576"/>
    <x v="8"/>
    <s v="Kings XI Punjab"/>
    <n v="96"/>
    <n v="68"/>
    <n v="11"/>
    <n v="2"/>
    <n v="1"/>
    <n v="2"/>
    <n v="141.18"/>
    <n v="96"/>
  </r>
  <r>
    <x v="576"/>
    <x v="9"/>
    <s v="Kings XI Punjab"/>
    <n v="145"/>
    <n v="117"/>
    <n v="15"/>
    <n v="6"/>
    <n v="9"/>
    <n v="9"/>
    <n v="123.93"/>
    <n v="16.11"/>
  </r>
  <r>
    <x v="577"/>
    <x v="8"/>
    <s v="Mumbai Indians"/>
    <n v="147"/>
    <n v="111"/>
    <n v="12"/>
    <n v="8"/>
    <n v="8"/>
    <n v="8"/>
    <n v="132.43"/>
    <n v="18.38"/>
  </r>
  <r>
    <x v="578"/>
    <x v="1"/>
    <s v="Kolkata Knight Riders"/>
    <n v="10"/>
    <n v="16"/>
    <n v="0"/>
    <n v="0"/>
    <n v="1"/>
    <n v="4"/>
    <n v="62.5"/>
    <n v="10"/>
  </r>
  <r>
    <x v="579"/>
    <x v="2"/>
    <s v="Royal Challengers Bangalore"/>
    <n v="111"/>
    <n v="70"/>
    <n v="12"/>
    <n v="2"/>
    <n v="6"/>
    <n v="7"/>
    <n v="158.57"/>
    <n v="18.5"/>
  </r>
  <r>
    <x v="579"/>
    <x v="3"/>
    <s v="Royal Challengers Bangalore"/>
    <n v="66"/>
    <n v="31"/>
    <n v="7"/>
    <n v="4"/>
    <n v="2"/>
    <n v="4"/>
    <n v="212.9"/>
    <n v="33"/>
  </r>
  <r>
    <x v="579"/>
    <x v="11"/>
    <s v="Royal Challengers Bangalore"/>
    <n v="51"/>
    <n v="41"/>
    <n v="7"/>
    <n v="1"/>
    <n v="5"/>
    <n v="6"/>
    <n v="124.39"/>
    <n v="10.199999999999999"/>
  </r>
  <r>
    <x v="579"/>
    <x v="15"/>
    <s v="Kings XI Punjab"/>
    <n v="180"/>
    <n v="141"/>
    <n v="19"/>
    <n v="4"/>
    <n v="5"/>
    <n v="5"/>
    <n v="127.66"/>
    <n v="36"/>
  </r>
  <r>
    <x v="579"/>
    <x v="16"/>
    <s v="Kings XI Punjab"/>
    <n v="33"/>
    <n v="29"/>
    <n v="5"/>
    <n v="0"/>
    <n v="2"/>
    <n v="3"/>
    <n v="113.79"/>
    <n v="16.5"/>
  </r>
  <r>
    <x v="579"/>
    <x v="17"/>
    <s v="Punjab Kings"/>
    <n v="0"/>
    <n v="4"/>
    <n v="0"/>
    <n v="0"/>
    <n v="2"/>
    <n v="2"/>
    <n v="0"/>
    <n v="0"/>
  </r>
  <r>
    <x v="579"/>
    <x v="4"/>
    <s v="Delhi Capitals"/>
    <n v="91"/>
    <n v="67"/>
    <n v="9"/>
    <n v="2"/>
    <n v="3"/>
    <n v="5"/>
    <n v="135.82"/>
    <n v="30.33"/>
  </r>
  <r>
    <x v="579"/>
    <x v="5"/>
    <s v="Delhi Capitals"/>
    <n v="53"/>
    <n v="61"/>
    <n v="4"/>
    <n v="1"/>
    <n v="4"/>
    <n v="4"/>
    <n v="86.89"/>
    <n v="13.25"/>
  </r>
  <r>
    <x v="580"/>
    <x v="2"/>
    <s v="Kings XI Punjab"/>
    <n v="7"/>
    <n v="6"/>
    <n v="1"/>
    <n v="0"/>
    <n v="0"/>
    <n v="1"/>
    <n v="116.67"/>
    <m/>
  </r>
  <r>
    <x v="580"/>
    <x v="10"/>
    <s v="Rising Pune Supergiant"/>
    <n v="0"/>
    <n v="3"/>
    <n v="0"/>
    <n v="0"/>
    <n v="3"/>
    <n v="3"/>
    <n v="0"/>
    <n v="0"/>
  </r>
  <r>
    <x v="580"/>
    <x v="11"/>
    <s v="Chennai Super Kings"/>
    <n v="15"/>
    <n v="5"/>
    <n v="3"/>
    <n v="0"/>
    <n v="0"/>
    <n v="1"/>
    <n v="300"/>
    <m/>
  </r>
  <r>
    <x v="580"/>
    <x v="15"/>
    <s v="Chennai Super Kings"/>
    <n v="14"/>
    <n v="7"/>
    <n v="1"/>
    <n v="1"/>
    <n v="1"/>
    <n v="2"/>
    <n v="200"/>
    <n v="14"/>
  </r>
  <r>
    <x v="580"/>
    <x v="16"/>
    <s v="Chennai Super Kings"/>
    <n v="12"/>
    <n v="21"/>
    <n v="0"/>
    <n v="0"/>
    <n v="1"/>
    <n v="2"/>
    <n v="57.14"/>
    <n v="12"/>
  </r>
  <r>
    <x v="580"/>
    <x v="17"/>
    <s v="Chennai Super Kings"/>
    <n v="5"/>
    <n v="4"/>
    <n v="0"/>
    <n v="0"/>
    <n v="1"/>
    <n v="4"/>
    <n v="125"/>
    <n v="5"/>
  </r>
  <r>
    <x v="580"/>
    <x v="4"/>
    <s v="Delhi Capitals"/>
    <n v="120"/>
    <n v="87"/>
    <n v="7"/>
    <n v="7"/>
    <n v="8"/>
    <n v="10"/>
    <n v="137.93"/>
    <n v="15"/>
  </r>
  <r>
    <x v="580"/>
    <x v="5"/>
    <s v="Kolkata Knight Riders"/>
    <n v="113"/>
    <n v="70"/>
    <n v="13"/>
    <n v="4"/>
    <n v="8"/>
    <n v="9"/>
    <n v="161.43"/>
    <n v="14.12"/>
  </r>
  <r>
    <x v="580"/>
    <x v="6"/>
    <s v="Chennai Super Kings"/>
    <n v="21"/>
    <n v="17"/>
    <n v="2"/>
    <n v="1"/>
    <n v="1"/>
    <n v="3"/>
    <n v="123.53"/>
    <n v="21"/>
  </r>
  <r>
    <x v="580"/>
    <x v="7"/>
    <s v="Lucknow Super Giants"/>
    <n v="18"/>
    <n v="12"/>
    <n v="3"/>
    <n v="0"/>
    <n v="3"/>
    <n v="5"/>
    <n v="150"/>
    <n v="6"/>
  </r>
  <r>
    <x v="581"/>
    <x v="15"/>
    <s v="Royal Challengers Bangalore"/>
    <n v="90"/>
    <n v="73"/>
    <n v="4"/>
    <n v="7"/>
    <n v="5"/>
    <n v="5"/>
    <n v="123.29"/>
    <n v="18"/>
  </r>
  <r>
    <x v="581"/>
    <x v="16"/>
    <s v="Delhi Capitals"/>
    <n v="185"/>
    <n v="124"/>
    <n v="11"/>
    <n v="12"/>
    <n v="8"/>
    <n v="11"/>
    <n v="149.19"/>
    <n v="23.12"/>
  </r>
  <r>
    <x v="581"/>
    <x v="17"/>
    <s v="Delhi Capitals"/>
    <n v="242"/>
    <n v="142"/>
    <n v="19"/>
    <n v="12"/>
    <n v="6"/>
    <n v="12"/>
    <n v="170.42"/>
    <n v="40.33"/>
  </r>
  <r>
    <x v="581"/>
    <x v="4"/>
    <s v="Rajasthan Royals"/>
    <n v="314"/>
    <n v="204"/>
    <n v="21"/>
    <n v="21"/>
    <n v="7"/>
    <n v="15"/>
    <n v="153.91999999999999"/>
    <n v="44.86"/>
  </r>
  <r>
    <x v="581"/>
    <x v="5"/>
    <s v="Rajasthan Royals"/>
    <n v="299"/>
    <n v="196"/>
    <n v="12"/>
    <n v="23"/>
    <n v="9"/>
    <n v="13"/>
    <n v="152.55000000000001"/>
    <n v="33.22"/>
  </r>
  <r>
    <x v="581"/>
    <x v="6"/>
    <s v="Rajasthan Royals"/>
    <n v="113"/>
    <n v="68"/>
    <n v="9"/>
    <n v="7"/>
    <n v="5"/>
    <n v="9"/>
    <n v="166.18"/>
    <n v="22.6"/>
  </r>
  <r>
    <x v="581"/>
    <x v="7"/>
    <s v="Rajasthan Royals"/>
    <n v="245"/>
    <n v="168"/>
    <n v="18"/>
    <n v="11"/>
    <n v="13"/>
    <n v="13"/>
    <n v="145.83000000000001"/>
    <n v="18.850000000000001"/>
  </r>
  <r>
    <x v="582"/>
    <x v="8"/>
    <s v="Chennai Super Kings"/>
    <n v="196"/>
    <n v="162"/>
    <n v="27"/>
    <n v="3"/>
    <n v="9"/>
    <n v="10"/>
    <n v="120.99"/>
    <n v="21.78"/>
  </r>
  <r>
    <x v="583"/>
    <x v="8"/>
    <s v="Royal Challengers Bangalore"/>
    <n v="82"/>
    <n v="85"/>
    <n v="9"/>
    <n v="1"/>
    <n v="3"/>
    <n v="3"/>
    <n v="96.47"/>
    <n v="27.33"/>
  </r>
  <r>
    <x v="583"/>
    <x v="9"/>
    <s v="Royal Challengers Bangalore"/>
    <n v="53"/>
    <n v="60"/>
    <n v="6"/>
    <n v="0"/>
    <n v="2"/>
    <n v="2"/>
    <n v="88.33"/>
    <n v="26.5"/>
  </r>
  <r>
    <x v="583"/>
    <x v="12"/>
    <s v="Royal Challengers Bangalore"/>
    <n v="8"/>
    <n v="10"/>
    <n v="2"/>
    <n v="0"/>
    <n v="1"/>
    <n v="1"/>
    <n v="80"/>
    <n v="8"/>
  </r>
  <r>
    <x v="583"/>
    <x v="13"/>
    <s v="Kolkata Knight Riders"/>
    <n v="29"/>
    <n v="29"/>
    <n v="5"/>
    <n v="0"/>
    <n v="3"/>
    <n v="4"/>
    <n v="100"/>
    <n v="9.67"/>
  </r>
  <r>
    <x v="583"/>
    <x v="0"/>
    <s v="Rajasthan Royals"/>
    <n v="69"/>
    <n v="67"/>
    <n v="4"/>
    <n v="1"/>
    <n v="6"/>
    <n v="6"/>
    <n v="102.99"/>
    <n v="11.5"/>
  </r>
  <r>
    <x v="583"/>
    <x v="11"/>
    <s v="Sunrisers Hyderabad"/>
    <n v="52"/>
    <n v="38"/>
    <n v="6"/>
    <n v="1"/>
    <n v="3"/>
    <n v="3"/>
    <n v="136.84"/>
    <n v="17.329999999999998"/>
  </r>
  <r>
    <x v="583"/>
    <x v="16"/>
    <s v="Sunrisers Hyderabad"/>
    <n v="0"/>
    <n v="4"/>
    <n v="0"/>
    <n v="0"/>
    <n v="2"/>
    <n v="2"/>
    <n v="0"/>
    <n v="0"/>
  </r>
  <r>
    <x v="584"/>
    <x v="10"/>
    <s v="Kolkata Knight Riders"/>
    <n v="38"/>
    <n v="31"/>
    <n v="5"/>
    <n v="0"/>
    <n v="2"/>
    <n v="3"/>
    <n v="122.58"/>
    <n v="19"/>
  </r>
  <r>
    <x v="584"/>
    <x v="4"/>
    <s v="Kolkata Knight Riders"/>
    <n v="23"/>
    <n v="26"/>
    <n v="0"/>
    <n v="1"/>
    <n v="4"/>
    <n v="5"/>
    <n v="88.46"/>
    <n v="5.75"/>
  </r>
  <r>
    <x v="585"/>
    <x v="0"/>
    <s v="Kolkata Knight Riders"/>
    <n v="9"/>
    <n v="7"/>
    <n v="2"/>
    <n v="0"/>
    <n v="1"/>
    <n v="2"/>
    <n v="128.57"/>
    <n v="9"/>
  </r>
  <r>
    <x v="585"/>
    <x v="1"/>
    <s v="Kolkata Knight Riders"/>
    <n v="21"/>
    <n v="19"/>
    <n v="0"/>
    <n v="2"/>
    <n v="3"/>
    <n v="6"/>
    <n v="110.53"/>
    <n v="7"/>
  </r>
  <r>
    <x v="585"/>
    <x v="14"/>
    <s v="Kolkata Knight Riders"/>
    <n v="10"/>
    <n v="14"/>
    <n v="0"/>
    <n v="0"/>
    <n v="1"/>
    <n v="4"/>
    <n v="71.430000000000007"/>
    <n v="10"/>
  </r>
  <r>
    <x v="585"/>
    <x v="2"/>
    <s v="Kolkata Knight Riders"/>
    <n v="0"/>
    <n v="1"/>
    <n v="0"/>
    <n v="0"/>
    <n v="0"/>
    <n v="1"/>
    <n v="0"/>
    <m/>
  </r>
  <r>
    <x v="585"/>
    <x v="3"/>
    <s v="Kolkata Knight Riders"/>
    <n v="7"/>
    <n v="13"/>
    <n v="0"/>
    <n v="0"/>
    <n v="0"/>
    <n v="3"/>
    <n v="53.85"/>
    <m/>
  </r>
  <r>
    <x v="585"/>
    <x v="10"/>
    <s v="Kolkata Knight Riders"/>
    <n v="224"/>
    <n v="130"/>
    <n v="34"/>
    <n v="10"/>
    <n v="12"/>
    <n v="14"/>
    <n v="172.31"/>
    <n v="18.670000000000002"/>
  </r>
  <r>
    <x v="585"/>
    <x v="11"/>
    <s v="Kolkata Knight Riders"/>
    <n v="357"/>
    <n v="188"/>
    <n v="40"/>
    <n v="23"/>
    <n v="16"/>
    <n v="16"/>
    <n v="189.89"/>
    <n v="22.31"/>
  </r>
  <r>
    <x v="585"/>
    <x v="15"/>
    <s v="Kolkata Knight Riders"/>
    <n v="143"/>
    <n v="85"/>
    <n v="17"/>
    <n v="9"/>
    <n v="7"/>
    <n v="8"/>
    <n v="168.24"/>
    <n v="20.43"/>
  </r>
  <r>
    <x v="585"/>
    <x v="16"/>
    <s v="Kolkata Knight Riders"/>
    <n v="121"/>
    <n v="85"/>
    <n v="10"/>
    <n v="8"/>
    <n v="9"/>
    <n v="9"/>
    <n v="142.35"/>
    <n v="13.44"/>
  </r>
  <r>
    <x v="585"/>
    <x v="17"/>
    <s v="Kolkata Knight Riders"/>
    <n v="62"/>
    <n v="47"/>
    <n v="3"/>
    <n v="5"/>
    <n v="8"/>
    <n v="10"/>
    <n v="131.91"/>
    <n v="7.75"/>
  </r>
  <r>
    <x v="585"/>
    <x v="4"/>
    <s v="Kolkata Knight Riders"/>
    <n v="71"/>
    <n v="40"/>
    <n v="6"/>
    <n v="6"/>
    <n v="7"/>
    <n v="9"/>
    <n v="177.5"/>
    <n v="10.14"/>
  </r>
  <r>
    <x v="585"/>
    <x v="5"/>
    <s v="Kolkata Knight Riders"/>
    <n v="21"/>
    <n v="25"/>
    <n v="2"/>
    <n v="1"/>
    <n v="7"/>
    <n v="10"/>
    <n v="84"/>
    <n v="3"/>
  </r>
  <r>
    <x v="585"/>
    <x v="6"/>
    <s v="Kolkata Knight Riders"/>
    <n v="488"/>
    <n v="269"/>
    <n v="50"/>
    <n v="33"/>
    <n v="13"/>
    <n v="14"/>
    <n v="181.41"/>
    <n v="37.54"/>
  </r>
  <r>
    <x v="585"/>
    <x v="7"/>
    <s v="Kolkata Knight Riders"/>
    <n v="246"/>
    <n v="144"/>
    <n v="25"/>
    <n v="19"/>
    <n v="11"/>
    <n v="12"/>
    <n v="170.83"/>
    <n v="22.36"/>
  </r>
  <r>
    <x v="586"/>
    <x v="0"/>
    <s v="Pune Warriors"/>
    <n v="362"/>
    <n v="262"/>
    <n v="24"/>
    <n v="14"/>
    <n v="10"/>
    <n v="14"/>
    <n v="138.16999999999999"/>
    <n v="36.200000000000003"/>
  </r>
  <r>
    <x v="586"/>
    <x v="1"/>
    <s v="Pune Warriors"/>
    <n v="159"/>
    <n v="132"/>
    <n v="15"/>
    <n v="4"/>
    <n v="5"/>
    <n v="7"/>
    <n v="120.45"/>
    <n v="31.8"/>
  </r>
  <r>
    <x v="586"/>
    <x v="14"/>
    <s v="Rajasthan Royals"/>
    <n v="152"/>
    <n v="112"/>
    <n v="13"/>
    <n v="4"/>
    <n v="5"/>
    <n v="7"/>
    <n v="135.71"/>
    <n v="30.4"/>
  </r>
  <r>
    <x v="586"/>
    <x v="2"/>
    <s v="Rajasthan Royals"/>
    <n v="298"/>
    <n v="220"/>
    <n v="34"/>
    <n v="3"/>
    <n v="12"/>
    <n v="12"/>
    <n v="135.44999999999999"/>
    <n v="24.83"/>
  </r>
  <r>
    <x v="586"/>
    <x v="3"/>
    <s v="Rising Pune Supergiants"/>
    <n v="270"/>
    <n v="175"/>
    <n v="27"/>
    <n v="8"/>
    <n v="6"/>
    <n v="7"/>
    <n v="154.29"/>
    <n v="45"/>
  </r>
  <r>
    <x v="586"/>
    <x v="10"/>
    <s v="Rising Pune Supergiant"/>
    <n v="472"/>
    <n v="387"/>
    <n v="38"/>
    <n v="12"/>
    <n v="12"/>
    <n v="15"/>
    <n v="121.96"/>
    <n v="39.33"/>
  </r>
  <r>
    <x v="586"/>
    <x v="15"/>
    <s v="Rajasthan Royals"/>
    <n v="319"/>
    <n v="273"/>
    <n v="30"/>
    <n v="4"/>
    <n v="9"/>
    <n v="10"/>
    <n v="116.85"/>
    <n v="35.44"/>
  </r>
  <r>
    <x v="586"/>
    <x v="16"/>
    <s v="Rajasthan Royals"/>
    <n v="311"/>
    <n v="235"/>
    <n v="32"/>
    <n v="9"/>
    <n v="13"/>
    <n v="14"/>
    <n v="132.34"/>
    <n v="23.92"/>
  </r>
  <r>
    <x v="586"/>
    <x v="17"/>
    <s v="Delhi Capitals"/>
    <n v="152"/>
    <n v="135"/>
    <n v="13"/>
    <n v="2"/>
    <n v="6"/>
    <n v="7"/>
    <n v="112.59"/>
    <n v="25.33"/>
  </r>
  <r>
    <x v="587"/>
    <x v="8"/>
    <s v="Mumbai Indians"/>
    <n v="188"/>
    <n v="177"/>
    <n v="26"/>
    <n v="2"/>
    <n v="6"/>
    <n v="7"/>
    <n v="106.21"/>
    <n v="31.33"/>
  </r>
  <r>
    <x v="587"/>
    <x v="9"/>
    <s v="Mumbai Indians"/>
    <n v="364"/>
    <n v="299"/>
    <n v="39"/>
    <n v="10"/>
    <n v="11"/>
    <n v="13"/>
    <n v="121.74"/>
    <n v="33.090000000000003"/>
  </r>
  <r>
    <x v="587"/>
    <x v="12"/>
    <s v="Mumbai Indians"/>
    <n v="618"/>
    <n v="463"/>
    <n v="86"/>
    <n v="3"/>
    <n v="13"/>
    <n v="15"/>
    <n v="133.47999999999999"/>
    <n v="47.54"/>
  </r>
  <r>
    <x v="587"/>
    <x v="13"/>
    <s v="Mumbai Indians"/>
    <n v="553"/>
    <n v="488"/>
    <n v="67"/>
    <n v="5"/>
    <n v="15"/>
    <n v="16"/>
    <n v="113.32"/>
    <n v="36.869999999999997"/>
  </r>
  <r>
    <x v="587"/>
    <x v="0"/>
    <s v="Mumbai Indians"/>
    <n v="324"/>
    <n v="283"/>
    <n v="39"/>
    <n v="4"/>
    <n v="12"/>
    <n v="13"/>
    <n v="114.49"/>
    <n v="27"/>
  </r>
  <r>
    <x v="587"/>
    <x v="1"/>
    <s v="Mumbai Indians"/>
    <n v="287"/>
    <n v="231"/>
    <n v="39"/>
    <n v="5"/>
    <n v="14"/>
    <n v="14"/>
    <n v="124.24"/>
    <n v="20.5"/>
  </r>
  <r>
    <x v="588"/>
    <x v="8"/>
    <s v="Rajasthan Royals"/>
    <n v="472"/>
    <n v="307"/>
    <n v="47"/>
    <n v="19"/>
    <n v="10"/>
    <n v="15"/>
    <n v="153.75"/>
    <n v="47.2"/>
  </r>
  <r>
    <x v="588"/>
    <x v="12"/>
    <s v="Rajasthan Royals"/>
    <n v="185"/>
    <n v="113"/>
    <n v="18"/>
    <n v="9"/>
    <n v="5"/>
    <n v="5"/>
    <n v="163.72"/>
    <n v="37"/>
  </r>
  <r>
    <x v="588"/>
    <x v="13"/>
    <s v="Rajasthan Royals"/>
    <n v="330"/>
    <n v="252"/>
    <n v="31"/>
    <n v="17"/>
    <n v="10"/>
    <n v="11"/>
    <n v="130.94999999999999"/>
    <n v="33"/>
  </r>
  <r>
    <x v="588"/>
    <x v="0"/>
    <s v="Rajasthan Royals"/>
    <n v="255"/>
    <n v="168"/>
    <n v="26"/>
    <n v="14"/>
    <n v="6"/>
    <n v="7"/>
    <n v="151.79"/>
    <n v="42.5"/>
  </r>
  <r>
    <x v="588"/>
    <x v="1"/>
    <s v="Rajasthan Royals"/>
    <n v="543"/>
    <n v="378"/>
    <n v="59"/>
    <n v="22"/>
    <n v="14"/>
    <n v="16"/>
    <n v="143.65"/>
    <n v="38.79"/>
  </r>
  <r>
    <x v="588"/>
    <x v="14"/>
    <s v="Rajasthan Royals"/>
    <n v="246"/>
    <n v="198"/>
    <n v="20"/>
    <n v="14"/>
    <n v="12"/>
    <n v="13"/>
    <n v="124.24"/>
    <n v="20.5"/>
  </r>
  <r>
    <x v="588"/>
    <x v="2"/>
    <s v="Rajasthan Royals"/>
    <n v="347"/>
    <n v="257"/>
    <n v="37"/>
    <n v="14"/>
    <n v="9"/>
    <n v="9"/>
    <n v="135.02000000000001"/>
    <n v="38.56"/>
  </r>
  <r>
    <x v="588"/>
    <x v="3"/>
    <s v="Royal Challengers Bangalore"/>
    <n v="179"/>
    <n v="134"/>
    <n v="14"/>
    <n v="12"/>
    <n v="13"/>
    <n v="15"/>
    <n v="133.58000000000001"/>
    <n v="13.77"/>
  </r>
  <r>
    <x v="588"/>
    <x v="10"/>
    <s v="Royal Challengers Bangalore"/>
    <n v="71"/>
    <n v="78"/>
    <n v="6"/>
    <n v="1"/>
    <n v="6"/>
    <n v="7"/>
    <n v="91.03"/>
    <n v="11.83"/>
  </r>
  <r>
    <x v="588"/>
    <x v="11"/>
    <s v="Chennai Super Kings"/>
    <n v="555"/>
    <n v="358"/>
    <n v="44"/>
    <n v="35"/>
    <n v="13"/>
    <n v="15"/>
    <n v="155.03"/>
    <n v="42.69"/>
  </r>
  <r>
    <x v="588"/>
    <x v="15"/>
    <s v="Chennai Super Kings"/>
    <n v="398"/>
    <n v="311"/>
    <n v="42"/>
    <n v="20"/>
    <n v="18"/>
    <n v="17"/>
    <n v="127.97"/>
    <n v="22.11"/>
  </r>
  <r>
    <x v="588"/>
    <x v="16"/>
    <s v="Chennai Super Kings"/>
    <n v="299"/>
    <n v="247"/>
    <n v="33"/>
    <n v="13"/>
    <n v="10"/>
    <n v="11"/>
    <n v="121.05"/>
    <n v="29.9"/>
  </r>
  <r>
    <x v="589"/>
    <x v="16"/>
    <s v="Kings XI Punjab"/>
    <n v="0"/>
    <n v="2"/>
    <n v="0"/>
    <n v="0"/>
    <n v="1"/>
    <n v="1"/>
    <n v="0"/>
    <n v="0"/>
  </r>
  <r>
    <x v="590"/>
    <x v="2"/>
    <s v="Delhi Daredevils"/>
    <n v="439"/>
    <n v="342"/>
    <n v="41"/>
    <n v="21"/>
    <n v="13"/>
    <n v="14"/>
    <n v="128.36000000000001"/>
    <n v="33.770000000000003"/>
  </r>
  <r>
    <x v="590"/>
    <x v="3"/>
    <s v="Delhi Daredevils"/>
    <n v="30"/>
    <n v="43"/>
    <n v="2"/>
    <n v="1"/>
    <n v="6"/>
    <n v="6"/>
    <n v="69.77"/>
    <n v="5"/>
  </r>
  <r>
    <x v="590"/>
    <x v="10"/>
    <s v="Delhi Daredevils"/>
    <n v="338"/>
    <n v="242"/>
    <n v="36"/>
    <n v="10"/>
    <n v="11"/>
    <n v="12"/>
    <n v="139.66999999999999"/>
    <n v="30.73"/>
  </r>
  <r>
    <x v="590"/>
    <x v="11"/>
    <s v="Delhi Daredevils"/>
    <n v="411"/>
    <n v="309"/>
    <n v="29"/>
    <n v="21"/>
    <n v="12"/>
    <n v="13"/>
    <n v="133.01"/>
    <n v="34.25"/>
  </r>
  <r>
    <x v="590"/>
    <x v="15"/>
    <s v="Delhi Capitals"/>
    <n v="467"/>
    <n v="386"/>
    <n v="42"/>
    <n v="14"/>
    <n v="16"/>
    <n v="16"/>
    <n v="120.98"/>
    <n v="29.19"/>
  </r>
  <r>
    <x v="590"/>
    <x v="16"/>
    <s v="Delhi Capitals"/>
    <n v="519"/>
    <n v="419"/>
    <n v="40"/>
    <n v="16"/>
    <n v="16"/>
    <n v="17"/>
    <n v="123.87"/>
    <n v="32.44"/>
  </r>
  <r>
    <x v="590"/>
    <x v="17"/>
    <s v="Delhi Capitals"/>
    <n v="175"/>
    <n v="171"/>
    <n v="7"/>
    <n v="5"/>
    <n v="6"/>
    <n v="8"/>
    <n v="102.34"/>
    <n v="29.17"/>
  </r>
  <r>
    <x v="590"/>
    <x v="4"/>
    <s v="Kolkata Knight Riders"/>
    <n v="401"/>
    <n v="298"/>
    <n v="41"/>
    <n v="11"/>
    <n v="13"/>
    <n v="14"/>
    <n v="134.56"/>
    <n v="30.85"/>
  </r>
  <r>
    <x v="590"/>
    <x v="6"/>
    <s v="Kolkata Knight Riders"/>
    <n v="351"/>
    <n v="239"/>
    <n v="34"/>
    <n v="14"/>
    <n v="9"/>
    <n v="14"/>
    <n v="146.86000000000001"/>
    <n v="39"/>
  </r>
  <r>
    <x v="590"/>
    <x v="7"/>
    <s v="Punjab Kings"/>
    <n v="604"/>
    <n v="343"/>
    <n v="43"/>
    <n v="39"/>
    <n v="12"/>
    <n v="17"/>
    <n v="176.09"/>
    <n v="50.33"/>
  </r>
  <r>
    <x v="591"/>
    <x v="4"/>
    <s v="Royal Challengers Bangalore"/>
    <n v="67"/>
    <n v="58"/>
    <n v="7"/>
    <n v="2"/>
    <n v="5"/>
    <n v="5"/>
    <n v="115.52"/>
    <n v="13.4"/>
  </r>
  <r>
    <x v="591"/>
    <x v="5"/>
    <s v="Royal Challengers Bangalore"/>
    <n v="35"/>
    <n v="29"/>
    <n v="1"/>
    <n v="2"/>
    <n v="3"/>
    <n v="4"/>
    <n v="120.69"/>
    <n v="11.67"/>
  </r>
  <r>
    <x v="591"/>
    <x v="6"/>
    <s v="Royal Challengers Bengaluru"/>
    <n v="24"/>
    <n v="18"/>
    <n v="3"/>
    <n v="0"/>
    <n v="1"/>
    <n v="1"/>
    <n v="133.33000000000001"/>
    <n v="24"/>
  </r>
  <r>
    <x v="592"/>
    <x v="9"/>
    <s v="Kolkata Knight Riders"/>
    <n v="6"/>
    <n v="7"/>
    <n v="1"/>
    <n v="0"/>
    <n v="0"/>
    <n v="1"/>
    <n v="85.71"/>
    <m/>
  </r>
  <r>
    <x v="593"/>
    <x v="8"/>
    <s v="Mumbai Indians"/>
    <n v="26"/>
    <n v="20"/>
    <n v="3"/>
    <n v="1"/>
    <n v="2"/>
    <n v="2"/>
    <n v="130"/>
    <n v="13"/>
  </r>
  <r>
    <x v="593"/>
    <x v="9"/>
    <s v="Mumbai Indians"/>
    <n v="13"/>
    <n v="12"/>
    <n v="0"/>
    <n v="0"/>
    <n v="1"/>
    <n v="3"/>
    <n v="108.33"/>
    <n v="13"/>
  </r>
  <r>
    <x v="593"/>
    <x v="12"/>
    <s v="Mumbai Indians"/>
    <n v="419"/>
    <n v="307"/>
    <n v="29"/>
    <n v="18"/>
    <n v="13"/>
    <n v="15"/>
    <n v="136.47999999999999"/>
    <n v="32.229999999999997"/>
  </r>
  <r>
    <x v="593"/>
    <x v="13"/>
    <s v="Royal Challengers Bangalore"/>
    <n v="187"/>
    <n v="186"/>
    <n v="13"/>
    <n v="5"/>
    <n v="8"/>
    <n v="13"/>
    <n v="100.54"/>
    <n v="23.38"/>
  </r>
  <r>
    <x v="593"/>
    <x v="0"/>
    <s v="Royal Challengers Bangalore"/>
    <n v="191"/>
    <n v="167"/>
    <n v="9"/>
    <n v="8"/>
    <n v="9"/>
    <n v="11"/>
    <n v="114.37"/>
    <n v="21.22"/>
  </r>
  <r>
    <x v="593"/>
    <x v="1"/>
    <s v="Royal Challengers Bangalore"/>
    <n v="109"/>
    <n v="106"/>
    <n v="4"/>
    <n v="4"/>
    <n v="4"/>
    <n v="6"/>
    <n v="102.83"/>
    <n v="27.25"/>
  </r>
  <r>
    <x v="593"/>
    <x v="2"/>
    <s v="Delhi Daredevils"/>
    <n v="109"/>
    <n v="78"/>
    <n v="9"/>
    <n v="5"/>
    <n v="0"/>
    <n v="6"/>
    <n v="139.74"/>
    <m/>
  </r>
  <r>
    <x v="593"/>
    <x v="3"/>
    <s v="Rising Pune Supergiants"/>
    <n v="170"/>
    <n v="139"/>
    <n v="17"/>
    <n v="4"/>
    <n v="6"/>
    <n v="7"/>
    <n v="122.3"/>
    <n v="28.33"/>
  </r>
  <r>
    <x v="593"/>
    <x v="10"/>
    <s v="Mumbai Indians"/>
    <n v="52"/>
    <n v="43"/>
    <n v="9"/>
    <n v="0"/>
    <n v="0"/>
    <n v="1"/>
    <n v="120.93"/>
    <m/>
  </r>
  <r>
    <x v="593"/>
    <x v="16"/>
    <s v="Mumbai Indians"/>
    <n v="103"/>
    <n v="80"/>
    <n v="8"/>
    <n v="3"/>
    <n v="5"/>
    <n v="5"/>
    <n v="128.75"/>
    <n v="20.6"/>
  </r>
  <r>
    <x v="593"/>
    <x v="17"/>
    <s v="Mumbai Indians"/>
    <n v="115"/>
    <n v="97"/>
    <n v="10"/>
    <n v="2"/>
    <n v="2"/>
    <n v="4"/>
    <n v="118.56"/>
    <n v="57.5"/>
  </r>
  <r>
    <x v="594"/>
    <x v="8"/>
    <s v="Mumbai Indians"/>
    <n v="514"/>
    <n v="308"/>
    <n v="57"/>
    <n v="31"/>
    <n v="13"/>
    <n v="14"/>
    <n v="166.88"/>
    <n v="39.54"/>
  </r>
  <r>
    <x v="594"/>
    <x v="9"/>
    <s v="Mumbai Indians"/>
    <n v="221"/>
    <n v="190"/>
    <n v="23"/>
    <n v="7"/>
    <n v="12"/>
    <n v="12"/>
    <n v="116.32"/>
    <n v="18.420000000000002"/>
  </r>
  <r>
    <x v="594"/>
    <x v="12"/>
    <s v="Mumbai Indians"/>
    <n v="33"/>
    <n v="31"/>
    <n v="4"/>
    <n v="1"/>
    <n v="4"/>
    <n v="4"/>
    <n v="106.45"/>
    <n v="8.25"/>
  </r>
  <r>
    <x v="595"/>
    <x v="12"/>
    <s v="Mumbai Indians"/>
    <n v="8"/>
    <n v="5"/>
    <n v="1"/>
    <n v="0"/>
    <n v="1"/>
    <n v="1"/>
    <n v="160"/>
    <n v="8"/>
  </r>
  <r>
    <x v="595"/>
    <x v="13"/>
    <s v="Rajasthan Royals"/>
    <n v="37"/>
    <n v="31"/>
    <n v="2"/>
    <n v="1"/>
    <n v="1"/>
    <n v="2"/>
    <n v="119.35"/>
    <n v="37"/>
  </r>
  <r>
    <x v="595"/>
    <x v="0"/>
    <s v="Rajasthan Royals"/>
    <n v="90"/>
    <n v="67"/>
    <n v="9"/>
    <n v="3"/>
    <n v="4"/>
    <n v="6"/>
    <n v="134.33000000000001"/>
    <n v="22.5"/>
  </r>
  <r>
    <x v="595"/>
    <x v="1"/>
    <s v="Rajasthan Royals"/>
    <n v="293"/>
    <n v="199"/>
    <n v="25"/>
    <n v="12"/>
    <n v="8"/>
    <n v="16"/>
    <n v="147.24"/>
    <n v="36.619999999999997"/>
  </r>
  <r>
    <x v="595"/>
    <x v="14"/>
    <s v="Rajasthan Royals"/>
    <n v="123"/>
    <n v="121"/>
    <n v="4"/>
    <n v="5"/>
    <n v="9"/>
    <n v="11"/>
    <n v="101.65"/>
    <n v="13.67"/>
  </r>
  <r>
    <x v="595"/>
    <x v="2"/>
    <s v="Rajasthan Royals"/>
    <n v="74"/>
    <n v="65"/>
    <n v="7"/>
    <n v="1"/>
    <n v="5"/>
    <n v="8"/>
    <n v="113.85"/>
    <n v="14.8"/>
  </r>
  <r>
    <x v="595"/>
    <x v="3"/>
    <s v="Royal Challengers Bangalore"/>
    <n v="63"/>
    <n v="39"/>
    <n v="5"/>
    <n v="4"/>
    <n v="4"/>
    <n v="5"/>
    <n v="161.54"/>
    <n v="15.75"/>
  </r>
  <r>
    <x v="595"/>
    <x v="10"/>
    <s v="Royal Challengers Bangalore"/>
    <n v="78"/>
    <n v="76"/>
    <n v="6"/>
    <n v="3"/>
    <n v="5"/>
    <n v="7"/>
    <n v="102.63"/>
    <n v="15.6"/>
  </r>
  <r>
    <x v="595"/>
    <x v="11"/>
    <s v="Rajasthan Royals"/>
    <n v="44"/>
    <n v="39"/>
    <n v="2"/>
    <n v="2"/>
    <n v="4"/>
    <n v="5"/>
    <n v="112.82"/>
    <n v="11"/>
  </r>
  <r>
    <x v="595"/>
    <x v="15"/>
    <s v="Rajasthan Royals"/>
    <n v="70"/>
    <n v="40"/>
    <n v="5"/>
    <n v="4"/>
    <n v="3"/>
    <n v="5"/>
    <n v="175"/>
    <n v="23.33"/>
  </r>
  <r>
    <x v="596"/>
    <x v="1"/>
    <s v="Rajasthan Royals"/>
    <n v="206"/>
    <n v="178"/>
    <n v="19"/>
    <n v="5"/>
    <n v="8"/>
    <n v="10"/>
    <n v="115.73"/>
    <n v="25.75"/>
  </r>
  <r>
    <x v="596"/>
    <x v="14"/>
    <s v="Rajasthan Royals"/>
    <n v="339"/>
    <n v="273"/>
    <n v="25"/>
    <n v="17"/>
    <n v="13"/>
    <n v="13"/>
    <n v="124.18"/>
    <n v="26.08"/>
  </r>
  <r>
    <x v="596"/>
    <x v="2"/>
    <s v="Rajasthan Royals"/>
    <n v="204"/>
    <n v="162"/>
    <n v="16"/>
    <n v="8"/>
    <n v="10"/>
    <n v="11"/>
    <n v="125.93"/>
    <n v="20.399999999999999"/>
  </r>
  <r>
    <x v="596"/>
    <x v="3"/>
    <s v="Delhi Daredevils"/>
    <n v="291"/>
    <n v="258"/>
    <n v="20"/>
    <n v="8"/>
    <n v="10"/>
    <n v="14"/>
    <n v="112.79"/>
    <n v="29.1"/>
  </r>
  <r>
    <x v="596"/>
    <x v="10"/>
    <s v="Delhi Daredevils"/>
    <n v="386"/>
    <n v="273"/>
    <n v="32"/>
    <n v="19"/>
    <n v="14"/>
    <n v="14"/>
    <n v="141.38999999999999"/>
    <n v="27.57"/>
  </r>
  <r>
    <x v="596"/>
    <x v="11"/>
    <s v="Rajasthan Royals"/>
    <n v="441"/>
    <n v="319"/>
    <n v="30"/>
    <n v="19"/>
    <n v="14"/>
    <n v="15"/>
    <n v="138.24"/>
    <n v="31.5"/>
  </r>
  <r>
    <x v="596"/>
    <x v="15"/>
    <s v="Rajasthan Royals"/>
    <n v="342"/>
    <n v="229"/>
    <n v="28"/>
    <n v="13"/>
    <n v="10"/>
    <n v="11"/>
    <n v="149.34"/>
    <n v="34.200000000000003"/>
  </r>
  <r>
    <x v="596"/>
    <x v="16"/>
    <s v="Rajasthan Royals"/>
    <n v="375"/>
    <n v="234"/>
    <n v="21"/>
    <n v="26"/>
    <n v="12"/>
    <n v="14"/>
    <n v="160.26"/>
    <n v="31.25"/>
  </r>
  <r>
    <x v="596"/>
    <x v="17"/>
    <s v="Rajasthan Royals"/>
    <n v="484"/>
    <n v="351"/>
    <n v="45"/>
    <n v="17"/>
    <n v="12"/>
    <n v="14"/>
    <n v="137.88999999999999"/>
    <n v="40.33"/>
  </r>
  <r>
    <x v="596"/>
    <x v="4"/>
    <s v="Rajasthan Royals"/>
    <n v="458"/>
    <n v="311"/>
    <n v="43"/>
    <n v="26"/>
    <n v="16"/>
    <n v="17"/>
    <n v="147.27000000000001"/>
    <n v="28.62"/>
  </r>
  <r>
    <x v="596"/>
    <x v="5"/>
    <s v="Rajasthan Royals"/>
    <n v="362"/>
    <n v="236"/>
    <n v="25"/>
    <n v="24"/>
    <n v="12"/>
    <n v="14"/>
    <n v="153.38999999999999"/>
    <n v="30.17"/>
  </r>
  <r>
    <x v="596"/>
    <x v="6"/>
    <s v="Rajasthan Royals"/>
    <n v="531"/>
    <n v="343"/>
    <n v="48"/>
    <n v="24"/>
    <n v="11"/>
    <n v="15"/>
    <n v="154.81"/>
    <n v="48.27"/>
  </r>
  <r>
    <x v="596"/>
    <x v="7"/>
    <s v="Rajasthan Royals"/>
    <n v="285"/>
    <n v="201"/>
    <n v="27"/>
    <n v="13"/>
    <n v="9"/>
    <n v="9"/>
    <n v="141.79"/>
    <n v="31.67"/>
  </r>
  <r>
    <x v="597"/>
    <x v="3"/>
    <s v="Delhi Daredevils"/>
    <n v="88"/>
    <n v="63"/>
    <n v="4"/>
    <n v="4"/>
    <n v="4"/>
    <n v="4"/>
    <n v="139.68"/>
    <n v="22"/>
  </r>
  <r>
    <x v="597"/>
    <x v="10"/>
    <s v="Delhi Daredevils"/>
    <n v="138"/>
    <n v="103"/>
    <n v="19"/>
    <n v="1"/>
    <n v="6"/>
    <n v="6"/>
    <n v="133.97999999999999"/>
    <n v="23"/>
  </r>
  <r>
    <x v="597"/>
    <x v="11"/>
    <s v="Chennai Super Kings"/>
    <n v="108"/>
    <n v="78"/>
    <n v="8"/>
    <n v="5"/>
    <n v="8"/>
    <n v="8"/>
    <n v="138.46"/>
    <n v="13.5"/>
  </r>
  <r>
    <x v="597"/>
    <x v="15"/>
    <s v="Chennai Super Kings"/>
    <n v="0"/>
    <n v="4"/>
    <n v="0"/>
    <n v="0"/>
    <n v="1"/>
    <n v="1"/>
    <n v="0"/>
    <n v="0"/>
  </r>
  <r>
    <x v="597"/>
    <x v="4"/>
    <s v="Kolkata Knight Riders"/>
    <n v="169"/>
    <n v="137"/>
    <n v="9"/>
    <n v="10"/>
    <n v="7"/>
    <n v="8"/>
    <n v="123.36"/>
    <n v="24.14"/>
  </r>
  <r>
    <x v="598"/>
    <x v="12"/>
    <s v="Rajasthan Royals"/>
    <n v="12"/>
    <n v="13"/>
    <n v="0"/>
    <n v="1"/>
    <n v="1"/>
    <n v="2"/>
    <n v="92.31"/>
    <n v="12"/>
  </r>
  <r>
    <x v="598"/>
    <x v="13"/>
    <s v="Rajasthan Royals"/>
    <n v="10"/>
    <n v="10"/>
    <n v="1"/>
    <n v="0"/>
    <n v="1"/>
    <n v="2"/>
    <n v="100"/>
    <n v="10"/>
  </r>
  <r>
    <x v="598"/>
    <x v="1"/>
    <s v="Rajasthan Royals"/>
    <n v="1"/>
    <n v="3"/>
    <n v="0"/>
    <n v="0"/>
    <n v="1"/>
    <n v="1"/>
    <n v="33.33"/>
    <n v="1"/>
  </r>
  <r>
    <x v="599"/>
    <x v="6"/>
    <s v="Mumbai Indians"/>
    <n v="1"/>
    <n v="1"/>
    <n v="0"/>
    <n v="0"/>
    <n v="0"/>
    <n v="1"/>
    <n v="100"/>
    <m/>
  </r>
  <r>
    <x v="600"/>
    <x v="1"/>
    <s v="Rajasthan Royals"/>
    <n v="3"/>
    <n v="7"/>
    <n v="0"/>
    <n v="0"/>
    <n v="1"/>
    <n v="1"/>
    <n v="42.86"/>
    <n v="3"/>
  </r>
  <r>
    <x v="600"/>
    <x v="3"/>
    <s v="Royal Challengers Bangalore"/>
    <n v="119"/>
    <n v="77"/>
    <n v="9"/>
    <n v="5"/>
    <n v="5"/>
    <n v="6"/>
    <n v="154.55000000000001"/>
    <n v="23.8"/>
  </r>
  <r>
    <x v="600"/>
    <x v="10"/>
    <s v="Royal Challengers Bangalore"/>
    <n v="15"/>
    <n v="15"/>
    <n v="2"/>
    <n v="0"/>
    <n v="3"/>
    <n v="3"/>
    <n v="100"/>
    <n v="5"/>
  </r>
  <r>
    <x v="600"/>
    <x v="17"/>
    <s v="Royal Challengers Bangalore"/>
    <n v="7"/>
    <n v="16"/>
    <n v="0"/>
    <n v="0"/>
    <n v="1"/>
    <n v="1"/>
    <n v="43.75"/>
    <n v="7"/>
  </r>
  <r>
    <x v="601"/>
    <x v="8"/>
    <s v="Kolkata Knight Riders"/>
    <n v="193"/>
    <n v="160"/>
    <n v="30"/>
    <n v="2"/>
    <n v="7"/>
    <n v="7"/>
    <n v="120.62"/>
    <n v="27.57"/>
  </r>
  <r>
    <x v="602"/>
    <x v="6"/>
    <s v="Chennai Super Kings"/>
    <n v="51"/>
    <n v="43"/>
    <n v="4"/>
    <n v="2"/>
    <n v="4"/>
    <n v="5"/>
    <n v="118.6"/>
    <n v="12.75"/>
  </r>
  <r>
    <x v="602"/>
    <x v="7"/>
    <s v="Delhi Capitals"/>
    <n v="121"/>
    <n v="79"/>
    <n v="11"/>
    <n v="7"/>
    <n v="3"/>
    <n v="4"/>
    <n v="153.16"/>
    <n v="40.33"/>
  </r>
  <r>
    <x v="603"/>
    <x v="1"/>
    <s v="Kings XI Punjab"/>
    <n v="0"/>
    <n v="1"/>
    <n v="0"/>
    <n v="0"/>
    <n v="0"/>
    <n v="1"/>
    <n v="0"/>
    <m/>
  </r>
  <r>
    <x v="603"/>
    <x v="14"/>
    <s v="Kings XI Punjab"/>
    <n v="2"/>
    <n v="5"/>
    <n v="0"/>
    <n v="0"/>
    <n v="0"/>
    <n v="1"/>
    <n v="40"/>
    <m/>
  </r>
  <r>
    <x v="603"/>
    <x v="2"/>
    <s v="Kings XI Punjab"/>
    <n v="9"/>
    <n v="14"/>
    <n v="1"/>
    <n v="0"/>
    <n v="1"/>
    <n v="3"/>
    <n v="64.290000000000006"/>
    <n v="9"/>
  </r>
  <r>
    <x v="603"/>
    <x v="3"/>
    <s v="Kings XI Punjab"/>
    <n v="8"/>
    <n v="9"/>
    <n v="0"/>
    <n v="0"/>
    <n v="0"/>
    <n v="4"/>
    <n v="88.89"/>
    <m/>
  </r>
  <r>
    <x v="603"/>
    <x v="10"/>
    <s v="Kings XI Punjab"/>
    <n v="7"/>
    <n v="5"/>
    <n v="0"/>
    <n v="0"/>
    <n v="0"/>
    <n v="2"/>
    <n v="140"/>
    <m/>
  </r>
  <r>
    <x v="603"/>
    <x v="11"/>
    <s v="Sunrisers Hyderabad"/>
    <n v="0"/>
    <n v="4"/>
    <n v="0"/>
    <n v="0"/>
    <n v="2"/>
    <n v="3"/>
    <n v="0"/>
    <n v="0"/>
  </r>
  <r>
    <x v="603"/>
    <x v="15"/>
    <s v="Sunrisers Hyderabad"/>
    <n v="6"/>
    <n v="3"/>
    <n v="1"/>
    <n v="0"/>
    <n v="0"/>
    <n v="2"/>
    <n v="200"/>
    <m/>
  </r>
  <r>
    <x v="603"/>
    <x v="16"/>
    <s v="Sunrisers Hyderabad"/>
    <n v="12"/>
    <n v="15"/>
    <n v="1"/>
    <n v="0"/>
    <n v="2"/>
    <n v="5"/>
    <n v="80"/>
    <n v="6"/>
  </r>
  <r>
    <x v="603"/>
    <x v="17"/>
    <s v="Sunrisers Hyderabad"/>
    <n v="8"/>
    <n v="7"/>
    <n v="1"/>
    <n v="0"/>
    <n v="0"/>
    <n v="2"/>
    <n v="114.29"/>
    <m/>
  </r>
  <r>
    <x v="603"/>
    <x v="5"/>
    <s v="Rajasthan Royals"/>
    <n v="2"/>
    <n v="6"/>
    <n v="0"/>
    <n v="0"/>
    <n v="0"/>
    <n v="2"/>
    <n v="33.33"/>
    <m/>
  </r>
  <r>
    <x v="603"/>
    <x v="7"/>
    <s v="Rajasthan Royals"/>
    <n v="6"/>
    <n v="5"/>
    <n v="0"/>
    <n v="0"/>
    <n v="0"/>
    <n v="1"/>
    <n v="120"/>
    <m/>
  </r>
  <r>
    <x v="604"/>
    <x v="5"/>
    <s v="Sunrisers Hyderabad"/>
    <n v="11"/>
    <n v="9"/>
    <n v="1"/>
    <n v="1"/>
    <n v="1"/>
    <n v="2"/>
    <n v="122.22"/>
    <n v="11"/>
  </r>
  <r>
    <x v="604"/>
    <x v="6"/>
    <s v="Sunrisers Hyderabad"/>
    <n v="14"/>
    <n v="12"/>
    <n v="1"/>
    <n v="0"/>
    <n v="1"/>
    <n v="3"/>
    <n v="116.67"/>
    <n v="14"/>
  </r>
  <r>
    <x v="605"/>
    <x v="6"/>
    <s v="Royal Challengers Bengaluru"/>
    <n v="18"/>
    <n v="15"/>
    <n v="1"/>
    <n v="1"/>
    <n v="3"/>
    <n v="3"/>
    <n v="120"/>
    <n v="6"/>
  </r>
  <r>
    <x v="606"/>
    <x v="7"/>
    <s v="Delhi Capitals"/>
    <n v="22"/>
    <n v="16"/>
    <n v="0"/>
    <n v="2"/>
    <n v="1"/>
    <n v="1"/>
    <n v="137.5"/>
    <n v="22"/>
  </r>
  <r>
    <x v="607"/>
    <x v="16"/>
    <s v="Royal Challengers Bangalore"/>
    <n v="1"/>
    <n v="1"/>
    <n v="0"/>
    <n v="0"/>
    <n v="0"/>
    <n v="1"/>
    <n v="100"/>
    <m/>
  </r>
  <r>
    <x v="607"/>
    <x v="17"/>
    <s v="Royal Challengers Bangalore"/>
    <n v="59"/>
    <n v="53"/>
    <n v="4"/>
    <n v="2"/>
    <n v="7"/>
    <n v="7"/>
    <n v="111.32"/>
    <n v="8.43"/>
  </r>
  <r>
    <x v="607"/>
    <x v="4"/>
    <s v="Royal Challengers Bangalore"/>
    <n v="219"/>
    <n v="179"/>
    <n v="14"/>
    <n v="9"/>
    <n v="8"/>
    <n v="11"/>
    <n v="122.35"/>
    <n v="27.38"/>
  </r>
  <r>
    <x v="607"/>
    <x v="5"/>
    <s v="Royal Challengers Bangalore"/>
    <n v="42"/>
    <n v="39"/>
    <n v="3"/>
    <n v="1"/>
    <n v="4"/>
    <n v="6"/>
    <n v="107.69"/>
    <n v="10.5"/>
  </r>
  <r>
    <x v="607"/>
    <x v="6"/>
    <s v="Sunrisers Hyderabad"/>
    <n v="215"/>
    <n v="166"/>
    <n v="7"/>
    <n v="13"/>
    <n v="10"/>
    <n v="12"/>
    <n v="129.52000000000001"/>
    <n v="21.5"/>
  </r>
  <r>
    <x v="607"/>
    <x v="7"/>
    <s v="Lucknow Super Giants"/>
    <n v="9"/>
    <n v="8"/>
    <n v="1"/>
    <n v="0"/>
    <n v="1"/>
    <n v="1"/>
    <n v="112.5"/>
    <n v="9"/>
  </r>
  <r>
    <x v="608"/>
    <x v="8"/>
    <s v="Deccan Chargers"/>
    <n v="81"/>
    <n v="46"/>
    <n v="7"/>
    <n v="6"/>
    <n v="8"/>
    <n v="9"/>
    <n v="176.09"/>
    <n v="10.119999999999999"/>
  </r>
  <r>
    <x v="609"/>
    <x v="13"/>
    <s v="Kolkata Knight Riders"/>
    <n v="29"/>
    <n v="22"/>
    <n v="4"/>
    <n v="0"/>
    <n v="2"/>
    <n v="3"/>
    <n v="131.82"/>
    <n v="14.5"/>
  </r>
  <r>
    <x v="609"/>
    <x v="0"/>
    <s v="Kolkata Knight Riders"/>
    <n v="91"/>
    <n v="73"/>
    <n v="6"/>
    <n v="3"/>
    <n v="6"/>
    <n v="7"/>
    <n v="124.66"/>
    <n v="15.17"/>
  </r>
  <r>
    <x v="609"/>
    <x v="14"/>
    <s v="Kolkata Knight Riders"/>
    <n v="229"/>
    <n v="153"/>
    <n v="22"/>
    <n v="7"/>
    <n v="9"/>
    <n v="11"/>
    <n v="149.66999999999999"/>
    <n v="25.44"/>
  </r>
  <r>
    <x v="609"/>
    <x v="2"/>
    <s v="Kolkata Knight Riders"/>
    <n v="36"/>
    <n v="27"/>
    <n v="5"/>
    <n v="0"/>
    <n v="3"/>
    <n v="3"/>
    <n v="133.33000000000001"/>
    <n v="12"/>
  </r>
  <r>
    <x v="609"/>
    <x v="3"/>
    <s v="Kolkata Knight Riders"/>
    <n v="114"/>
    <n v="106"/>
    <n v="7"/>
    <n v="5"/>
    <n v="5"/>
    <n v="7"/>
    <n v="107.55"/>
    <n v="22.8"/>
  </r>
  <r>
    <x v="609"/>
    <x v="10"/>
    <s v="Kolkata Knight Riders"/>
    <n v="1"/>
    <n v="1"/>
    <n v="0"/>
    <n v="0"/>
    <n v="0"/>
    <n v="1"/>
    <n v="100"/>
    <m/>
  </r>
  <r>
    <x v="609"/>
    <x v="11"/>
    <s v="Sunrisers Hyderabad"/>
    <n v="239"/>
    <n v="195"/>
    <n v="26"/>
    <n v="5"/>
    <n v="9"/>
    <n v="13"/>
    <n v="122.56"/>
    <n v="26.56"/>
  </r>
  <r>
    <x v="609"/>
    <x v="15"/>
    <s v="Sunrisers Hyderabad"/>
    <n v="9"/>
    <n v="10"/>
    <n v="0"/>
    <n v="0"/>
    <n v="1"/>
    <n v="1"/>
    <n v="90"/>
    <n v="9"/>
  </r>
  <r>
    <x v="609"/>
    <x v="17"/>
    <s v="Kolkata Knight Riders"/>
    <n v="47"/>
    <n v="48"/>
    <n v="3"/>
    <n v="1"/>
    <n v="5"/>
    <n v="6"/>
    <n v="97.92"/>
    <n v="9.4"/>
  </r>
  <r>
    <x v="610"/>
    <x v="4"/>
    <s v="Sunrisers Hyderabad"/>
    <n v="69"/>
    <n v="47"/>
    <n v="5"/>
    <n v="4"/>
    <n v="4"/>
    <n v="5"/>
    <n v="146.81"/>
    <n v="17.25"/>
  </r>
  <r>
    <x v="610"/>
    <x v="6"/>
    <s v="Punjab Kings"/>
    <n v="354"/>
    <n v="215"/>
    <n v="28"/>
    <n v="21"/>
    <n v="7"/>
    <n v="14"/>
    <n v="164.65"/>
    <n v="50.57"/>
  </r>
  <r>
    <x v="610"/>
    <x v="7"/>
    <s v="Punjab Kings"/>
    <n v="350"/>
    <n v="228"/>
    <n v="23"/>
    <n v="18"/>
    <n v="7"/>
    <n v="14"/>
    <n v="153.51"/>
    <n v="50"/>
  </r>
  <r>
    <x v="611"/>
    <x v="11"/>
    <s v="Kolkata Knight Riders"/>
    <n v="13"/>
    <n v="15"/>
    <n v="1"/>
    <n v="0"/>
    <n v="3"/>
    <n v="3"/>
    <n v="86.67"/>
    <n v="4.33"/>
  </r>
  <r>
    <x v="611"/>
    <x v="16"/>
    <s v="Kolkata Knight Riders"/>
    <n v="10"/>
    <n v="14"/>
    <n v="1"/>
    <n v="0"/>
    <n v="2"/>
    <n v="3"/>
    <n v="71.430000000000007"/>
    <n v="5"/>
  </r>
  <r>
    <x v="611"/>
    <x v="17"/>
    <s v="Kolkata Knight Riders"/>
    <n v="25"/>
    <n v="20"/>
    <n v="2"/>
    <n v="2"/>
    <n v="2"/>
    <n v="2"/>
    <n v="125"/>
    <n v="12.5"/>
  </r>
  <r>
    <x v="611"/>
    <x v="4"/>
    <s v="Kolkata Knight Riders"/>
    <n v="3"/>
    <n v="7"/>
    <n v="0"/>
    <n v="0"/>
    <n v="2"/>
    <n v="3"/>
    <n v="42.86"/>
    <n v="1.5"/>
  </r>
  <r>
    <x v="612"/>
    <x v="14"/>
    <s v="Kings XI Punjab"/>
    <n v="5"/>
    <n v="3"/>
    <n v="1"/>
    <n v="0"/>
    <n v="1"/>
    <n v="2"/>
    <n v="166.67"/>
    <n v="5"/>
  </r>
  <r>
    <x v="613"/>
    <x v="6"/>
    <s v="Punjab Kings"/>
    <n v="2"/>
    <n v="3"/>
    <n v="0"/>
    <n v="0"/>
    <n v="0"/>
    <n v="1"/>
    <n v="66.67"/>
    <m/>
  </r>
  <r>
    <x v="614"/>
    <x v="9"/>
    <s v="Deccan Chargers"/>
    <n v="1"/>
    <n v="6"/>
    <n v="0"/>
    <n v="0"/>
    <n v="2"/>
    <n v="3"/>
    <n v="16.670000000000002"/>
    <n v="0.5"/>
  </r>
  <r>
    <x v="615"/>
    <x v="8"/>
    <s v="Kolkata Knight Riders"/>
    <n v="2"/>
    <n v="7"/>
    <n v="0"/>
    <n v="0"/>
    <n v="1"/>
    <n v="1"/>
    <n v="28.57"/>
    <n v="2"/>
  </r>
  <r>
    <x v="616"/>
    <x v="8"/>
    <s v="Delhi Daredevils"/>
    <n v="52"/>
    <n v="46"/>
    <n v="5"/>
    <n v="0"/>
    <n v="4"/>
    <n v="5"/>
    <n v="113.04"/>
    <n v="13"/>
  </r>
  <r>
    <x v="617"/>
    <x v="11"/>
    <s v="Kolkata Knight Riders"/>
    <n v="203"/>
    <n v="139"/>
    <n v="22"/>
    <n v="5"/>
    <n v="5"/>
    <n v="10"/>
    <n v="146.04"/>
    <n v="40.6"/>
  </r>
  <r>
    <x v="617"/>
    <x v="15"/>
    <s v="Kolkata Knight Riders"/>
    <n v="296"/>
    <n v="237"/>
    <n v="21"/>
    <n v="10"/>
    <n v="9"/>
    <n v="13"/>
    <n v="124.89"/>
    <n v="32.89"/>
  </r>
  <r>
    <x v="617"/>
    <x v="16"/>
    <s v="Kolkata Knight Riders"/>
    <n v="440"/>
    <n v="372"/>
    <n v="44"/>
    <n v="9"/>
    <n v="13"/>
    <n v="14"/>
    <n v="118.28"/>
    <n v="33.85"/>
  </r>
  <r>
    <x v="617"/>
    <x v="17"/>
    <s v="Kolkata Knight Riders"/>
    <n v="478"/>
    <n v="401"/>
    <n v="50"/>
    <n v="12"/>
    <n v="17"/>
    <n v="17"/>
    <n v="119.2"/>
    <n v="28.12"/>
  </r>
  <r>
    <x v="617"/>
    <x v="4"/>
    <s v="Gujarat Titans"/>
    <n v="483"/>
    <n v="362"/>
    <n v="51"/>
    <n v="11"/>
    <n v="15"/>
    <n v="16"/>
    <n v="133.43"/>
    <n v="32.200000000000003"/>
  </r>
  <r>
    <x v="617"/>
    <x v="5"/>
    <s v="Gujarat Titans"/>
    <n v="890"/>
    <n v="560"/>
    <n v="85"/>
    <n v="33"/>
    <n v="16"/>
    <n v="17"/>
    <n v="158.93"/>
    <n v="55.62"/>
  </r>
  <r>
    <x v="617"/>
    <x v="6"/>
    <s v="Gujarat Titans"/>
    <n v="426"/>
    <n v="289"/>
    <n v="37"/>
    <n v="15"/>
    <n v="11"/>
    <n v="12"/>
    <n v="147.4"/>
    <n v="38.729999999999997"/>
  </r>
  <r>
    <x v="617"/>
    <x v="7"/>
    <s v="Gujarat Titans"/>
    <n v="650"/>
    <n v="414"/>
    <n v="62"/>
    <n v="24"/>
    <n v="12"/>
    <n v="15"/>
    <n v="157"/>
    <n v="54.17"/>
  </r>
  <r>
    <x v="618"/>
    <x v="5"/>
    <s v="Punjab Kings"/>
    <n v="139"/>
    <n v="98"/>
    <n v="10"/>
    <n v="6"/>
    <n v="5"/>
    <n v="7"/>
    <n v="141.84"/>
    <n v="27.8"/>
  </r>
  <r>
    <x v="618"/>
    <x v="6"/>
    <s v="Punjab Kings"/>
    <n v="43"/>
    <n v="38"/>
    <n v="2"/>
    <n v="2"/>
    <n v="2"/>
    <n v="2"/>
    <n v="113.16"/>
    <n v="21.5"/>
  </r>
  <r>
    <x v="619"/>
    <x v="4"/>
    <s v="Chennai Super Kings"/>
    <n v="7"/>
    <n v="8"/>
    <n v="0"/>
    <n v="0"/>
    <n v="1"/>
    <n v="3"/>
    <n v="87.5"/>
    <n v="7"/>
  </r>
  <r>
    <x v="619"/>
    <x v="7"/>
    <s v="Sunrisers Hyderabad"/>
    <n v="3"/>
    <n v="7"/>
    <n v="0"/>
    <n v="0"/>
    <n v="2"/>
    <n v="3"/>
    <n v="42.86"/>
    <n v="1.5"/>
  </r>
  <r>
    <x v="620"/>
    <x v="8"/>
    <s v="Rajasthan Royals"/>
    <n v="36"/>
    <n v="28"/>
    <n v="3"/>
    <n v="1"/>
    <n v="3"/>
    <n v="5"/>
    <n v="128.57"/>
    <n v="12"/>
  </r>
  <r>
    <x v="621"/>
    <x v="6"/>
    <s v="Delhi Capitals"/>
    <n v="18"/>
    <n v="24"/>
    <n v="2"/>
    <n v="1"/>
    <n v="2"/>
    <n v="3"/>
    <n v="75"/>
    <n v="9"/>
  </r>
  <r>
    <x v="622"/>
    <x v="0"/>
    <s v="Delhi Daredevils"/>
    <n v="0"/>
    <n v="1"/>
    <n v="0"/>
    <n v="0"/>
    <n v="1"/>
    <n v="1"/>
    <n v="0"/>
    <n v="0"/>
  </r>
  <r>
    <x v="623"/>
    <x v="13"/>
    <s v="Kings XI Punjab"/>
    <n v="43"/>
    <n v="31"/>
    <n v="6"/>
    <n v="1"/>
    <n v="4"/>
    <n v="5"/>
    <n v="138.71"/>
    <n v="10.75"/>
  </r>
  <r>
    <x v="624"/>
    <x v="7"/>
    <s v="Punjab Kings"/>
    <n v="7"/>
    <n v="11"/>
    <n v="0"/>
    <n v="0"/>
    <n v="3"/>
    <n v="3"/>
    <n v="63.64"/>
    <n v="2.33"/>
  </r>
  <r>
    <x v="625"/>
    <x v="3"/>
    <s v="Kings XI Punjab"/>
    <n v="0"/>
    <n v="1"/>
    <n v="0"/>
    <n v="0"/>
    <n v="1"/>
    <n v="1"/>
    <n v="0"/>
    <n v="0"/>
  </r>
  <r>
    <x v="625"/>
    <x v="10"/>
    <s v="Kings XI Punjab"/>
    <n v="12"/>
    <n v="19"/>
    <n v="0"/>
    <n v="0"/>
    <n v="2"/>
    <n v="2"/>
    <n v="63.16"/>
    <n v="6"/>
  </r>
  <r>
    <x v="625"/>
    <x v="5"/>
    <s v="Lucknow Super Giants"/>
    <n v="2"/>
    <n v="4"/>
    <n v="0"/>
    <n v="0"/>
    <n v="0"/>
    <n v="1"/>
    <n v="50"/>
    <m/>
  </r>
  <r>
    <x v="625"/>
    <x v="6"/>
    <s v="Royal Challengers Bengaluru"/>
    <n v="37"/>
    <n v="21"/>
    <n v="3"/>
    <n v="3"/>
    <n v="2"/>
    <n v="5"/>
    <n v="176.19"/>
    <n v="18.5"/>
  </r>
  <r>
    <x v="626"/>
    <x v="16"/>
    <s v="Kolkata Knight Riders"/>
    <n v="18"/>
    <n v="20"/>
    <n v="1"/>
    <n v="1"/>
    <n v="2"/>
    <n v="2"/>
    <n v="90"/>
    <n v="9"/>
  </r>
  <r>
    <x v="627"/>
    <x v="9"/>
    <s v="Rajasthan Royals"/>
    <n v="11"/>
    <n v="15"/>
    <n v="0"/>
    <n v="1"/>
    <n v="1"/>
    <n v="2"/>
    <n v="73.33"/>
    <n v="11"/>
  </r>
  <r>
    <x v="628"/>
    <x v="6"/>
    <s v="Rajasthan Royals"/>
    <n v="48"/>
    <n v="54"/>
    <n v="7"/>
    <n v="1"/>
    <n v="3"/>
    <n v="3"/>
    <n v="88.89"/>
    <n v="16"/>
  </r>
  <r>
    <x v="629"/>
    <x v="8"/>
    <s v="Rajasthan Royals"/>
    <n v="10"/>
    <n v="15"/>
    <n v="0"/>
    <n v="1"/>
    <n v="2"/>
    <n v="2"/>
    <n v="66.67"/>
    <n v="5"/>
  </r>
  <r>
    <x v="629"/>
    <x v="9"/>
    <s v="Kings XI Punjab"/>
    <n v="1"/>
    <n v="4"/>
    <n v="0"/>
    <n v="0"/>
    <n v="1"/>
    <n v="1"/>
    <n v="25"/>
    <n v="1"/>
  </r>
  <r>
    <x v="630"/>
    <x v="16"/>
    <s v="Sunrisers Hyderabad"/>
    <n v="3"/>
    <n v="5"/>
    <n v="0"/>
    <n v="0"/>
    <n v="0"/>
    <n v="2"/>
    <n v="60"/>
    <m/>
  </r>
  <r>
    <x v="631"/>
    <x v="17"/>
    <s v="Rajasthan Royals"/>
    <n v="2"/>
    <n v="4"/>
    <n v="0"/>
    <n v="0"/>
    <n v="0"/>
    <n v="1"/>
    <n v="50"/>
    <m/>
  </r>
  <r>
    <x v="632"/>
    <x v="4"/>
    <s v="Mumbai Indians"/>
    <n v="2"/>
    <n v="4"/>
    <n v="0"/>
    <n v="0"/>
    <n v="1"/>
    <n v="2"/>
    <n v="50"/>
    <n v="2"/>
  </r>
  <r>
    <x v="632"/>
    <x v="5"/>
    <s v="Mumbai Indians"/>
    <n v="25"/>
    <n v="31"/>
    <n v="2"/>
    <n v="0"/>
    <n v="2"/>
    <n v="2"/>
    <n v="80.650000000000006"/>
    <n v="12.5"/>
  </r>
  <r>
    <x v="632"/>
    <x v="6"/>
    <s v="Delhi Capitals"/>
    <n v="378"/>
    <n v="196"/>
    <n v="24"/>
    <n v="26"/>
    <n v="6"/>
    <n v="13"/>
    <n v="192.86"/>
    <n v="63"/>
  </r>
  <r>
    <x v="632"/>
    <x v="7"/>
    <s v="Delhi Capitals"/>
    <n v="306"/>
    <n v="200"/>
    <n v="25"/>
    <n v="12"/>
    <n v="8"/>
    <n v="13"/>
    <n v="153"/>
    <n v="38.25"/>
  </r>
  <r>
    <x v="633"/>
    <x v="8"/>
    <s v="Kolkata Knight Riders"/>
    <n v="31"/>
    <n v="26"/>
    <n v="3"/>
    <n v="0"/>
    <n v="3"/>
    <n v="3"/>
    <n v="119.23"/>
    <n v="10.33"/>
  </r>
  <r>
    <x v="634"/>
    <x v="9"/>
    <s v="Chennai Super Kings"/>
    <n v="2"/>
    <n v="7"/>
    <n v="0"/>
    <n v="0"/>
    <n v="1"/>
    <n v="2"/>
    <n v="28.57"/>
    <n v="2"/>
  </r>
  <r>
    <x v="634"/>
    <x v="12"/>
    <s v="Chennai Super Kings"/>
    <n v="10"/>
    <n v="11"/>
    <n v="0"/>
    <n v="0"/>
    <n v="1"/>
    <n v="2"/>
    <n v="90.91"/>
    <n v="10"/>
  </r>
  <r>
    <x v="635"/>
    <x v="10"/>
    <s v="Kolkata Knight Riders"/>
    <n v="5"/>
    <n v="8"/>
    <n v="0"/>
    <n v="0"/>
    <n v="0"/>
    <n v="1"/>
    <n v="62.5"/>
    <m/>
  </r>
  <r>
    <x v="635"/>
    <x v="11"/>
    <s v="Delhi Daredevils"/>
    <n v="0"/>
    <n v="2"/>
    <n v="0"/>
    <n v="0"/>
    <n v="1"/>
    <n v="1"/>
    <n v="0"/>
    <n v="0"/>
  </r>
  <r>
    <x v="635"/>
    <x v="15"/>
    <s v="Delhi Capitals"/>
    <n v="7"/>
    <n v="4"/>
    <n v="0"/>
    <n v="1"/>
    <n v="1"/>
    <n v="2"/>
    <n v="175"/>
    <n v="7"/>
  </r>
  <r>
    <x v="635"/>
    <x v="16"/>
    <s v="Mumbai Indians"/>
    <n v="0"/>
    <n v="1"/>
    <n v="0"/>
    <n v="0"/>
    <n v="1"/>
    <n v="1"/>
    <n v="0"/>
    <n v="0"/>
  </r>
  <r>
    <x v="635"/>
    <x v="17"/>
    <s v="Mumbai Indians"/>
    <n v="1"/>
    <n v="4"/>
    <n v="0"/>
    <n v="0"/>
    <n v="0"/>
    <n v="2"/>
    <n v="25"/>
    <m/>
  </r>
  <r>
    <x v="635"/>
    <x v="4"/>
    <s v="Rajasthan Royals"/>
    <n v="40"/>
    <n v="29"/>
    <n v="2"/>
    <n v="1"/>
    <n v="2"/>
    <n v="7"/>
    <n v="137.93"/>
    <n v="20"/>
  </r>
  <r>
    <x v="635"/>
    <x v="5"/>
    <s v="Rajasthan Royals"/>
    <n v="16"/>
    <n v="14"/>
    <n v="1"/>
    <n v="1"/>
    <n v="1"/>
    <n v="4"/>
    <n v="114.29"/>
    <n v="16"/>
  </r>
  <r>
    <x v="635"/>
    <x v="6"/>
    <s v="Rajasthan Royals"/>
    <n v="14"/>
    <n v="16"/>
    <n v="2"/>
    <n v="0"/>
    <n v="1"/>
    <n v="4"/>
    <n v="87.5"/>
    <n v="14"/>
  </r>
  <r>
    <x v="635"/>
    <x v="7"/>
    <s v="Mumbai Indians"/>
    <n v="2"/>
    <n v="3"/>
    <n v="0"/>
    <n v="0"/>
    <n v="1"/>
    <n v="2"/>
    <n v="66.67"/>
    <n v="2"/>
  </r>
  <r>
    <x v="636"/>
    <x v="13"/>
    <s v="Pune Warriors"/>
    <n v="10"/>
    <n v="26"/>
    <n v="0"/>
    <n v="0"/>
    <n v="2"/>
    <n v="2"/>
    <n v="38.46"/>
    <n v="5"/>
  </r>
  <r>
    <x v="637"/>
    <x v="14"/>
    <s v="Rajasthan Royals"/>
    <n v="4"/>
    <n v="4"/>
    <n v="1"/>
    <n v="0"/>
    <n v="1"/>
    <n v="1"/>
    <n v="100"/>
    <n v="4"/>
  </r>
  <r>
    <x v="637"/>
    <x v="2"/>
    <s v="Rajasthan Royals"/>
    <n v="13"/>
    <n v="9"/>
    <n v="1"/>
    <n v="0"/>
    <n v="0"/>
    <n v="2"/>
    <n v="144.44"/>
    <m/>
  </r>
  <r>
    <x v="637"/>
    <x v="3"/>
    <s v="Mumbai Indians"/>
    <n v="30"/>
    <n v="18"/>
    <n v="1"/>
    <n v="2"/>
    <n v="3"/>
    <n v="4"/>
    <n v="166.67"/>
    <n v="10"/>
  </r>
  <r>
    <x v="637"/>
    <x v="10"/>
    <s v="Mumbai Indians"/>
    <n v="7"/>
    <n v="3"/>
    <n v="0"/>
    <n v="1"/>
    <n v="0"/>
    <n v="1"/>
    <n v="233.33"/>
    <m/>
  </r>
  <r>
    <x v="637"/>
    <x v="11"/>
    <s v="Royal Challengers Bangalore"/>
    <n v="52"/>
    <n v="46"/>
    <n v="5"/>
    <n v="1"/>
    <n v="2"/>
    <n v="4"/>
    <n v="113.04"/>
    <n v="26"/>
  </r>
  <r>
    <x v="637"/>
    <x v="15"/>
    <s v="Royal Challengers Bangalore"/>
    <n v="9"/>
    <n v="9"/>
    <n v="0"/>
    <n v="0"/>
    <n v="0"/>
    <n v="1"/>
    <n v="100"/>
    <m/>
  </r>
  <r>
    <x v="637"/>
    <x v="17"/>
    <s v="Kolkata Knight Riders"/>
    <n v="3"/>
    <n v="5"/>
    <n v="0"/>
    <n v="0"/>
    <n v="1"/>
    <n v="1"/>
    <n v="60"/>
    <n v="3"/>
  </r>
  <r>
    <x v="637"/>
    <x v="4"/>
    <s v="Kolkata Knight Riders"/>
    <n v="2"/>
    <n v="12"/>
    <n v="0"/>
    <n v="0"/>
    <n v="4"/>
    <n v="5"/>
    <n v="16.670000000000002"/>
    <n v="0.5"/>
  </r>
  <r>
    <x v="638"/>
    <x v="17"/>
    <s v="Royal Challengers Bangalore"/>
    <n v="1"/>
    <n v="3"/>
    <n v="0"/>
    <n v="0"/>
    <n v="1"/>
    <n v="1"/>
    <n v="33.33"/>
    <n v="1"/>
  </r>
  <r>
    <x v="638"/>
    <x v="4"/>
    <s v="Mumbai Indians"/>
    <n v="186"/>
    <n v="86"/>
    <n v="12"/>
    <n v="16"/>
    <n v="6"/>
    <n v="8"/>
    <n v="216.28"/>
    <n v="31"/>
  </r>
  <r>
    <x v="638"/>
    <x v="5"/>
    <s v="Mumbai Indians"/>
    <n v="231"/>
    <n v="145"/>
    <n v="12"/>
    <n v="15"/>
    <n v="8"/>
    <n v="15"/>
    <n v="159.31"/>
    <n v="28.88"/>
  </r>
  <r>
    <x v="638"/>
    <x v="6"/>
    <s v="Mumbai Indians"/>
    <n v="241"/>
    <n v="150"/>
    <n v="14"/>
    <n v="15"/>
    <n v="8"/>
    <n v="11"/>
    <n v="160.66999999999999"/>
    <n v="30.12"/>
  </r>
  <r>
    <x v="638"/>
    <x v="7"/>
    <s v="Royal Challengers Bengaluru"/>
    <n v="187"/>
    <n v="99"/>
    <n v="16"/>
    <n v="14"/>
    <n v="3"/>
    <n v="9"/>
    <n v="188.89"/>
    <n v="62.33"/>
  </r>
  <r>
    <x v="639"/>
    <x v="11"/>
    <s v="Kolkata Knight Riders"/>
    <n v="23"/>
    <n v="28"/>
    <n v="3"/>
    <n v="0"/>
    <n v="3"/>
    <n v="4"/>
    <n v="82.14"/>
    <n v="7.67"/>
  </r>
  <r>
    <x v="639"/>
    <x v="16"/>
    <s v="Rajasthan Royals"/>
    <n v="83"/>
    <n v="62"/>
    <n v="5"/>
    <n v="3"/>
    <n v="1"/>
    <n v="4"/>
    <n v="133.87"/>
    <n v="83"/>
  </r>
  <r>
    <x v="639"/>
    <x v="17"/>
    <s v="Delhi Capitals"/>
    <n v="21"/>
    <n v="17"/>
    <n v="2"/>
    <n v="0"/>
    <n v="1"/>
    <n v="2"/>
    <n v="123.53"/>
    <n v="21"/>
  </r>
  <r>
    <x v="640"/>
    <x v="17"/>
    <s v="Kolkata Knight Riders"/>
    <n v="2"/>
    <n v="4"/>
    <n v="0"/>
    <n v="0"/>
    <n v="1"/>
    <n v="1"/>
    <n v="50"/>
    <n v="2"/>
  </r>
  <r>
    <x v="640"/>
    <x v="4"/>
    <s v="Delhi Capitals"/>
    <n v="24"/>
    <n v="19"/>
    <n v="4"/>
    <n v="0"/>
    <n v="2"/>
    <n v="2"/>
    <n v="126.32"/>
    <n v="12"/>
  </r>
  <r>
    <x v="641"/>
    <x v="9"/>
    <s v="Deccan Chargers"/>
    <n v="237"/>
    <n v="190"/>
    <n v="18"/>
    <n v="8"/>
    <n v="9"/>
    <n v="12"/>
    <n v="124.74"/>
    <n v="26.33"/>
  </r>
  <r>
    <x v="641"/>
    <x v="12"/>
    <s v="Deccan Chargers"/>
    <n v="307"/>
    <n v="255"/>
    <n v="23"/>
    <n v="12"/>
    <n v="8"/>
    <n v="14"/>
    <n v="120.39"/>
    <n v="38.380000000000003"/>
  </r>
  <r>
    <x v="641"/>
    <x v="13"/>
    <s v="Mumbai Indians"/>
    <n v="65"/>
    <n v="51"/>
    <n v="5"/>
    <n v="5"/>
    <n v="6"/>
    <n v="6"/>
    <n v="127.45"/>
    <n v="10.83"/>
  </r>
  <r>
    <x v="641"/>
    <x v="0"/>
    <s v="Mumbai Indians"/>
    <n v="15"/>
    <n v="19"/>
    <n v="1"/>
    <n v="1"/>
    <n v="2"/>
    <n v="2"/>
    <n v="78.95"/>
    <n v="7.5"/>
  </r>
  <r>
    <x v="641"/>
    <x v="1"/>
    <s v="Pune Warriors"/>
    <n v="52"/>
    <n v="58"/>
    <n v="8"/>
    <n v="0"/>
    <n v="5"/>
    <n v="5"/>
    <n v="89.66"/>
    <n v="10.4"/>
  </r>
  <r>
    <x v="642"/>
    <x v="8"/>
    <s v="Delhi Daredevils"/>
    <n v="104"/>
    <n v="78"/>
    <n v="14"/>
    <n v="3"/>
    <n v="4"/>
    <n v="7"/>
    <n v="133.33000000000001"/>
    <n v="26"/>
  </r>
  <r>
    <x v="642"/>
    <x v="9"/>
    <s v="Delhi Daredevils"/>
    <n v="418"/>
    <n v="339"/>
    <n v="42"/>
    <n v="13"/>
    <n v="10"/>
    <n v="13"/>
    <n v="123.3"/>
    <n v="41.8"/>
  </r>
  <r>
    <x v="642"/>
    <x v="12"/>
    <s v="Delhi Daredevils"/>
    <n v="44"/>
    <n v="53"/>
    <n v="6"/>
    <n v="0"/>
    <n v="6"/>
    <n v="6"/>
    <n v="83.02"/>
    <n v="7.33"/>
  </r>
  <r>
    <x v="642"/>
    <x v="13"/>
    <s v="Royal Challengers Bangalore"/>
    <n v="226"/>
    <n v="180"/>
    <n v="33"/>
    <n v="3"/>
    <n v="8"/>
    <n v="10"/>
    <n v="125.56"/>
    <n v="28.25"/>
  </r>
  <r>
    <x v="642"/>
    <x v="0"/>
    <s v="Royal Challengers Bangalore"/>
    <n v="285"/>
    <n v="259"/>
    <n v="33"/>
    <n v="5"/>
    <n v="8"/>
    <n v="9"/>
    <n v="110.04"/>
    <n v="35.619999999999997"/>
  </r>
  <r>
    <x v="642"/>
    <x v="1"/>
    <s v="Royal Challengers Bangalore"/>
    <n v="76"/>
    <n v="92"/>
    <n v="12"/>
    <n v="0"/>
    <n v="5"/>
    <n v="5"/>
    <n v="82.61"/>
    <n v="15.2"/>
  </r>
  <r>
    <x v="643"/>
    <x v="3"/>
    <s v="Royal Challengers Bangalore"/>
    <n v="54"/>
    <n v="39"/>
    <n v="3"/>
    <n v="2"/>
    <n v="2"/>
    <n v="3"/>
    <n v="138.46"/>
    <n v="27"/>
  </r>
  <r>
    <x v="643"/>
    <x v="10"/>
    <s v="Royal Challengers Bangalore"/>
    <n v="151"/>
    <n v="108"/>
    <n v="9"/>
    <n v="6"/>
    <n v="4"/>
    <n v="7"/>
    <n v="139.81"/>
    <n v="37.75"/>
  </r>
  <r>
    <x v="643"/>
    <x v="6"/>
    <s v="Sunrisers Hyderabad"/>
    <n v="567"/>
    <n v="294"/>
    <n v="64"/>
    <n v="32"/>
    <n v="14"/>
    <n v="15"/>
    <n v="192.86"/>
    <n v="40.5"/>
  </r>
  <r>
    <x v="643"/>
    <x v="7"/>
    <s v="Sunrisers Hyderabad"/>
    <n v="374"/>
    <n v="226"/>
    <n v="50"/>
    <n v="15"/>
    <n v="13"/>
    <n v="12"/>
    <n v="165.49"/>
    <n v="28.77"/>
  </r>
  <r>
    <x v="644"/>
    <x v="8"/>
    <s v="Kings XI Punjab"/>
    <n v="8"/>
    <n v="10"/>
    <n v="0"/>
    <n v="0"/>
    <n v="1"/>
    <n v="2"/>
    <n v="80"/>
    <n v="8"/>
  </r>
  <r>
    <x v="644"/>
    <x v="9"/>
    <s v="Kings XI Punjab"/>
    <n v="0"/>
    <n v="1"/>
    <n v="0"/>
    <n v="0"/>
    <n v="0"/>
    <n v="1"/>
    <n v="0"/>
    <m/>
  </r>
  <r>
    <x v="645"/>
    <x v="13"/>
    <s v="Delhi Daredevils"/>
    <n v="75"/>
    <n v="57"/>
    <n v="9"/>
    <n v="2"/>
    <n v="5"/>
    <n v="5"/>
    <n v="131.58000000000001"/>
    <n v="15"/>
  </r>
  <r>
    <x v="646"/>
    <x v="10"/>
    <s v="Royal Challengers Bangalore"/>
    <n v="8"/>
    <n v="11"/>
    <n v="0"/>
    <n v="1"/>
    <n v="3"/>
    <n v="3"/>
    <n v="72.73"/>
    <n v="2.67"/>
  </r>
  <r>
    <x v="646"/>
    <x v="4"/>
    <s v="Mumbai Indians"/>
    <n v="0"/>
    <n v="3"/>
    <n v="0"/>
    <n v="0"/>
    <n v="1"/>
    <n v="2"/>
    <n v="0"/>
    <n v="0"/>
  </r>
  <r>
    <x v="647"/>
    <x v="16"/>
    <s v="Delhi Capitals"/>
    <n v="21"/>
    <n v="12"/>
    <n v="2"/>
    <n v="1"/>
    <n v="1"/>
    <n v="2"/>
    <n v="175"/>
    <n v="21"/>
  </r>
  <r>
    <x v="647"/>
    <x v="5"/>
    <s v="Chennai Super Kings"/>
    <n v="0"/>
    <n v="1"/>
    <n v="0"/>
    <n v="0"/>
    <n v="0"/>
    <n v="1"/>
    <n v="0"/>
    <m/>
  </r>
  <r>
    <x v="647"/>
    <x v="6"/>
    <s v="Chennai Super Kings"/>
    <n v="0"/>
    <n v="1"/>
    <n v="0"/>
    <n v="0"/>
    <n v="0"/>
    <n v="1"/>
    <n v="0"/>
    <m/>
  </r>
  <r>
    <x v="647"/>
    <x v="7"/>
    <s v="Rajasthan Royals"/>
    <n v="7"/>
    <n v="8"/>
    <n v="0"/>
    <n v="0"/>
    <n v="1"/>
    <n v="4"/>
    <n v="87.5"/>
    <n v="7"/>
  </r>
  <r>
    <x v="648"/>
    <x v="6"/>
    <s v="Rajasthan Royals"/>
    <n v="24"/>
    <n v="31"/>
    <n v="3"/>
    <n v="0"/>
    <n v="1"/>
    <n v="1"/>
    <n v="77.42"/>
    <n v="24"/>
  </r>
  <r>
    <x v="649"/>
    <x v="4"/>
    <s v="Mumbai Indians"/>
    <n v="397"/>
    <n v="302"/>
    <n v="29"/>
    <n v="16"/>
    <n v="10"/>
    <n v="14"/>
    <n v="131.46"/>
    <n v="39.700000000000003"/>
  </r>
  <r>
    <x v="649"/>
    <x v="5"/>
    <s v="Mumbai Indians"/>
    <n v="343"/>
    <n v="208"/>
    <n v="26"/>
    <n v="23"/>
    <n v="8"/>
    <n v="11"/>
    <n v="164.9"/>
    <n v="42.88"/>
  </r>
  <r>
    <x v="649"/>
    <x v="6"/>
    <s v="Mumbai Indians"/>
    <n v="416"/>
    <n v="277"/>
    <n v="35"/>
    <n v="19"/>
    <n v="10"/>
    <n v="13"/>
    <n v="150.18"/>
    <n v="41.6"/>
  </r>
  <r>
    <x v="649"/>
    <x v="7"/>
    <s v="Mumbai Indians"/>
    <n v="343"/>
    <n v="245"/>
    <n v="23"/>
    <n v="16"/>
    <n v="10"/>
    <n v="13"/>
    <n v="140"/>
    <n v="34.299999999999997"/>
  </r>
  <r>
    <x v="650"/>
    <x v="8"/>
    <s v="Kings XI Punjab"/>
    <n v="0"/>
    <n v="1"/>
    <n v="0"/>
    <n v="0"/>
    <n v="0"/>
    <n v="1"/>
    <n v="0"/>
    <m/>
  </r>
  <r>
    <x v="651"/>
    <x v="1"/>
    <s v="Pune Warriors"/>
    <n v="7"/>
    <n v="14"/>
    <n v="1"/>
    <n v="0"/>
    <n v="1"/>
    <n v="1"/>
    <n v="50"/>
    <n v="7"/>
  </r>
  <r>
    <x v="652"/>
    <x v="13"/>
    <s v="Delhi Daredevils"/>
    <n v="2"/>
    <n v="12"/>
    <n v="0"/>
    <n v="0"/>
    <n v="2"/>
    <n v="2"/>
    <n v="16.670000000000002"/>
    <n v="1"/>
  </r>
  <r>
    <x v="652"/>
    <x v="0"/>
    <s v="Delhi Daredevils"/>
    <n v="36"/>
    <n v="34"/>
    <n v="2"/>
    <n v="3"/>
    <n v="2"/>
    <n v="2"/>
    <n v="105.88"/>
    <n v="18"/>
  </r>
  <r>
    <x v="652"/>
    <x v="1"/>
    <s v="Delhi Daredevils"/>
    <n v="158"/>
    <n v="157"/>
    <n v="17"/>
    <n v="4"/>
    <n v="9"/>
    <n v="9"/>
    <n v="100.64"/>
    <n v="17.559999999999999"/>
  </r>
  <r>
    <x v="652"/>
    <x v="14"/>
    <s v="Rajasthan Royals"/>
    <n v="2"/>
    <n v="9"/>
    <n v="0"/>
    <n v="0"/>
    <n v="1"/>
    <n v="1"/>
    <n v="22.22"/>
    <n v="2"/>
  </r>
  <r>
    <x v="652"/>
    <x v="2"/>
    <s v="Mumbai Indians"/>
    <n v="102"/>
    <n v="83"/>
    <n v="13"/>
    <n v="2"/>
    <n v="5"/>
    <n v="5"/>
    <n v="122.89"/>
    <n v="20.399999999999999"/>
  </r>
  <r>
    <x v="652"/>
    <x v="3"/>
    <s v="Mumbai Indians"/>
    <n v="0"/>
    <n v="4"/>
    <n v="0"/>
    <n v="0"/>
    <n v="1"/>
    <n v="1"/>
    <n v="0"/>
    <n v="0"/>
  </r>
  <r>
    <x v="653"/>
    <x v="3"/>
    <s v="Rising Pune Supergiants"/>
    <n v="127"/>
    <n v="99"/>
    <n v="14"/>
    <n v="3"/>
    <n v="5"/>
    <n v="6"/>
    <n v="128.28"/>
    <n v="25.4"/>
  </r>
  <r>
    <x v="654"/>
    <x v="12"/>
    <s v="Delhi Daredevils"/>
    <n v="3"/>
    <n v="4"/>
    <n v="0"/>
    <n v="0"/>
    <n v="0"/>
    <n v="1"/>
    <n v="75"/>
    <m/>
  </r>
  <r>
    <x v="654"/>
    <x v="13"/>
    <s v="Delhi Daredevils"/>
    <n v="1"/>
    <n v="5"/>
    <n v="0"/>
    <n v="0"/>
    <n v="1"/>
    <n v="2"/>
    <n v="20"/>
    <n v="1"/>
  </r>
  <r>
    <x v="654"/>
    <x v="0"/>
    <s v="Delhi Daredevils"/>
    <n v="2"/>
    <n v="7"/>
    <n v="0"/>
    <n v="0"/>
    <n v="2"/>
    <n v="3"/>
    <n v="28.57"/>
    <n v="1"/>
  </r>
  <r>
    <x v="654"/>
    <x v="1"/>
    <s v="Delhi Daredevils"/>
    <n v="38"/>
    <n v="38"/>
    <n v="3"/>
    <n v="1"/>
    <n v="1"/>
    <n v="7"/>
    <n v="100"/>
    <n v="38"/>
  </r>
  <r>
    <x v="654"/>
    <x v="14"/>
    <s v="Kolkata Knight Riders"/>
    <n v="2"/>
    <n v="4"/>
    <n v="0"/>
    <n v="0"/>
    <n v="1"/>
    <n v="1"/>
    <n v="50"/>
    <n v="2"/>
  </r>
  <r>
    <x v="654"/>
    <x v="2"/>
    <s v="Kolkata Knight Riders"/>
    <n v="29"/>
    <n v="14"/>
    <n v="5"/>
    <n v="1"/>
    <n v="1"/>
    <n v="3"/>
    <n v="207.14"/>
    <n v="29"/>
  </r>
  <r>
    <x v="654"/>
    <x v="3"/>
    <s v="Kolkata Knight Riders"/>
    <n v="9"/>
    <n v="5"/>
    <n v="0"/>
    <n v="1"/>
    <n v="2"/>
    <n v="2"/>
    <n v="180"/>
    <n v="4.5"/>
  </r>
  <r>
    <x v="654"/>
    <x v="10"/>
    <s v="Kolkata Knight Riders"/>
    <n v="10"/>
    <n v="13"/>
    <n v="0"/>
    <n v="0"/>
    <n v="0"/>
    <n v="4"/>
    <n v="76.92"/>
    <m/>
  </r>
  <r>
    <x v="654"/>
    <x v="11"/>
    <s v="Royal Challengers Bangalore"/>
    <n v="3"/>
    <n v="11"/>
    <n v="0"/>
    <n v="0"/>
    <n v="4"/>
    <n v="5"/>
    <n v="27.27"/>
    <n v="0.75"/>
  </r>
  <r>
    <x v="654"/>
    <x v="15"/>
    <s v="Royal Challengers Bangalore"/>
    <n v="25"/>
    <n v="25"/>
    <n v="3"/>
    <n v="1"/>
    <n v="1"/>
    <n v="5"/>
    <n v="100"/>
    <n v="25"/>
  </r>
  <r>
    <x v="654"/>
    <x v="16"/>
    <s v="Royal Challengers Bangalore"/>
    <n v="0"/>
    <n v="2"/>
    <n v="0"/>
    <n v="0"/>
    <n v="1"/>
    <n v="1"/>
    <n v="0"/>
    <n v="0"/>
  </r>
  <r>
    <x v="654"/>
    <x v="4"/>
    <s v="Kolkata Knight Riders"/>
    <n v="55"/>
    <n v="40"/>
    <n v="4"/>
    <n v="4"/>
    <n v="4"/>
    <n v="7"/>
    <n v="137.5"/>
    <n v="13.75"/>
  </r>
  <r>
    <x v="654"/>
    <x v="5"/>
    <s v="Kolkata Knight Riders"/>
    <n v="19"/>
    <n v="18"/>
    <n v="1"/>
    <n v="0"/>
    <n v="2"/>
    <n v="5"/>
    <n v="105.56"/>
    <n v="9.5"/>
  </r>
  <r>
    <x v="654"/>
    <x v="6"/>
    <s v="Gujarat Titans"/>
    <n v="12"/>
    <n v="15"/>
    <n v="0"/>
    <n v="1"/>
    <n v="1"/>
    <n v="2"/>
    <n v="80"/>
    <n v="12"/>
  </r>
  <r>
    <x v="655"/>
    <x v="8"/>
    <s v="Kolkata Knight Riders"/>
    <n v="39"/>
    <n v="19"/>
    <n v="1"/>
    <n v="5"/>
    <n v="3"/>
    <n v="4"/>
    <n v="205.26"/>
    <n v="13"/>
  </r>
  <r>
    <x v="656"/>
    <x v="4"/>
    <s v="Sunrisers Hyderabad"/>
    <n v="4"/>
    <n v="8"/>
    <n v="0"/>
    <n v="0"/>
    <n v="1"/>
    <n v="4"/>
    <n v="50"/>
    <n v="4"/>
  </r>
  <r>
    <x v="656"/>
    <x v="5"/>
    <s v="Sunrisers Hyderabad"/>
    <n v="19"/>
    <n v="7"/>
    <n v="1"/>
    <n v="2"/>
    <n v="0"/>
    <n v="1"/>
    <n v="271.43"/>
    <m/>
  </r>
  <r>
    <x v="657"/>
    <x v="7"/>
    <s v="Chennai Super Kings"/>
    <n v="68"/>
    <n v="32"/>
    <n v="5"/>
    <n v="6"/>
    <n v="3"/>
    <n v="3"/>
    <n v="212.5"/>
    <n v="22.67"/>
  </r>
  <r>
    <x v="658"/>
    <x v="8"/>
    <s v="Royal Challengers Bangalore"/>
    <n v="165"/>
    <n v="157"/>
    <n v="18"/>
    <n v="4"/>
    <n v="12"/>
    <n v="12"/>
    <n v="105.1"/>
    <n v="13.75"/>
  </r>
  <r>
    <x v="658"/>
    <x v="9"/>
    <s v="Royal Challengers Bangalore"/>
    <n v="246"/>
    <n v="219"/>
    <n v="22"/>
    <n v="8"/>
    <n v="11"/>
    <n v="13"/>
    <n v="112.33"/>
    <n v="22.36"/>
  </r>
  <r>
    <x v="658"/>
    <x v="12"/>
    <s v="Royal Challengers Bangalore"/>
    <n v="307"/>
    <n v="211"/>
    <n v="26"/>
    <n v="12"/>
    <n v="13"/>
    <n v="13"/>
    <n v="145.5"/>
    <n v="23.62"/>
  </r>
  <r>
    <x v="658"/>
    <x v="13"/>
    <s v="Royal Challengers Bangalore"/>
    <n v="557"/>
    <n v="459"/>
    <n v="55"/>
    <n v="16"/>
    <n v="13"/>
    <n v="16"/>
    <n v="121.35"/>
    <n v="42.85"/>
  </r>
  <r>
    <x v="658"/>
    <x v="0"/>
    <s v="Royal Challengers Bangalore"/>
    <n v="364"/>
    <n v="325"/>
    <n v="33"/>
    <n v="10"/>
    <n v="12"/>
    <n v="15"/>
    <n v="112"/>
    <n v="30.33"/>
  </r>
  <r>
    <x v="658"/>
    <x v="1"/>
    <s v="Royal Challengers Bangalore"/>
    <n v="639"/>
    <n v="454"/>
    <n v="65"/>
    <n v="22"/>
    <n v="14"/>
    <n v="16"/>
    <n v="140.75"/>
    <n v="45.64"/>
  </r>
  <r>
    <x v="658"/>
    <x v="14"/>
    <s v="Royal Challengers Bangalore"/>
    <n v="359"/>
    <n v="294"/>
    <n v="23"/>
    <n v="16"/>
    <n v="14"/>
    <n v="14"/>
    <n v="122.11"/>
    <n v="25.64"/>
  </r>
  <r>
    <x v="658"/>
    <x v="2"/>
    <s v="Royal Challengers Bangalore"/>
    <n v="505"/>
    <n v="386"/>
    <n v="35"/>
    <n v="23"/>
    <n v="14"/>
    <n v="16"/>
    <n v="130.83000000000001"/>
    <n v="36.07"/>
  </r>
  <r>
    <x v="658"/>
    <x v="3"/>
    <s v="Royal Challengers Bangalore"/>
    <n v="973"/>
    <n v="637"/>
    <n v="84"/>
    <n v="38"/>
    <n v="12"/>
    <n v="16"/>
    <n v="152.75"/>
    <n v="81.08"/>
  </r>
  <r>
    <x v="658"/>
    <x v="10"/>
    <s v="Royal Challengers Bangalore"/>
    <n v="308"/>
    <n v="252"/>
    <n v="23"/>
    <n v="11"/>
    <n v="11"/>
    <n v="10"/>
    <n v="122.22"/>
    <n v="28"/>
  </r>
  <r>
    <x v="658"/>
    <x v="11"/>
    <s v="Royal Challengers Bangalore"/>
    <n v="530"/>
    <n v="379"/>
    <n v="52"/>
    <n v="18"/>
    <n v="12"/>
    <n v="14"/>
    <n v="139.84"/>
    <n v="44.17"/>
  </r>
  <r>
    <x v="658"/>
    <x v="15"/>
    <s v="Royal Challengers Bangalore"/>
    <n v="464"/>
    <n v="327"/>
    <n v="46"/>
    <n v="13"/>
    <n v="14"/>
    <n v="14"/>
    <n v="141.9"/>
    <n v="33.14"/>
  </r>
  <r>
    <x v="658"/>
    <x v="16"/>
    <s v="Royal Challengers Bangalore"/>
    <n v="471"/>
    <n v="384"/>
    <n v="24"/>
    <n v="11"/>
    <n v="11"/>
    <n v="15"/>
    <n v="122.66"/>
    <n v="42.82"/>
  </r>
  <r>
    <x v="658"/>
    <x v="17"/>
    <s v="Royal Challengers Bangalore"/>
    <n v="405"/>
    <n v="337"/>
    <n v="43"/>
    <n v="9"/>
    <n v="14"/>
    <n v="15"/>
    <n v="120.18"/>
    <n v="28.93"/>
  </r>
  <r>
    <x v="658"/>
    <x v="4"/>
    <s v="Royal Challengers Bangalore"/>
    <n v="341"/>
    <n v="294"/>
    <n v="32"/>
    <n v="8"/>
    <n v="16"/>
    <n v="16"/>
    <n v="115.99"/>
    <n v="21.31"/>
  </r>
  <r>
    <x v="658"/>
    <x v="5"/>
    <s v="Royal Challengers Bangalore"/>
    <n v="639"/>
    <n v="457"/>
    <n v="65"/>
    <n v="16"/>
    <n v="12"/>
    <n v="14"/>
    <n v="139.82"/>
    <n v="53.25"/>
  </r>
  <r>
    <x v="658"/>
    <x v="6"/>
    <s v="Royal Challengers Bengaluru"/>
    <n v="741"/>
    <n v="479"/>
    <n v="62"/>
    <n v="38"/>
    <n v="13"/>
    <n v="15"/>
    <n v="154.69999999999999"/>
    <n v="57"/>
  </r>
  <r>
    <x v="658"/>
    <x v="7"/>
    <s v="Royal Challengers Bengaluru"/>
    <n v="657"/>
    <n v="454"/>
    <n v="66"/>
    <n v="19"/>
    <n v="13"/>
    <n v="15"/>
    <n v="144.71"/>
    <n v="50.54"/>
  </r>
  <r>
    <x v="659"/>
    <x v="7"/>
    <s v="Delhi Capitals"/>
    <n v="142"/>
    <n v="78"/>
    <n v="16"/>
    <n v="8"/>
    <n v="5"/>
    <n v="8"/>
    <n v="182.05"/>
    <n v="28.4"/>
  </r>
  <r>
    <x v="660"/>
    <x v="0"/>
    <s v="Deccan Chargers"/>
    <n v="0"/>
    <n v="1"/>
    <n v="0"/>
    <n v="0"/>
    <n v="1"/>
    <n v="1"/>
    <n v="0"/>
    <n v="0"/>
  </r>
  <r>
    <x v="661"/>
    <x v="8"/>
    <s v="Delhi Daredevils"/>
    <n v="406"/>
    <n v="216"/>
    <n v="46"/>
    <n v="21"/>
    <n v="12"/>
    <n v="14"/>
    <n v="187.96"/>
    <n v="33.83"/>
  </r>
  <r>
    <x v="661"/>
    <x v="9"/>
    <s v="Delhi Daredevils"/>
    <n v="198"/>
    <n v="134"/>
    <n v="24"/>
    <n v="7"/>
    <n v="10"/>
    <n v="11"/>
    <n v="147.76"/>
    <n v="19.8"/>
  </r>
  <r>
    <x v="661"/>
    <x v="12"/>
    <s v="Delhi Daredevils"/>
    <n v="356"/>
    <n v="217"/>
    <n v="47"/>
    <n v="14"/>
    <n v="14"/>
    <n v="14"/>
    <n v="164.06"/>
    <n v="25.43"/>
  </r>
  <r>
    <x v="661"/>
    <x v="13"/>
    <s v="Delhi Daredevils"/>
    <n v="424"/>
    <n v="239"/>
    <n v="51"/>
    <n v="18"/>
    <n v="9"/>
    <n v="11"/>
    <n v="177.41"/>
    <n v="47.11"/>
  </r>
  <r>
    <x v="661"/>
    <x v="0"/>
    <s v="Delhi Daredevils"/>
    <n v="495"/>
    <n v="307"/>
    <n v="57"/>
    <n v="19"/>
    <n v="16"/>
    <n v="16"/>
    <n v="161.24"/>
    <n v="30.94"/>
  </r>
  <r>
    <x v="661"/>
    <x v="1"/>
    <s v="Delhi Daredevils"/>
    <n v="295"/>
    <n v="229"/>
    <n v="41"/>
    <n v="6"/>
    <n v="12"/>
    <n v="13"/>
    <n v="128.82"/>
    <n v="24.58"/>
  </r>
  <r>
    <x v="661"/>
    <x v="14"/>
    <s v="Kings XI Punjab"/>
    <n v="455"/>
    <n v="314"/>
    <n v="56"/>
    <n v="18"/>
    <n v="18"/>
    <n v="17"/>
    <n v="144.9"/>
    <n v="25.28"/>
  </r>
  <r>
    <x v="661"/>
    <x v="2"/>
    <s v="Kings XI Punjab"/>
    <n v="99"/>
    <n v="84"/>
    <n v="12"/>
    <n v="3"/>
    <n v="7"/>
    <n v="8"/>
    <n v="117.86"/>
    <n v="14.14"/>
  </r>
  <r>
    <x v="662"/>
    <x v="10"/>
    <s v="Sunrisers Hyderabad"/>
    <n v="101"/>
    <n v="75"/>
    <n v="12"/>
    <n v="1"/>
    <n v="2"/>
    <n v="4"/>
    <n v="134.66999999999999"/>
    <n v="50.5"/>
  </r>
  <r>
    <x v="662"/>
    <x v="11"/>
    <s v="Delhi Daredevils"/>
    <n v="212"/>
    <n v="147"/>
    <n v="11"/>
    <n v="11"/>
    <n v="4"/>
    <n v="9"/>
    <n v="144.22"/>
    <n v="53"/>
  </r>
  <r>
    <x v="662"/>
    <x v="15"/>
    <s v="Sunrisers Hyderabad"/>
    <n v="244"/>
    <n v="193"/>
    <n v="11"/>
    <n v="12"/>
    <n v="11"/>
    <n v="14"/>
    <n v="126.42"/>
    <n v="22.18"/>
  </r>
  <r>
    <x v="662"/>
    <x v="16"/>
    <s v="Sunrisers Hyderabad"/>
    <n v="97"/>
    <n v="96"/>
    <n v="10"/>
    <n v="1"/>
    <n v="4"/>
    <n v="5"/>
    <n v="101.04"/>
    <n v="24.25"/>
  </r>
  <r>
    <x v="662"/>
    <x v="17"/>
    <s v="Sunrisers Hyderabad"/>
    <n v="58"/>
    <n v="52"/>
    <n v="1"/>
    <n v="3"/>
    <n v="5"/>
    <n v="5"/>
    <n v="111.54"/>
    <n v="11.6"/>
  </r>
  <r>
    <x v="662"/>
    <x v="4"/>
    <s v="Gujarat Titans"/>
    <n v="19"/>
    <n v="35"/>
    <n v="1"/>
    <n v="0"/>
    <n v="4"/>
    <n v="4"/>
    <n v="54.29"/>
    <n v="4.75"/>
  </r>
  <r>
    <x v="662"/>
    <x v="5"/>
    <s v="Gujarat Titans"/>
    <n v="301"/>
    <n v="187"/>
    <n v="27"/>
    <n v="15"/>
    <n v="8"/>
    <n v="10"/>
    <n v="160.96"/>
    <n v="37.619999999999997"/>
  </r>
  <r>
    <x v="662"/>
    <x v="6"/>
    <s v="Gujarat Titans"/>
    <n v="83"/>
    <n v="72"/>
    <n v="7"/>
    <n v="2"/>
    <n v="5"/>
    <n v="7"/>
    <n v="115.28"/>
    <n v="16.600000000000001"/>
  </r>
  <r>
    <x v="662"/>
    <x v="7"/>
    <s v="Chennai Super Kings"/>
    <n v="118"/>
    <n v="90"/>
    <n v="8"/>
    <n v="3"/>
    <n v="3"/>
    <n v="5"/>
    <n v="131.11000000000001"/>
    <n v="39.33"/>
  </r>
  <r>
    <x v="663"/>
    <x v="7"/>
    <s v="Rajasthan Royals"/>
    <n v="252"/>
    <n v="121"/>
    <n v="18"/>
    <n v="24"/>
    <n v="7"/>
    <n v="7"/>
    <n v="208.26"/>
    <n v="36"/>
  </r>
  <r>
    <x v="664"/>
    <x v="6"/>
    <s v="Sunrisers Hyderabad"/>
    <n v="7"/>
    <n v="5"/>
    <n v="0"/>
    <n v="0"/>
    <n v="0"/>
    <n v="1"/>
    <n v="140"/>
    <m/>
  </r>
  <r>
    <x v="665"/>
    <x v="4"/>
    <s v="Punjab Kings"/>
    <n v="5"/>
    <n v="13"/>
    <n v="0"/>
    <n v="0"/>
    <n v="2"/>
    <n v="4"/>
    <n v="38.46"/>
    <n v="2.5"/>
  </r>
  <r>
    <x v="665"/>
    <x v="5"/>
    <s v="Kolkata Knight Riders"/>
    <n v="3"/>
    <n v="2"/>
    <n v="0"/>
    <n v="0"/>
    <n v="0"/>
    <n v="2"/>
    <n v="150"/>
    <m/>
  </r>
  <r>
    <x v="665"/>
    <x v="6"/>
    <s v="Kolkata Knight Riders"/>
    <n v="1"/>
    <n v="1"/>
    <n v="0"/>
    <n v="0"/>
    <n v="0"/>
    <n v="1"/>
    <n v="100"/>
    <m/>
  </r>
  <r>
    <x v="665"/>
    <x v="7"/>
    <s v="Kolkata Knight Riders"/>
    <n v="0"/>
    <n v="8"/>
    <n v="0"/>
    <n v="0"/>
    <n v="2"/>
    <n v="2"/>
    <n v="0"/>
    <n v="0"/>
  </r>
  <r>
    <x v="666"/>
    <x v="14"/>
    <s v="Royal Challengers Bangalore"/>
    <n v="29"/>
    <n v="26"/>
    <n v="3"/>
    <n v="1"/>
    <n v="2"/>
    <n v="2"/>
    <n v="111.54"/>
    <n v="14.5"/>
  </r>
  <r>
    <x v="667"/>
    <x v="13"/>
    <s v="Delhi Daredevils"/>
    <n v="0"/>
    <n v="5"/>
    <n v="0"/>
    <n v="0"/>
    <n v="0"/>
    <n v="1"/>
    <n v="0"/>
    <m/>
  </r>
  <r>
    <x v="667"/>
    <x v="0"/>
    <s v="Delhi Daredevils"/>
    <n v="1"/>
    <n v="3"/>
    <n v="0"/>
    <n v="0"/>
    <n v="1"/>
    <n v="2"/>
    <n v="33.33"/>
    <n v="1"/>
  </r>
  <r>
    <x v="667"/>
    <x v="14"/>
    <s v="Royal Challengers Bangalore"/>
    <n v="35"/>
    <n v="33"/>
    <n v="2"/>
    <n v="1"/>
    <n v="0"/>
    <n v="3"/>
    <n v="106.06"/>
    <m/>
  </r>
  <r>
    <x v="667"/>
    <x v="2"/>
    <s v="Royal Challengers Bangalore"/>
    <n v="6"/>
    <n v="3"/>
    <n v="0"/>
    <n v="1"/>
    <n v="1"/>
    <n v="1"/>
    <n v="200"/>
    <n v="6"/>
  </r>
  <r>
    <x v="667"/>
    <x v="10"/>
    <s v="Kings XI Punjab"/>
    <n v="4"/>
    <n v="10"/>
    <n v="0"/>
    <n v="0"/>
    <n v="1"/>
    <n v="2"/>
    <n v="40"/>
    <n v="4"/>
  </r>
  <r>
    <x v="667"/>
    <x v="15"/>
    <s v="Rajasthan Royals"/>
    <n v="3"/>
    <n v="7"/>
    <n v="0"/>
    <n v="0"/>
    <n v="0"/>
    <n v="1"/>
    <n v="42.86"/>
    <m/>
  </r>
  <r>
    <x v="667"/>
    <x v="16"/>
    <s v="Rajasthan Royals"/>
    <n v="1"/>
    <n v="10"/>
    <n v="0"/>
    <n v="0"/>
    <n v="1"/>
    <n v="2"/>
    <n v="10"/>
    <n v="1"/>
  </r>
  <r>
    <x v="668"/>
    <x v="17"/>
    <s v="Kolkata Knight Riders"/>
    <n v="370"/>
    <n v="288"/>
    <n v="37"/>
    <n v="14"/>
    <n v="9"/>
    <n v="10"/>
    <n v="128.47"/>
    <n v="41.11"/>
  </r>
  <r>
    <x v="668"/>
    <x v="4"/>
    <s v="Kolkata Knight Riders"/>
    <n v="182"/>
    <n v="169"/>
    <n v="17"/>
    <n v="7"/>
    <n v="11"/>
    <n v="12"/>
    <n v="107.69"/>
    <n v="16.55"/>
  </r>
  <r>
    <x v="668"/>
    <x v="5"/>
    <s v="Kolkata Knight Riders"/>
    <n v="404"/>
    <n v="276"/>
    <n v="32"/>
    <n v="21"/>
    <n v="14"/>
    <n v="14"/>
    <n v="146.38"/>
    <n v="28.86"/>
  </r>
  <r>
    <x v="668"/>
    <x v="6"/>
    <s v="Kolkata Knight Riders"/>
    <n v="370"/>
    <n v="233"/>
    <n v="35"/>
    <n v="19"/>
    <n v="9"/>
    <n v="13"/>
    <n v="158.80000000000001"/>
    <n v="41.11"/>
  </r>
  <r>
    <x v="668"/>
    <x v="7"/>
    <s v="Kolkata Knight Riders"/>
    <n v="142"/>
    <n v="102"/>
    <n v="15"/>
    <n v="4"/>
    <n v="7"/>
    <n v="7"/>
    <n v="139.22"/>
    <n v="20.29"/>
  </r>
  <r>
    <x v="669"/>
    <x v="8"/>
    <s v="Kings XI Punjab"/>
    <n v="4"/>
    <n v="3"/>
    <n v="1"/>
    <n v="0"/>
    <n v="1"/>
    <n v="2"/>
    <n v="133.33000000000001"/>
    <n v="4"/>
  </r>
  <r>
    <x v="670"/>
    <x v="12"/>
    <s v="Kings XI Punjab"/>
    <n v="6"/>
    <n v="5"/>
    <n v="1"/>
    <n v="0"/>
    <n v="1"/>
    <n v="1"/>
    <n v="120"/>
    <n v="6"/>
  </r>
  <r>
    <x v="670"/>
    <x v="14"/>
    <s v="Rajasthan Royals"/>
    <n v="1"/>
    <n v="2"/>
    <n v="0"/>
    <n v="0"/>
    <n v="0"/>
    <n v="1"/>
    <n v="50"/>
    <m/>
  </r>
  <r>
    <x v="671"/>
    <x v="8"/>
    <s v="Mumbai Indians"/>
    <n v="2"/>
    <n v="2"/>
    <n v="0"/>
    <n v="0"/>
    <n v="1"/>
    <n v="1"/>
    <n v="100"/>
    <n v="2"/>
  </r>
  <r>
    <x v="672"/>
    <x v="8"/>
    <s v="Deccan Chargers"/>
    <n v="155"/>
    <n v="132"/>
    <n v="22"/>
    <n v="1"/>
    <n v="5"/>
    <n v="6"/>
    <n v="117.42"/>
    <n v="31"/>
  </r>
  <r>
    <x v="672"/>
    <x v="9"/>
    <s v="Deccan Chargers"/>
    <n v="19"/>
    <n v="33"/>
    <n v="1"/>
    <n v="1"/>
    <n v="5"/>
    <n v="5"/>
    <n v="57.58"/>
    <n v="3.8"/>
  </r>
  <r>
    <x v="672"/>
    <x v="12"/>
    <s v="Deccan Chargers"/>
    <n v="64"/>
    <n v="60"/>
    <n v="7"/>
    <n v="1"/>
    <n v="4"/>
    <n v="6"/>
    <n v="106.67"/>
    <n v="16"/>
  </r>
  <r>
    <x v="672"/>
    <x v="13"/>
    <s v="Kochi Tuskers Kerala"/>
    <n v="44"/>
    <n v="41"/>
    <n v="3"/>
    <n v="2"/>
    <n v="2"/>
    <n v="3"/>
    <n v="107.32"/>
    <n v="22"/>
  </r>
  <r>
    <x v="673"/>
    <x v="8"/>
    <s v="Delhi Daredevils"/>
    <n v="15"/>
    <n v="27"/>
    <n v="0"/>
    <n v="0"/>
    <n v="2"/>
    <n v="5"/>
    <n v="55.56"/>
    <n v="7.5"/>
  </r>
  <r>
    <x v="674"/>
    <x v="5"/>
    <s v="Royal Challengers Bangalore"/>
    <n v="13"/>
    <n v="9"/>
    <n v="0"/>
    <n v="1"/>
    <n v="1"/>
    <n v="2"/>
    <n v="144.44"/>
    <n v="13"/>
  </r>
  <r>
    <x v="674"/>
    <x v="6"/>
    <s v="Royal Challengers Bengaluru"/>
    <n v="1"/>
    <n v="3"/>
    <n v="0"/>
    <n v="0"/>
    <n v="1"/>
    <n v="2"/>
    <n v="33.33"/>
    <n v="1"/>
  </r>
  <r>
    <x v="675"/>
    <x v="17"/>
    <s v="Sunrisers Hyderabad"/>
    <n v="15"/>
    <n v="26"/>
    <n v="1"/>
    <n v="0"/>
    <n v="3"/>
    <n v="2"/>
    <n v="57.69"/>
    <n v="5"/>
  </r>
  <r>
    <x v="676"/>
    <x v="10"/>
    <s v="Royal Challengers Bangalore"/>
    <n v="19"/>
    <n v="26"/>
    <n v="1"/>
    <n v="1"/>
    <n v="3"/>
    <n v="3"/>
    <n v="73.08"/>
    <n v="6.33"/>
  </r>
  <r>
    <x v="676"/>
    <x v="5"/>
    <s v="Mumbai Indians"/>
    <n v="37"/>
    <n v="30"/>
    <n v="2"/>
    <n v="2"/>
    <n v="3"/>
    <n v="3"/>
    <n v="123.33"/>
    <n v="12.33"/>
  </r>
  <r>
    <x v="677"/>
    <x v="5"/>
    <s v="Sunrisers Hyderabad"/>
    <n v="69"/>
    <n v="47"/>
    <n v="9"/>
    <n v="2"/>
    <n v="1"/>
    <n v="1"/>
    <n v="146.81"/>
    <n v="69"/>
  </r>
  <r>
    <x v="678"/>
    <x v="8"/>
    <s v="Royal Challengers Bangalore"/>
    <n v="115"/>
    <n v="104"/>
    <n v="12"/>
    <n v="3"/>
    <n v="5"/>
    <n v="6"/>
    <n v="110.58"/>
    <n v="23"/>
  </r>
  <r>
    <x v="678"/>
    <x v="9"/>
    <s v="Royal Challengers Bangalore"/>
    <n v="15"/>
    <n v="17"/>
    <n v="2"/>
    <n v="0"/>
    <n v="2"/>
    <n v="2"/>
    <n v="88.24"/>
    <n v="7.5"/>
  </r>
  <r>
    <x v="679"/>
    <x v="8"/>
    <s v="Kings XI Punjab"/>
    <n v="26"/>
    <n v="27"/>
    <n v="2"/>
    <n v="0"/>
    <n v="1"/>
    <n v="2"/>
    <n v="96.3"/>
    <n v="26"/>
  </r>
  <r>
    <x v="679"/>
    <x v="9"/>
    <s v="Kings XI Punjab"/>
    <n v="30"/>
    <n v="48"/>
    <n v="0"/>
    <n v="0"/>
    <n v="4"/>
    <n v="6"/>
    <n v="62.5"/>
    <n v="7.5"/>
  </r>
  <r>
    <x v="680"/>
    <x v="13"/>
    <s v="Pune Warriors"/>
    <n v="37"/>
    <n v="39"/>
    <n v="2"/>
    <n v="1"/>
    <n v="3"/>
    <n v="5"/>
    <n v="94.87"/>
    <n v="12.33"/>
  </r>
  <r>
    <x v="680"/>
    <x v="0"/>
    <s v="Pune Warriors"/>
    <n v="19"/>
    <n v="27"/>
    <n v="2"/>
    <n v="0"/>
    <n v="4"/>
    <n v="5"/>
    <n v="70.37"/>
    <n v="4.75"/>
  </r>
  <r>
    <x v="680"/>
    <x v="1"/>
    <s v="Pune Warriors"/>
    <n v="5"/>
    <n v="7"/>
    <n v="0"/>
    <n v="0"/>
    <n v="1"/>
    <n v="1"/>
    <n v="71.430000000000007"/>
    <n v="5"/>
  </r>
  <r>
    <x v="680"/>
    <x v="14"/>
    <s v="Delhi Daredevils"/>
    <n v="2"/>
    <n v="2"/>
    <n v="0"/>
    <n v="0"/>
    <n v="1"/>
    <n v="1"/>
    <n v="100"/>
    <n v="2"/>
  </r>
  <r>
    <x v="680"/>
    <x v="5"/>
    <s v="Royal Challengers Bangalore"/>
    <n v="2"/>
    <n v="5"/>
    <n v="0"/>
    <n v="0"/>
    <n v="1"/>
    <n v="1"/>
    <n v="40"/>
    <n v="2"/>
  </r>
  <r>
    <x v="681"/>
    <x v="6"/>
    <s v="Royal Challengers Bengaluru"/>
    <n v="230"/>
    <n v="130"/>
    <n v="16"/>
    <n v="18"/>
    <n v="6"/>
    <n v="8"/>
    <n v="176.92"/>
    <n v="38.33"/>
  </r>
  <r>
    <x v="681"/>
    <x v="7"/>
    <s v="Mumbai Indians"/>
    <n v="233"/>
    <n v="172"/>
    <n v="22"/>
    <n v="11"/>
    <n v="10"/>
    <n v="11"/>
    <n v="135.47"/>
    <n v="23.3"/>
  </r>
  <r>
    <x v="682"/>
    <x v="8"/>
    <s v="Kolkata Knight Riders"/>
    <n v="159"/>
    <n v="119"/>
    <n v="12"/>
    <n v="7"/>
    <n v="6"/>
    <n v="10"/>
    <n v="133.61000000000001"/>
    <n v="26.5"/>
  </r>
  <r>
    <x v="682"/>
    <x v="9"/>
    <s v="Kolkata Knight Riders"/>
    <n v="72"/>
    <n v="41"/>
    <n v="3"/>
    <n v="4"/>
    <n v="3"/>
    <n v="7"/>
    <n v="175.61"/>
    <n v="24"/>
  </r>
  <r>
    <x v="682"/>
    <x v="12"/>
    <s v="Kolkata Knight Riders"/>
    <n v="67"/>
    <n v="53"/>
    <n v="9"/>
    <n v="1"/>
    <n v="3"/>
    <n v="6"/>
    <n v="126.42"/>
    <n v="22.33"/>
  </r>
  <r>
    <x v="682"/>
    <x v="13"/>
    <s v="Chennai Super Kings"/>
    <n v="68"/>
    <n v="63"/>
    <n v="2"/>
    <n v="4"/>
    <n v="1"/>
    <n v="2"/>
    <n v="107.94"/>
    <n v="68"/>
  </r>
  <r>
    <x v="682"/>
    <x v="0"/>
    <s v="Chennai Super Kings"/>
    <n v="6"/>
    <n v="14"/>
    <n v="0"/>
    <n v="0"/>
    <n v="1"/>
    <n v="1"/>
    <n v="42.86"/>
    <n v="6"/>
  </r>
  <r>
    <x v="682"/>
    <x v="1"/>
    <s v="Chennai Super Kings"/>
    <n v="70"/>
    <n v="56"/>
    <n v="6"/>
    <n v="4"/>
    <n v="3"/>
    <n v="3"/>
    <n v="125"/>
    <n v="23.33"/>
  </r>
  <r>
    <x v="682"/>
    <x v="14"/>
    <s v="Kings XI Punjab"/>
    <n v="362"/>
    <n v="249"/>
    <n v="33"/>
    <n v="18"/>
    <n v="12"/>
    <n v="13"/>
    <n v="145.38"/>
    <n v="30.17"/>
  </r>
  <r>
    <x v="682"/>
    <x v="2"/>
    <s v="Kings XI Punjab"/>
    <n v="249"/>
    <n v="197"/>
    <n v="16"/>
    <n v="10"/>
    <n v="13"/>
    <n v="13"/>
    <n v="126.4"/>
    <n v="19.149999999999999"/>
  </r>
  <r>
    <x v="682"/>
    <x v="3"/>
    <s v="Kings XI Punjab"/>
    <n v="270"/>
    <n v="212"/>
    <n v="29"/>
    <n v="1"/>
    <n v="11"/>
    <n v="12"/>
    <n v="127.36"/>
    <n v="24.55"/>
  </r>
  <r>
    <x v="682"/>
    <x v="10"/>
    <s v="Kings XI Punjab"/>
    <n v="234"/>
    <n v="186"/>
    <n v="20"/>
    <n v="8"/>
    <n v="10"/>
    <n v="11"/>
    <n v="125.81"/>
    <n v="23.4"/>
  </r>
  <r>
    <x v="682"/>
    <x v="11"/>
    <s v="Sunrisers Hyderabad"/>
    <n v="122"/>
    <n v="102"/>
    <n v="17"/>
    <n v="1"/>
    <n v="8"/>
    <n v="10"/>
    <n v="119.61"/>
    <n v="15.25"/>
  </r>
  <r>
    <x v="682"/>
    <x v="15"/>
    <s v="Sunrisers Hyderabad"/>
    <n v="86"/>
    <n v="53"/>
    <n v="13"/>
    <n v="1"/>
    <n v="5"/>
    <n v="5"/>
    <n v="162.26"/>
    <n v="17.2"/>
  </r>
  <r>
    <x v="682"/>
    <x v="16"/>
    <s v="Sunrisers Hyderabad"/>
    <n v="214"/>
    <n v="153"/>
    <n v="24"/>
    <n v="5"/>
    <n v="2"/>
    <n v="4"/>
    <n v="139.87"/>
    <n v="107"/>
  </r>
  <r>
    <x v="682"/>
    <x v="17"/>
    <s v="Sunrisers Hyderabad"/>
    <n v="131"/>
    <n v="139"/>
    <n v="7"/>
    <n v="5"/>
    <n v="9"/>
    <n v="9"/>
    <n v="94.24"/>
    <n v="14.56"/>
  </r>
  <r>
    <x v="682"/>
    <x v="4"/>
    <s v="Gujarat Titans"/>
    <n v="317"/>
    <n v="259"/>
    <n v="40"/>
    <n v="7"/>
    <n v="9"/>
    <n v="11"/>
    <n v="122.39"/>
    <n v="35.22"/>
  </r>
  <r>
    <x v="682"/>
    <x v="5"/>
    <s v="Gujarat Titans"/>
    <n v="371"/>
    <n v="285"/>
    <n v="47"/>
    <n v="8"/>
    <n v="16"/>
    <n v="17"/>
    <n v="130.18"/>
    <n v="23.19"/>
  </r>
  <r>
    <x v="682"/>
    <x v="6"/>
    <s v="Gujarat Titans"/>
    <n v="136"/>
    <n v="115"/>
    <n v="18"/>
    <n v="3"/>
    <n v="9"/>
    <n v="9"/>
    <n v="118.26"/>
    <n v="15.11"/>
  </r>
  <r>
    <x v="683"/>
    <x v="8"/>
    <s v="Deccan Chargers"/>
    <n v="21"/>
    <n v="17"/>
    <n v="0"/>
    <n v="1"/>
    <n v="2"/>
    <n v="4"/>
    <n v="123.53"/>
    <n v="10.5"/>
  </r>
  <r>
    <x v="683"/>
    <x v="9"/>
    <s v="Deccan Chargers"/>
    <n v="30"/>
    <n v="21"/>
    <n v="1"/>
    <n v="1"/>
    <n v="1"/>
    <n v="2"/>
    <n v="142.86000000000001"/>
    <n v="30"/>
  </r>
  <r>
    <x v="683"/>
    <x v="12"/>
    <s v="Deccan Chargers"/>
    <n v="30"/>
    <n v="34"/>
    <n v="1"/>
    <n v="1"/>
    <n v="4"/>
    <n v="5"/>
    <n v="88.24"/>
    <n v="7.5"/>
  </r>
  <r>
    <x v="684"/>
    <x v="10"/>
    <s v="Rising Pune Supergiant"/>
    <n v="9"/>
    <n v="12"/>
    <n v="0"/>
    <n v="0"/>
    <n v="0"/>
    <n v="5"/>
    <n v="75"/>
    <m/>
  </r>
  <r>
    <x v="684"/>
    <x v="11"/>
    <s v="Royal Challengers Bangalore"/>
    <n v="65"/>
    <n v="38"/>
    <n v="5"/>
    <n v="4"/>
    <n v="4"/>
    <n v="5"/>
    <n v="171.05"/>
    <n v="16.25"/>
  </r>
  <r>
    <x v="684"/>
    <x v="15"/>
    <s v="Royal Challengers Bangalore"/>
    <n v="1"/>
    <n v="3"/>
    <n v="0"/>
    <n v="0"/>
    <n v="2"/>
    <n v="2"/>
    <n v="33.33"/>
    <n v="0.5"/>
  </r>
  <r>
    <x v="684"/>
    <x v="16"/>
    <s v="Royal Challengers Bangalore"/>
    <n v="111"/>
    <n v="95"/>
    <n v="10"/>
    <n v="2"/>
    <n v="6"/>
    <n v="9"/>
    <n v="116.84"/>
    <n v="18.5"/>
  </r>
  <r>
    <x v="684"/>
    <x v="17"/>
    <s v="Royal Challengers Bangalore"/>
    <n v="31"/>
    <n v="46"/>
    <n v="2"/>
    <n v="0"/>
    <n v="4"/>
    <n v="4"/>
    <n v="67.39"/>
    <n v="7.75"/>
  </r>
  <r>
    <x v="684"/>
    <x v="4"/>
    <s v="Sunrisers Hyderabad"/>
    <n v="101"/>
    <n v="69"/>
    <n v="9"/>
    <n v="3"/>
    <n v="7"/>
    <n v="7"/>
    <n v="146.38"/>
    <n v="14.43"/>
  </r>
  <r>
    <x v="684"/>
    <x v="5"/>
    <s v="Sunrisers Hyderabad"/>
    <n v="60"/>
    <n v="60"/>
    <n v="6"/>
    <n v="0"/>
    <n v="3"/>
    <n v="5"/>
    <n v="100"/>
    <n v="20"/>
  </r>
  <r>
    <x v="684"/>
    <x v="6"/>
    <s v="Sunrisers Hyderabad"/>
    <n v="0"/>
    <n v="1"/>
    <n v="0"/>
    <n v="0"/>
    <n v="1"/>
    <n v="1"/>
    <n v="0"/>
    <n v="0"/>
  </r>
  <r>
    <x v="684"/>
    <x v="7"/>
    <s v="Gujarat Titans"/>
    <n v="133"/>
    <n v="80"/>
    <n v="10"/>
    <n v="7"/>
    <n v="5"/>
    <n v="5"/>
    <n v="166.25"/>
    <n v="26.6"/>
  </r>
  <r>
    <x v="685"/>
    <x v="1"/>
    <s v="Sunrisers Hyderabad"/>
    <n v="10"/>
    <n v="17"/>
    <n v="0"/>
    <n v="0"/>
    <n v="1"/>
    <n v="1"/>
    <n v="58.82"/>
    <n v="10"/>
  </r>
  <r>
    <x v="686"/>
    <x v="7"/>
    <s v="Punjab Kings"/>
    <n v="11"/>
    <n v="15"/>
    <n v="1"/>
    <n v="0"/>
    <n v="1"/>
    <n v="1"/>
    <n v="73.33"/>
    <n v="11"/>
  </r>
  <r>
    <x v="687"/>
    <x v="13"/>
    <s v="Kochi Tuskers Kerala"/>
    <n v="19"/>
    <n v="17"/>
    <n v="3"/>
    <n v="0"/>
    <n v="1"/>
    <n v="1"/>
    <n v="111.76"/>
    <n v="19"/>
  </r>
  <r>
    <x v="688"/>
    <x v="9"/>
    <s v="Delhi Daredevils"/>
    <n v="20"/>
    <n v="20"/>
    <n v="1"/>
    <n v="0"/>
    <n v="1"/>
    <n v="1"/>
    <n v="100"/>
    <n v="20"/>
  </r>
  <r>
    <x v="688"/>
    <x v="12"/>
    <s v="Delhi Daredevils"/>
    <n v="1"/>
    <n v="6"/>
    <n v="0"/>
    <n v="0"/>
    <n v="1"/>
    <n v="1"/>
    <n v="16.670000000000002"/>
    <n v="1"/>
  </r>
  <r>
    <x v="688"/>
    <x v="13"/>
    <s v="Delhi Daredevils"/>
    <n v="111"/>
    <n v="100"/>
    <n v="6"/>
    <n v="6"/>
    <n v="8"/>
    <n v="10"/>
    <n v="111"/>
    <n v="13.88"/>
  </r>
  <r>
    <x v="688"/>
    <x v="0"/>
    <s v="Delhi Daredevils"/>
    <n v="153"/>
    <n v="133"/>
    <n v="13"/>
    <n v="3"/>
    <n v="5"/>
    <n v="8"/>
    <n v="115.04"/>
    <n v="30.6"/>
  </r>
  <r>
    <x v="689"/>
    <x v="15"/>
    <s v="Kolkata Knight Riders"/>
    <n v="0"/>
    <n v="1"/>
    <n v="0"/>
    <n v="0"/>
    <n v="0"/>
    <n v="1"/>
    <n v="0"/>
    <m/>
  </r>
  <r>
    <x v="690"/>
    <x v="8"/>
    <s v="Deccan Chargers"/>
    <n v="288"/>
    <n v="207"/>
    <n v="22"/>
    <n v="15"/>
    <n v="8"/>
    <n v="10"/>
    <n v="139.13"/>
    <n v="36"/>
  </r>
  <r>
    <x v="690"/>
    <x v="9"/>
    <s v="Deccan Chargers"/>
    <n v="124"/>
    <n v="114"/>
    <n v="6"/>
    <n v="3"/>
    <n v="10"/>
    <n v="12"/>
    <n v="108.77"/>
    <n v="12.4"/>
  </r>
  <r>
    <x v="690"/>
    <x v="12"/>
    <s v="Deccan Chargers"/>
    <n v="34"/>
    <n v="43"/>
    <n v="3"/>
    <n v="1"/>
    <n v="4"/>
    <n v="4"/>
    <n v="79.069999999999993"/>
    <n v="8.5"/>
  </r>
  <r>
    <x v="690"/>
    <x v="13"/>
    <s v="Delhi Daredevils"/>
    <n v="336"/>
    <n v="279"/>
    <n v="30"/>
    <n v="13"/>
    <n v="12"/>
    <n v="14"/>
    <n v="120.43"/>
    <n v="28"/>
  </r>
  <r>
    <x v="690"/>
    <x v="0"/>
    <s v="Delhi Daredevils"/>
    <n v="132"/>
    <n v="126"/>
    <n v="8"/>
    <n v="5"/>
    <n v="5"/>
    <n v="7"/>
    <n v="104.76"/>
    <n v="26.4"/>
  </r>
  <r>
    <x v="690"/>
    <x v="14"/>
    <s v="Sunrisers Hyderabad"/>
    <n v="71"/>
    <n v="63"/>
    <n v="8"/>
    <n v="0"/>
    <n v="3"/>
    <n v="5"/>
    <n v="112.7"/>
    <n v="23.67"/>
  </r>
  <r>
    <x v="691"/>
    <x v="12"/>
    <s v="Kings XI Punjab"/>
    <n v="0"/>
    <n v="1"/>
    <n v="0"/>
    <n v="0"/>
    <n v="0"/>
    <n v="1"/>
    <n v="0"/>
    <m/>
  </r>
  <r>
    <x v="692"/>
    <x v="16"/>
    <s v="Rajasthan Royals"/>
    <n v="40"/>
    <n v="44"/>
    <n v="2"/>
    <n v="2"/>
    <n v="3"/>
    <n v="3"/>
    <n v="90.91"/>
    <n v="13.33"/>
  </r>
  <r>
    <x v="692"/>
    <x v="17"/>
    <s v="Rajasthan Royals"/>
    <n v="249"/>
    <n v="168"/>
    <n v="32"/>
    <n v="10"/>
    <n v="10"/>
    <n v="10"/>
    <n v="148.21"/>
    <n v="24.9"/>
  </r>
  <r>
    <x v="692"/>
    <x v="4"/>
    <s v="Rajasthan Royals"/>
    <n v="258"/>
    <n v="191"/>
    <n v="28"/>
    <n v="10"/>
    <n v="10"/>
    <n v="10"/>
    <n v="135.08000000000001"/>
    <n v="25.8"/>
  </r>
  <r>
    <x v="692"/>
    <x v="5"/>
    <s v="Rajasthan Royals"/>
    <n v="625"/>
    <n v="381"/>
    <n v="83"/>
    <n v="26"/>
    <n v="12"/>
    <n v="14"/>
    <n v="164.04"/>
    <n v="52.08"/>
  </r>
  <r>
    <x v="692"/>
    <x v="6"/>
    <s v="Rajasthan Royals"/>
    <n v="435"/>
    <n v="278"/>
    <n v="54"/>
    <n v="16"/>
    <n v="14"/>
    <n v="15"/>
    <n v="156.47"/>
    <n v="31.07"/>
  </r>
  <r>
    <x v="692"/>
    <x v="7"/>
    <s v="Rajasthan Royals"/>
    <n v="559"/>
    <n v="350"/>
    <n v="60"/>
    <n v="28"/>
    <n v="13"/>
    <n v="14"/>
    <n v="159.71"/>
    <n v="43"/>
  </r>
  <r>
    <x v="693"/>
    <x v="8"/>
    <s v="Rajasthan Royals"/>
    <n v="435"/>
    <n v="239"/>
    <n v="43"/>
    <n v="25"/>
    <n v="12"/>
    <n v="15"/>
    <n v="182.01"/>
    <n v="36.25"/>
  </r>
  <r>
    <x v="693"/>
    <x v="9"/>
    <s v="Rajasthan Royals"/>
    <n v="261"/>
    <n v="187"/>
    <n v="25"/>
    <n v="14"/>
    <n v="12"/>
    <n v="13"/>
    <n v="139.57"/>
    <n v="21.75"/>
  </r>
  <r>
    <x v="693"/>
    <x v="12"/>
    <s v="Rajasthan Royals"/>
    <n v="333"/>
    <n v="200"/>
    <n v="22"/>
    <n v="24"/>
    <n v="11"/>
    <n v="14"/>
    <n v="166.5"/>
    <n v="30.27"/>
  </r>
  <r>
    <x v="693"/>
    <x v="13"/>
    <s v="Kolkata Knight Riders"/>
    <n v="283"/>
    <n v="200"/>
    <n v="24"/>
    <n v="13"/>
    <n v="9"/>
    <n v="11"/>
    <n v="141.5"/>
    <n v="31.44"/>
  </r>
  <r>
    <x v="693"/>
    <x v="0"/>
    <s v="Kolkata Knight Riders"/>
    <n v="194"/>
    <n v="166"/>
    <n v="10"/>
    <n v="7"/>
    <n v="11"/>
    <n v="16"/>
    <n v="116.87"/>
    <n v="17.64"/>
  </r>
  <r>
    <x v="693"/>
    <x v="1"/>
    <s v="Kolkata Knight Riders"/>
    <n v="332"/>
    <n v="239"/>
    <n v="30"/>
    <n v="15"/>
    <n v="12"/>
    <n v="16"/>
    <n v="138.91"/>
    <n v="27.67"/>
  </r>
  <r>
    <x v="693"/>
    <x v="14"/>
    <s v="Kolkata Knight Riders"/>
    <n v="268"/>
    <n v="165"/>
    <n v="15"/>
    <n v="20"/>
    <n v="9"/>
    <n v="12"/>
    <n v="162.41999999999999"/>
    <n v="29.78"/>
  </r>
  <r>
    <x v="693"/>
    <x v="2"/>
    <s v="Kolkata Knight Riders"/>
    <n v="312"/>
    <n v="229"/>
    <n v="29"/>
    <n v="12"/>
    <n v="7"/>
    <n v="12"/>
    <n v="136.24"/>
    <n v="44.57"/>
  </r>
  <r>
    <x v="693"/>
    <x v="3"/>
    <s v="Kolkata Knight Riders"/>
    <n v="361"/>
    <n v="248"/>
    <n v="33"/>
    <n v="13"/>
    <n v="7"/>
    <n v="13"/>
    <n v="145.56"/>
    <n v="51.57"/>
  </r>
  <r>
    <x v="693"/>
    <x v="10"/>
    <s v="Kolkata Knight Riders"/>
    <n v="143"/>
    <n v="115"/>
    <n v="9"/>
    <n v="6"/>
    <n v="9"/>
    <n v="11"/>
    <n v="124.35"/>
    <n v="15.89"/>
  </r>
  <r>
    <x v="693"/>
    <x v="11"/>
    <s v="Sunrisers Hyderabad"/>
    <n v="260"/>
    <n v="200"/>
    <n v="22"/>
    <n v="11"/>
    <n v="9"/>
    <n v="13"/>
    <n v="130"/>
    <n v="28.89"/>
  </r>
  <r>
    <x v="693"/>
    <x v="15"/>
    <s v="Sunrisers Hyderabad"/>
    <n v="40"/>
    <n v="45"/>
    <n v="1"/>
    <n v="1"/>
    <n v="3"/>
    <n v="7"/>
    <n v="88.89"/>
    <n v="13.33"/>
  </r>
  <r>
    <x v="694"/>
    <x v="14"/>
    <s v="Royal Challengers Bangalore"/>
    <n v="1"/>
    <n v="1"/>
    <n v="0"/>
    <n v="0"/>
    <n v="0"/>
    <n v="1"/>
    <n v="100"/>
    <m/>
  </r>
  <r>
    <x v="694"/>
    <x v="2"/>
    <s v="Royal Challengers Bangalore"/>
    <n v="1"/>
    <n v="1"/>
    <n v="0"/>
    <n v="0"/>
    <n v="0"/>
    <n v="1"/>
    <n v="100"/>
    <m/>
  </r>
  <r>
    <x v="694"/>
    <x v="10"/>
    <s v="Royal Challengers Bangalore"/>
    <n v="13"/>
    <n v="26"/>
    <n v="0"/>
    <n v="0"/>
    <n v="2"/>
    <n v="6"/>
    <n v="50"/>
    <n v="6.5"/>
  </r>
  <r>
    <x v="694"/>
    <x v="11"/>
    <s v="Royal Challengers Bangalore"/>
    <n v="0"/>
    <n v="4"/>
    <n v="0"/>
    <n v="0"/>
    <n v="0"/>
    <n v="1"/>
    <n v="0"/>
    <m/>
  </r>
  <r>
    <x v="694"/>
    <x v="15"/>
    <s v="Royal Challengers Bangalore"/>
    <n v="6"/>
    <n v="16"/>
    <n v="0"/>
    <n v="0"/>
    <n v="2"/>
    <n v="3"/>
    <n v="37.5"/>
    <n v="3"/>
  </r>
  <r>
    <x v="694"/>
    <x v="16"/>
    <s v="Royal Challengers Bangalore"/>
    <n v="1"/>
    <n v="3"/>
    <n v="0"/>
    <n v="0"/>
    <n v="1"/>
    <n v="2"/>
    <n v="33.33"/>
    <n v="1"/>
  </r>
  <r>
    <x v="694"/>
    <x v="17"/>
    <s v="Royal Challengers Bangalore"/>
    <n v="10"/>
    <n v="27"/>
    <n v="0"/>
    <n v="0"/>
    <n v="0"/>
    <n v="2"/>
    <n v="37.04"/>
    <m/>
  </r>
  <r>
    <x v="694"/>
    <x v="4"/>
    <s v="Rajasthan Royals"/>
    <n v="5"/>
    <n v="8"/>
    <n v="0"/>
    <n v="0"/>
    <n v="1"/>
    <n v="1"/>
    <n v="62.5"/>
    <n v="5"/>
  </r>
  <r>
    <x v="695"/>
    <x v="5"/>
    <s v="Delhi Capitals"/>
    <n v="16"/>
    <n v="23"/>
    <n v="1"/>
    <n v="0"/>
    <n v="3"/>
    <n v="3"/>
    <n v="69.569999999999993"/>
    <n v="5.33"/>
  </r>
  <r>
    <x v="696"/>
    <x v="8"/>
    <s v="Mumbai Indians"/>
    <n v="70"/>
    <n v="64"/>
    <n v="7"/>
    <n v="2"/>
    <n v="2"/>
    <n v="4"/>
    <n v="109.38"/>
    <n v="35"/>
  </r>
  <r>
    <x v="696"/>
    <x v="9"/>
    <s v="Mumbai Indians"/>
    <n v="18"/>
    <n v="22"/>
    <n v="2"/>
    <n v="0"/>
    <n v="1"/>
    <n v="1"/>
    <n v="81.819999999999993"/>
    <n v="18"/>
  </r>
  <r>
    <x v="696"/>
    <x v="14"/>
    <s v="Royal Challengers Bangalore"/>
    <n v="104"/>
    <n v="91"/>
    <n v="17"/>
    <n v="1"/>
    <n v="5"/>
    <n v="5"/>
    <n v="114.29"/>
    <n v="20.8"/>
  </r>
  <r>
    <x v="697"/>
    <x v="4"/>
    <s v="Gujarat Titans"/>
    <n v="0"/>
    <n v="1"/>
    <n v="0"/>
    <n v="0"/>
    <n v="1"/>
    <n v="1"/>
    <n v="0"/>
    <n v="0"/>
  </r>
  <r>
    <x v="697"/>
    <x v="7"/>
    <s v="Royal Challengers Bengaluru"/>
    <n v="4"/>
    <n v="8"/>
    <n v="0"/>
    <n v="0"/>
    <n v="2"/>
    <n v="3"/>
    <n v="50"/>
    <n v="2"/>
  </r>
  <r>
    <x v="698"/>
    <x v="9"/>
    <s v="Kolkata Knight Riders"/>
    <n v="47"/>
    <n v="65"/>
    <n v="5"/>
    <n v="0"/>
    <n v="4"/>
    <n v="4"/>
    <n v="72.31"/>
    <n v="11.75"/>
  </r>
  <r>
    <x v="699"/>
    <x v="8"/>
    <s v="Rajasthan Royals"/>
    <n v="3"/>
    <n v="7"/>
    <n v="0"/>
    <n v="0"/>
    <n v="1"/>
    <n v="1"/>
    <n v="42.86"/>
    <n v="3"/>
  </r>
  <r>
    <x v="700"/>
    <x v="5"/>
    <s v="Lucknow Super Giants"/>
    <n v="1"/>
    <n v="2"/>
    <n v="0"/>
    <n v="0"/>
    <n v="2"/>
    <n v="2"/>
    <n v="50"/>
    <n v="0.5"/>
  </r>
  <r>
    <x v="700"/>
    <x v="6"/>
    <s v="Lucknow Super Giants"/>
    <n v="21"/>
    <n v="14"/>
    <n v="1"/>
    <n v="2"/>
    <n v="2"/>
    <n v="2"/>
    <n v="150"/>
    <n v="10.5"/>
  </r>
  <r>
    <x v="701"/>
    <x v="8"/>
    <s v="Kings XI Punjab"/>
    <n v="299"/>
    <n v="184"/>
    <n v="24"/>
    <n v="19"/>
    <n v="12"/>
    <n v="14"/>
    <n v="162.5"/>
    <n v="24.92"/>
  </r>
  <r>
    <x v="701"/>
    <x v="9"/>
    <s v="Kings XI Punjab"/>
    <n v="340"/>
    <n v="294"/>
    <n v="25"/>
    <n v="16"/>
    <n v="12"/>
    <n v="14"/>
    <n v="115.65"/>
    <n v="28.33"/>
  </r>
  <r>
    <x v="701"/>
    <x v="12"/>
    <s v="Kings XI Punjab"/>
    <n v="259"/>
    <n v="200"/>
    <n v="21"/>
    <n v="14"/>
    <n v="12"/>
    <n v="14"/>
    <n v="129.5"/>
    <n v="21.58"/>
  </r>
  <r>
    <x v="701"/>
    <x v="13"/>
    <s v="Pune Warriors"/>
    <n v="343"/>
    <n v="261"/>
    <n v="24"/>
    <n v="18"/>
    <n v="9"/>
    <n v="13"/>
    <n v="131.41999999999999"/>
    <n v="38.11"/>
  </r>
  <r>
    <x v="701"/>
    <x v="1"/>
    <s v="Pune Warriors"/>
    <n v="238"/>
    <n v="190"/>
    <n v="14"/>
    <n v="15"/>
    <n v="12"/>
    <n v="13"/>
    <n v="125.26"/>
    <n v="19.829999999999998"/>
  </r>
  <r>
    <x v="701"/>
    <x v="14"/>
    <s v="Royal Challengers Bangalore"/>
    <n v="376"/>
    <n v="274"/>
    <n v="22"/>
    <n v="28"/>
    <n v="10"/>
    <n v="14"/>
    <n v="137.22999999999999"/>
    <n v="37.6"/>
  </r>
  <r>
    <x v="701"/>
    <x v="2"/>
    <s v="Delhi Daredevils"/>
    <n v="248"/>
    <n v="209"/>
    <n v="23"/>
    <n v="10"/>
    <n v="13"/>
    <n v="13"/>
    <n v="118.66"/>
    <n v="19.079999999999998"/>
  </r>
  <r>
    <x v="701"/>
    <x v="3"/>
    <s v="Sunrisers Hyderabad"/>
    <n v="236"/>
    <n v="179"/>
    <n v="22"/>
    <n v="13"/>
    <n v="10"/>
    <n v="10"/>
    <n v="131.84"/>
    <n v="23.6"/>
  </r>
  <r>
    <x v="701"/>
    <x v="10"/>
    <s v="Sunrisers Hyderabad"/>
    <n v="252"/>
    <n v="176"/>
    <n v="30"/>
    <n v="8"/>
    <n v="10"/>
    <n v="11"/>
    <n v="143.18"/>
    <n v="25.2"/>
  </r>
  <r>
    <x v="701"/>
    <x v="11"/>
    <s v="Kings XI Punjab"/>
    <n v="65"/>
    <n v="73"/>
    <n v="6"/>
    <n v="2"/>
    <n v="5"/>
    <n v="6"/>
    <n v="89.04"/>
    <n v="13"/>
  </r>
  <r>
    <x v="701"/>
    <x v="15"/>
    <s v="Mumbai Indians"/>
    <n v="98"/>
    <n v="75"/>
    <n v="7"/>
    <n v="6"/>
    <n v="4"/>
    <n v="4"/>
    <n v="130.66999999999999"/>
    <n v="24.5"/>
  </r>
  <r>
    <x v="702"/>
    <x v="8"/>
    <s v="Royal Challengers Bangalore"/>
    <n v="34"/>
    <n v="42"/>
    <n v="4"/>
    <n v="0"/>
    <n v="4"/>
    <n v="7"/>
    <n v="80.95"/>
    <n v="8.5"/>
  </r>
  <r>
    <x v="702"/>
    <x v="9"/>
    <s v="Mumbai Indians"/>
    <n v="8"/>
    <n v="11"/>
    <n v="0"/>
    <n v="0"/>
    <n v="1"/>
    <n v="3"/>
    <n v="72.73"/>
    <n v="8"/>
  </r>
  <r>
    <x v="702"/>
    <x v="12"/>
    <s v="Mumbai Indians"/>
    <n v="24"/>
    <n v="13"/>
    <n v="3"/>
    <n v="1"/>
    <n v="2"/>
    <n v="3"/>
    <n v="184.62"/>
    <n v="12"/>
  </r>
  <r>
    <x v="702"/>
    <x v="13"/>
    <s v="Royal Challengers Bangalore"/>
    <n v="21"/>
    <n v="24"/>
    <n v="2"/>
    <n v="0"/>
    <n v="2"/>
    <n v="2"/>
    <n v="87.5"/>
    <n v="10.5"/>
  </r>
  <r>
    <x v="702"/>
    <x v="0"/>
    <s v="Royal Challengers Bangalore"/>
    <n v="12"/>
    <n v="17"/>
    <n v="1"/>
    <n v="0"/>
    <n v="2"/>
    <n v="4"/>
    <n v="70.59"/>
    <n v="6"/>
  </r>
  <r>
    <x v="702"/>
    <x v="14"/>
    <s v="Mumbai Indians"/>
    <n v="8"/>
    <n v="7"/>
    <n v="0"/>
    <n v="1"/>
    <n v="1"/>
    <n v="3"/>
    <n v="114.29"/>
    <n v="8"/>
  </r>
  <r>
    <x v="702"/>
    <x v="3"/>
    <s v="Delhi Daredevils"/>
    <n v="6"/>
    <n v="13"/>
    <n v="1"/>
    <n v="0"/>
    <n v="2"/>
    <n v="2"/>
    <n v="46.15"/>
    <n v="3"/>
  </r>
  <r>
    <x v="702"/>
    <x v="10"/>
    <s v="Delhi Daredevils"/>
    <n v="4"/>
    <n v="13"/>
    <n v="0"/>
    <n v="0"/>
    <n v="1"/>
    <n v="3"/>
    <n v="30.77"/>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BCAC338-796D-422B-BF76-08AD754CC25F}"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6:B25" firstHeaderRow="1" firstDataRow="1" firstDataCol="1" rowPageCount="1" colPageCount="1"/>
  <pivotFields count="11">
    <pivotField axis="axisPage" showAll="0">
      <items count="704">
        <item x="0"/>
        <item x="1"/>
        <item x="2"/>
        <item x="3"/>
        <item x="4"/>
        <item x="5"/>
        <item x="6"/>
        <item x="7"/>
        <item x="8"/>
        <item x="9"/>
        <item x="10"/>
        <item x="11"/>
        <item x="12"/>
        <item x="13"/>
        <item x="14"/>
        <item x="15"/>
        <item x="16"/>
        <item x="17"/>
        <item x="18"/>
        <item x="19"/>
        <item x="20"/>
        <item x="21"/>
        <item x="22"/>
        <item x="23"/>
        <item x="24"/>
        <item x="25"/>
        <item x="26"/>
        <item x="27"/>
        <item x="28"/>
        <item x="31"/>
        <item x="29"/>
        <item x="30"/>
        <item x="68"/>
        <item x="69"/>
        <item x="70"/>
        <item x="71"/>
        <item x="72"/>
        <item x="32"/>
        <item x="33"/>
        <item x="34"/>
        <item x="35"/>
        <item x="36"/>
        <item x="37"/>
        <item x="38"/>
        <item x="39"/>
        <item x="40"/>
        <item x="41"/>
        <item x="42"/>
        <item x="43"/>
        <item x="44"/>
        <item x="45"/>
        <item x="46"/>
        <item x="47"/>
        <item x="48"/>
        <item x="73"/>
        <item x="74"/>
        <item x="49"/>
        <item x="50"/>
        <item x="51"/>
        <item x="75"/>
        <item x="52"/>
        <item x="53"/>
        <item x="76"/>
        <item x="77"/>
        <item x="78"/>
        <item x="79"/>
        <item x="80"/>
        <item x="81"/>
        <item x="82"/>
        <item x="54"/>
        <item x="55"/>
        <item x="56"/>
        <item x="57"/>
        <item x="58"/>
        <item x="83"/>
        <item x="84"/>
        <item x="85"/>
        <item x="86"/>
        <item x="59"/>
        <item x="60"/>
        <item x="61"/>
        <item x="62"/>
        <item x="63"/>
        <item x="87"/>
        <item x="64"/>
        <item x="65"/>
        <item x="88"/>
        <item x="66"/>
        <item x="67"/>
        <item x="89"/>
        <item x="90"/>
        <item x="91"/>
        <item x="92"/>
        <item x="93"/>
        <item x="94"/>
        <item x="95"/>
        <item x="96"/>
        <item x="97"/>
        <item x="98"/>
        <item x="99"/>
        <item x="100"/>
        <item x="101"/>
        <item x="102"/>
        <item x="116"/>
        <item x="103"/>
        <item x="104"/>
        <item x="105"/>
        <item x="106"/>
        <item x="107"/>
        <item x="108"/>
        <item x="117"/>
        <item x="109"/>
        <item x="110"/>
        <item x="111"/>
        <item x="112"/>
        <item x="113"/>
        <item x="114"/>
        <item x="115"/>
        <item x="118"/>
        <item x="124"/>
        <item x="119"/>
        <item x="120"/>
        <item x="121"/>
        <item x="122"/>
        <item x="123"/>
        <item x="125"/>
        <item x="126"/>
        <item x="127"/>
        <item x="128"/>
        <item x="129"/>
        <item x="130"/>
        <item x="131"/>
        <item x="132"/>
        <item x="133"/>
        <item x="134"/>
        <item x="135"/>
        <item x="136"/>
        <item x="137"/>
        <item x="138"/>
        <item x="139"/>
        <item x="140"/>
        <item x="141"/>
        <item x="142"/>
        <item x="149"/>
        <item x="143"/>
        <item x="144"/>
        <item x="145"/>
        <item x="146"/>
        <item x="147"/>
        <item x="148"/>
        <item x="150"/>
        <item x="151"/>
        <item x="152"/>
        <item x="153"/>
        <item x="154"/>
        <item x="155"/>
        <item x="156"/>
        <item x="157"/>
        <item x="188"/>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9"/>
        <item x="190"/>
        <item x="191"/>
        <item x="192"/>
        <item x="193"/>
        <item x="194"/>
        <item x="197"/>
        <item x="195"/>
        <item x="196"/>
        <item x="198"/>
        <item x="199"/>
        <item x="200"/>
        <item x="201"/>
        <item x="202"/>
        <item x="203"/>
        <item x="204"/>
        <item x="205"/>
        <item x="206"/>
        <item x="207"/>
        <item x="208"/>
        <item x="209"/>
        <item x="210"/>
        <item x="211"/>
        <item x="212"/>
        <item x="213"/>
        <item x="222"/>
        <item x="223"/>
        <item x="224"/>
        <item x="225"/>
        <item x="226"/>
        <item x="214"/>
        <item x="215"/>
        <item x="216"/>
        <item x="217"/>
        <item x="218"/>
        <item x="219"/>
        <item x="220"/>
        <item x="221"/>
        <item x="227"/>
        <item x="228"/>
        <item x="229"/>
        <item x="230"/>
        <item x="231"/>
        <item x="234"/>
        <item x="235"/>
        <item x="232"/>
        <item x="233"/>
        <item x="236"/>
        <item x="237"/>
        <item x="238"/>
        <item x="239"/>
        <item x="240"/>
        <item x="241"/>
        <item x="242"/>
        <item x="243"/>
        <item x="244"/>
        <item x="245"/>
        <item x="246"/>
        <item x="275"/>
        <item x="247"/>
        <item x="248"/>
        <item x="249"/>
        <item x="250"/>
        <item x="251"/>
        <item x="252"/>
        <item x="253"/>
        <item x="254"/>
        <item x="255"/>
        <item x="256"/>
        <item x="257"/>
        <item x="258"/>
        <item x="259"/>
        <item x="260"/>
        <item x="261"/>
        <item x="262"/>
        <item x="263"/>
        <item x="264"/>
        <item x="265"/>
        <item x="266"/>
        <item x="276"/>
        <item x="267"/>
        <item x="268"/>
        <item x="269"/>
        <item x="270"/>
        <item x="271"/>
        <item x="272"/>
        <item x="273"/>
        <item x="274"/>
        <item x="277"/>
        <item x="278"/>
        <item x="279"/>
        <item x="280"/>
        <item x="281"/>
        <item x="282"/>
        <item x="283"/>
        <item x="284"/>
        <item x="285"/>
        <item x="286"/>
        <item x="313"/>
        <item x="314"/>
        <item x="315"/>
        <item x="316"/>
        <item x="287"/>
        <item x="288"/>
        <item x="289"/>
        <item x="290"/>
        <item x="291"/>
        <item x="292"/>
        <item x="293"/>
        <item x="294"/>
        <item x="295"/>
        <item x="296"/>
        <item x="297"/>
        <item x="298"/>
        <item x="299"/>
        <item x="300"/>
        <item x="301"/>
        <item x="302"/>
        <item x="303"/>
        <item x="304"/>
        <item x="305"/>
        <item x="306"/>
        <item x="307"/>
        <item x="308"/>
        <item x="309"/>
        <item x="310"/>
        <item x="317"/>
        <item x="318"/>
        <item x="311"/>
        <item x="312"/>
        <item x="319"/>
        <item x="320"/>
        <item x="321"/>
        <item x="322"/>
        <item x="323"/>
        <item x="324"/>
        <item x="325"/>
        <item x="335"/>
        <item x="326"/>
        <item x="327"/>
        <item x="328"/>
        <item x="336"/>
        <item x="329"/>
        <item x="330"/>
        <item x="331"/>
        <item x="332"/>
        <item x="333"/>
        <item x="334"/>
        <item x="337"/>
        <item x="354"/>
        <item x="338"/>
        <item x="339"/>
        <item x="340"/>
        <item x="341"/>
        <item x="342"/>
        <item x="343"/>
        <item x="344"/>
        <item x="345"/>
        <item x="346"/>
        <item x="347"/>
        <item x="348"/>
        <item x="349"/>
        <item x="350"/>
        <item x="351"/>
        <item x="352"/>
        <item x="353"/>
        <item x="355"/>
        <item x="356"/>
        <item x="357"/>
        <item x="358"/>
        <item x="394"/>
        <item x="395"/>
        <item x="396"/>
        <item x="359"/>
        <item x="360"/>
        <item x="361"/>
        <item x="362"/>
        <item x="363"/>
        <item x="364"/>
        <item x="365"/>
        <item x="366"/>
        <item x="367"/>
        <item x="397"/>
        <item x="368"/>
        <item x="369"/>
        <item x="370"/>
        <item x="371"/>
        <item x="372"/>
        <item x="373"/>
        <item x="374"/>
        <item x="375"/>
        <item x="376"/>
        <item x="377"/>
        <item x="378"/>
        <item x="379"/>
        <item x="380"/>
        <item x="381"/>
        <item x="382"/>
        <item x="383"/>
        <item x="398"/>
        <item x="399"/>
        <item x="400"/>
        <item x="401"/>
        <item x="402"/>
        <item x="403"/>
        <item x="404"/>
        <item x="405"/>
        <item x="384"/>
        <item x="385"/>
        <item x="386"/>
        <item x="387"/>
        <item x="388"/>
        <item x="389"/>
        <item x="390"/>
        <item x="391"/>
        <item x="406"/>
        <item x="407"/>
        <item x="408"/>
        <item x="409"/>
        <item x="410"/>
        <item x="392"/>
        <item x="393"/>
        <item x="411"/>
        <item x="412"/>
        <item x="413"/>
        <item x="414"/>
        <item x="415"/>
        <item x="426"/>
        <item x="427"/>
        <item x="428"/>
        <item x="416"/>
        <item x="429"/>
        <item x="417"/>
        <item x="418"/>
        <item x="419"/>
        <item x="420"/>
        <item x="421"/>
        <item x="422"/>
        <item x="430"/>
        <item x="423"/>
        <item x="424"/>
        <item x="425"/>
        <item x="431"/>
        <item x="432"/>
        <item x="433"/>
        <item x="434"/>
        <item x="435"/>
        <item x="436"/>
        <item x="437"/>
        <item x="438"/>
        <item x="439"/>
        <item x="440"/>
        <item x="441"/>
        <item x="442"/>
        <item x="443"/>
        <item x="444"/>
        <item x="445"/>
        <item x="466"/>
        <item x="467"/>
        <item x="446"/>
        <item x="447"/>
        <item x="448"/>
        <item x="449"/>
        <item x="450"/>
        <item x="451"/>
        <item x="452"/>
        <item x="453"/>
        <item x="454"/>
        <item x="455"/>
        <item x="456"/>
        <item x="457"/>
        <item x="458"/>
        <item x="459"/>
        <item x="468"/>
        <item x="469"/>
        <item x="460"/>
        <item x="461"/>
        <item x="462"/>
        <item x="463"/>
        <item x="464"/>
        <item x="465"/>
        <item x="470"/>
        <item x="471"/>
        <item x="472"/>
        <item x="473"/>
        <item x="474"/>
        <item x="475"/>
        <item x="476"/>
        <item x="477"/>
        <item x="478"/>
        <item x="479"/>
        <item x="480"/>
        <item x="481"/>
        <item x="482"/>
        <item x="483"/>
        <item x="484"/>
        <item x="485"/>
        <item x="486"/>
        <item x="487"/>
        <item x="488"/>
        <item x="489"/>
        <item x="490"/>
        <item x="491"/>
        <item x="492"/>
        <item x="493"/>
        <item x="525"/>
        <item x="526"/>
        <item x="527"/>
        <item x="528"/>
        <item x="529"/>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30"/>
        <item x="531"/>
        <item x="532"/>
        <item x="533"/>
        <item x="534"/>
        <item x="535"/>
        <item x="536"/>
        <item x="537"/>
        <item x="538"/>
        <item x="539"/>
        <item x="540"/>
        <item x="541"/>
        <item x="542"/>
        <item x="543"/>
        <item x="544"/>
        <item x="545"/>
        <item x="546"/>
        <item x="547"/>
        <item x="548"/>
        <item x="549"/>
        <item x="550"/>
        <item x="551"/>
        <item x="552"/>
        <item x="553"/>
        <item x="600"/>
        <item x="601"/>
        <item x="602"/>
        <item x="603"/>
        <item x="604"/>
        <item x="605"/>
        <item x="554"/>
        <item x="555"/>
        <item x="556"/>
        <item x="557"/>
        <item x="558"/>
        <item x="559"/>
        <item x="560"/>
        <item x="561"/>
        <item x="562"/>
        <item x="563"/>
        <item x="564"/>
        <item x="565"/>
        <item x="566"/>
        <item x="606"/>
        <item x="567"/>
        <item x="607"/>
        <item x="608"/>
        <item x="609"/>
        <item x="610"/>
        <item x="611"/>
        <item x="612"/>
        <item x="613"/>
        <item x="614"/>
        <item x="615"/>
        <item x="616"/>
        <item x="617"/>
        <item x="618"/>
        <item x="619"/>
        <item x="568"/>
        <item x="569"/>
        <item x="570"/>
        <item x="571"/>
        <item x="572"/>
        <item x="573"/>
        <item x="574"/>
        <item x="575"/>
        <item x="576"/>
        <item x="577"/>
        <item x="578"/>
        <item x="579"/>
        <item x="580"/>
        <item x="581"/>
        <item x="620"/>
        <item x="582"/>
        <item x="583"/>
        <item x="584"/>
        <item x="585"/>
        <item x="586"/>
        <item x="587"/>
        <item x="588"/>
        <item x="589"/>
        <item x="590"/>
        <item x="591"/>
        <item x="592"/>
        <item x="593"/>
        <item x="594"/>
        <item x="595"/>
        <item x="621"/>
        <item x="622"/>
        <item x="623"/>
        <item x="624"/>
        <item x="596"/>
        <item x="597"/>
        <item x="598"/>
        <item x="625"/>
        <item x="599"/>
        <item x="626"/>
        <item x="627"/>
        <item x="628"/>
        <item x="629"/>
        <item x="630"/>
        <item x="631"/>
        <item x="632"/>
        <item x="633"/>
        <item x="634"/>
        <item x="635"/>
        <item x="648"/>
        <item x="636"/>
        <item x="637"/>
        <item x="638"/>
        <item x="649"/>
        <item x="639"/>
        <item x="640"/>
        <item x="641"/>
        <item x="642"/>
        <item x="643"/>
        <item x="644"/>
        <item x="645"/>
        <item x="646"/>
        <item x="647"/>
        <item x="650"/>
        <item x="651"/>
        <item x="652"/>
        <item x="655"/>
        <item x="656"/>
        <item x="657"/>
        <item x="653"/>
        <item x="654"/>
        <item x="658"/>
        <item x="659"/>
        <item x="660"/>
        <item x="661"/>
        <item x="662"/>
        <item x="663"/>
        <item x="664"/>
        <item x="665"/>
        <item x="666"/>
        <item x="674"/>
        <item x="675"/>
        <item x="676"/>
        <item x="677"/>
        <item x="667"/>
        <item x="668"/>
        <item x="669"/>
        <item x="670"/>
        <item x="671"/>
        <item x="672"/>
        <item x="673"/>
        <item x="678"/>
        <item x="679"/>
        <item x="684"/>
        <item x="680"/>
        <item x="681"/>
        <item x="682"/>
        <item x="683"/>
        <item x="685"/>
        <item x="686"/>
        <item x="687"/>
        <item x="688"/>
        <item x="689"/>
        <item x="690"/>
        <item x="691"/>
        <item x="697"/>
        <item x="698"/>
        <item x="692"/>
        <item x="693"/>
        <item x="699"/>
        <item x="694"/>
        <item x="700"/>
        <item x="701"/>
        <item x="695"/>
        <item x="696"/>
        <item x="702"/>
        <item t="default"/>
      </items>
    </pivotField>
    <pivotField axis="axisRow" showAll="0">
      <items count="19">
        <item x="8"/>
        <item x="9"/>
        <item x="12"/>
        <item x="13"/>
        <item x="0"/>
        <item x="1"/>
        <item x="14"/>
        <item x="2"/>
        <item x="3"/>
        <item x="10"/>
        <item x="11"/>
        <item x="15"/>
        <item x="16"/>
        <item x="17"/>
        <item x="4"/>
        <item x="5"/>
        <item x="6"/>
        <item x="7"/>
        <item t="default"/>
      </items>
    </pivotField>
    <pivotField showAll="0"/>
    <pivotField dataField="1" showAll="0"/>
    <pivotField showAll="0"/>
    <pivotField showAll="0"/>
    <pivotField showAll="0"/>
    <pivotField showAll="0"/>
    <pivotField showAll="0"/>
    <pivotField showAll="0"/>
    <pivotField showAll="0"/>
  </pivotFields>
  <rowFields count="1">
    <field x="1"/>
  </rowFields>
  <rowItems count="19">
    <i>
      <x/>
    </i>
    <i>
      <x v="1"/>
    </i>
    <i>
      <x v="2"/>
    </i>
    <i>
      <x v="3"/>
    </i>
    <i>
      <x v="4"/>
    </i>
    <i>
      <x v="5"/>
    </i>
    <i>
      <x v="6"/>
    </i>
    <i>
      <x v="7"/>
    </i>
    <i>
      <x v="8"/>
    </i>
    <i>
      <x v="9"/>
    </i>
    <i>
      <x v="10"/>
    </i>
    <i>
      <x v="11"/>
    </i>
    <i>
      <x v="12"/>
    </i>
    <i>
      <x v="13"/>
    </i>
    <i>
      <x v="14"/>
    </i>
    <i>
      <x v="15"/>
    </i>
    <i>
      <x v="16"/>
    </i>
    <i>
      <x v="17"/>
    </i>
    <i t="grand">
      <x/>
    </i>
  </rowItems>
  <colItems count="1">
    <i/>
  </colItems>
  <pageFields count="1">
    <pageField fld="0" item="401" hier="-1"/>
  </pageFields>
  <dataFields count="1">
    <dataField name="Sum of total_runs"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E0CAFF1A-31FD-4604-8C80-D1AE95950A9D}" autoFormatId="16" applyNumberFormats="0" applyBorderFormats="0" applyFontFormats="0" applyPatternFormats="0" applyAlignmentFormats="0" applyWidthHeightFormats="0">
  <queryTableRefresh nextId="3">
    <queryTableFields count="2">
      <queryTableField id="1" name="team_id" tableColumnId="1"/>
      <queryTableField id="2" name="team_name" tableColumnId="2"/>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atter" xr10:uid="{C10A3A55-E8E1-428A-A26C-D623307B5CF2}" sourceName="batter">
  <pivotTables>
    <pivotTable tabId="2" name="PivotTable1"/>
  </pivotTables>
  <data>
    <tabular pivotCacheId="587803221">
      <items count="703">
        <i x="0"/>
        <i x="1"/>
        <i x="2"/>
        <i x="3"/>
        <i x="4"/>
        <i x="5"/>
        <i x="6"/>
        <i x="7"/>
        <i x="8"/>
        <i x="9"/>
        <i x="10"/>
        <i x="11"/>
        <i x="12"/>
        <i x="13"/>
        <i x="14"/>
        <i x="15"/>
        <i x="16"/>
        <i x="17"/>
        <i x="18"/>
        <i x="19"/>
        <i x="20"/>
        <i x="21"/>
        <i x="22"/>
        <i x="23"/>
        <i x="24"/>
        <i x="25"/>
        <i x="26"/>
        <i x="27"/>
        <i x="28"/>
        <i x="31"/>
        <i x="29"/>
        <i x="30"/>
        <i x="68"/>
        <i x="69"/>
        <i x="70"/>
        <i x="71"/>
        <i x="72"/>
        <i x="32"/>
        <i x="33"/>
        <i x="34"/>
        <i x="35"/>
        <i x="36"/>
        <i x="37"/>
        <i x="38"/>
        <i x="39"/>
        <i x="40"/>
        <i x="41"/>
        <i x="42"/>
        <i x="43"/>
        <i x="44"/>
        <i x="45"/>
        <i x="46"/>
        <i x="47"/>
        <i x="48"/>
        <i x="73"/>
        <i x="74"/>
        <i x="49"/>
        <i x="50"/>
        <i x="51"/>
        <i x="75"/>
        <i x="52"/>
        <i x="53"/>
        <i x="76"/>
        <i x="77"/>
        <i x="78"/>
        <i x="79"/>
        <i x="80"/>
        <i x="81"/>
        <i x="82"/>
        <i x="54"/>
        <i x="55"/>
        <i x="56"/>
        <i x="57"/>
        <i x="58"/>
        <i x="83"/>
        <i x="84"/>
        <i x="85"/>
        <i x="86"/>
        <i x="59"/>
        <i x="60"/>
        <i x="61"/>
        <i x="62"/>
        <i x="63"/>
        <i x="87"/>
        <i x="64"/>
        <i x="65"/>
        <i x="88"/>
        <i x="66"/>
        <i x="67"/>
        <i x="89"/>
        <i x="90"/>
        <i x="91"/>
        <i x="92"/>
        <i x="93"/>
        <i x="94"/>
        <i x="95"/>
        <i x="96"/>
        <i x="97"/>
        <i x="98"/>
        <i x="99"/>
        <i x="100"/>
        <i x="101"/>
        <i x="102"/>
        <i x="116"/>
        <i x="103"/>
        <i x="104"/>
        <i x="105"/>
        <i x="106"/>
        <i x="107"/>
        <i x="108"/>
        <i x="117"/>
        <i x="109"/>
        <i x="110"/>
        <i x="111"/>
        <i x="112"/>
        <i x="113"/>
        <i x="114"/>
        <i x="115"/>
        <i x="118"/>
        <i x="124"/>
        <i x="119"/>
        <i x="120"/>
        <i x="121"/>
        <i x="122"/>
        <i x="123"/>
        <i x="125"/>
        <i x="126"/>
        <i x="127"/>
        <i x="128"/>
        <i x="129"/>
        <i x="130"/>
        <i x="131"/>
        <i x="132"/>
        <i x="133"/>
        <i x="134"/>
        <i x="135"/>
        <i x="136"/>
        <i x="137"/>
        <i x="138"/>
        <i x="139"/>
        <i x="140"/>
        <i x="141"/>
        <i x="142"/>
        <i x="149"/>
        <i x="143"/>
        <i x="144"/>
        <i x="145"/>
        <i x="146"/>
        <i x="147"/>
        <i x="148"/>
        <i x="150"/>
        <i x="151"/>
        <i x="152"/>
        <i x="153"/>
        <i x="154"/>
        <i x="155"/>
        <i x="156"/>
        <i x="157"/>
        <i x="188"/>
        <i x="158"/>
        <i x="159"/>
        <i x="160"/>
        <i x="161"/>
        <i x="162"/>
        <i x="163"/>
        <i x="164"/>
        <i x="165"/>
        <i x="166"/>
        <i x="167"/>
        <i x="168"/>
        <i x="169"/>
        <i x="170"/>
        <i x="171"/>
        <i x="172"/>
        <i x="173"/>
        <i x="174"/>
        <i x="175"/>
        <i x="176"/>
        <i x="177"/>
        <i x="178"/>
        <i x="179"/>
        <i x="180"/>
        <i x="181"/>
        <i x="182"/>
        <i x="183"/>
        <i x="184"/>
        <i x="185"/>
        <i x="186"/>
        <i x="187"/>
        <i x="189"/>
        <i x="190"/>
        <i x="191"/>
        <i x="192"/>
        <i x="193"/>
        <i x="194"/>
        <i x="197"/>
        <i x="195"/>
        <i x="196"/>
        <i x="198"/>
        <i x="199"/>
        <i x="200"/>
        <i x="201"/>
        <i x="202"/>
        <i x="203"/>
        <i x="204"/>
        <i x="205"/>
        <i x="206"/>
        <i x="207"/>
        <i x="208"/>
        <i x="209"/>
        <i x="210"/>
        <i x="211"/>
        <i x="212"/>
        <i x="213"/>
        <i x="222"/>
        <i x="223"/>
        <i x="224"/>
        <i x="225"/>
        <i x="226"/>
        <i x="214"/>
        <i x="215"/>
        <i x="216"/>
        <i x="217"/>
        <i x="218"/>
        <i x="219"/>
        <i x="220"/>
        <i x="221"/>
        <i x="227"/>
        <i x="228"/>
        <i x="229"/>
        <i x="230"/>
        <i x="231"/>
        <i x="234"/>
        <i x="235"/>
        <i x="232"/>
        <i x="233"/>
        <i x="236"/>
        <i x="237"/>
        <i x="238"/>
        <i x="239"/>
        <i x="240"/>
        <i x="241"/>
        <i x="242"/>
        <i x="243"/>
        <i x="244"/>
        <i x="245"/>
        <i x="246"/>
        <i x="275"/>
        <i x="247"/>
        <i x="248"/>
        <i x="249"/>
        <i x="250"/>
        <i x="251"/>
        <i x="252"/>
        <i x="253"/>
        <i x="254"/>
        <i x="255"/>
        <i x="256"/>
        <i x="257"/>
        <i x="258"/>
        <i x="259"/>
        <i x="260"/>
        <i x="261"/>
        <i x="262"/>
        <i x="263"/>
        <i x="264"/>
        <i x="265"/>
        <i x="266"/>
        <i x="276"/>
        <i x="267"/>
        <i x="268"/>
        <i x="269"/>
        <i x="270"/>
        <i x="271"/>
        <i x="272"/>
        <i x="273"/>
        <i x="274"/>
        <i x="277"/>
        <i x="278"/>
        <i x="279"/>
        <i x="280"/>
        <i x="281"/>
        <i x="282"/>
        <i x="283"/>
        <i x="284"/>
        <i x="285"/>
        <i x="286"/>
        <i x="313"/>
        <i x="314"/>
        <i x="315"/>
        <i x="316"/>
        <i x="287"/>
        <i x="288"/>
        <i x="289"/>
        <i x="290"/>
        <i x="291"/>
        <i x="292"/>
        <i x="293"/>
        <i x="294"/>
        <i x="295"/>
        <i x="296"/>
        <i x="297"/>
        <i x="298"/>
        <i x="299"/>
        <i x="300"/>
        <i x="301"/>
        <i x="302"/>
        <i x="303"/>
        <i x="304"/>
        <i x="305"/>
        <i x="306"/>
        <i x="307"/>
        <i x="308"/>
        <i x="309"/>
        <i x="310"/>
        <i x="317"/>
        <i x="318"/>
        <i x="311"/>
        <i x="312"/>
        <i x="319"/>
        <i x="320"/>
        <i x="321"/>
        <i x="322"/>
        <i x="323"/>
        <i x="324"/>
        <i x="325"/>
        <i x="335"/>
        <i x="326"/>
        <i x="327"/>
        <i x="328"/>
        <i x="336"/>
        <i x="329"/>
        <i x="330"/>
        <i x="331"/>
        <i x="332"/>
        <i x="333"/>
        <i x="334"/>
        <i x="337"/>
        <i x="354"/>
        <i x="338"/>
        <i x="339"/>
        <i x="340"/>
        <i x="341"/>
        <i x="342"/>
        <i x="343"/>
        <i x="344"/>
        <i x="345"/>
        <i x="346"/>
        <i x="347"/>
        <i x="348"/>
        <i x="349"/>
        <i x="350"/>
        <i x="351"/>
        <i x="352"/>
        <i x="353"/>
        <i x="355"/>
        <i x="356"/>
        <i x="357"/>
        <i x="358"/>
        <i x="394"/>
        <i x="395"/>
        <i x="396"/>
        <i x="359"/>
        <i x="360"/>
        <i x="361"/>
        <i x="362"/>
        <i x="363"/>
        <i x="364"/>
        <i x="365"/>
        <i x="366"/>
        <i x="367"/>
        <i x="397"/>
        <i x="368"/>
        <i x="369"/>
        <i x="370"/>
        <i x="371"/>
        <i x="372"/>
        <i x="373"/>
        <i x="374"/>
        <i x="375"/>
        <i x="376"/>
        <i x="377"/>
        <i x="378"/>
        <i x="379"/>
        <i x="380"/>
        <i x="381"/>
        <i x="382"/>
        <i x="383"/>
        <i x="398"/>
        <i x="399"/>
        <i x="400"/>
        <i x="401"/>
        <i x="402"/>
        <i x="403"/>
        <i x="404"/>
        <i x="405"/>
        <i x="384"/>
        <i x="385"/>
        <i x="386"/>
        <i x="387"/>
        <i x="388"/>
        <i x="389" s="1"/>
        <i x="390"/>
        <i x="391"/>
        <i x="406"/>
        <i x="407"/>
        <i x="408"/>
        <i x="409"/>
        <i x="410"/>
        <i x="392"/>
        <i x="393"/>
        <i x="411"/>
        <i x="412"/>
        <i x="413"/>
        <i x="414"/>
        <i x="415"/>
        <i x="426"/>
        <i x="427"/>
        <i x="428"/>
        <i x="416"/>
        <i x="429"/>
        <i x="417"/>
        <i x="418"/>
        <i x="419"/>
        <i x="420"/>
        <i x="421"/>
        <i x="422"/>
        <i x="430"/>
        <i x="423"/>
        <i x="424"/>
        <i x="425"/>
        <i x="431"/>
        <i x="432"/>
        <i x="433"/>
        <i x="434"/>
        <i x="435"/>
        <i x="436"/>
        <i x="437"/>
        <i x="438"/>
        <i x="439"/>
        <i x="440"/>
        <i x="441"/>
        <i x="442"/>
        <i x="443"/>
        <i x="444"/>
        <i x="445"/>
        <i x="466"/>
        <i x="467"/>
        <i x="446"/>
        <i x="447"/>
        <i x="448"/>
        <i x="449"/>
        <i x="450"/>
        <i x="451"/>
        <i x="452"/>
        <i x="453"/>
        <i x="454"/>
        <i x="455"/>
        <i x="456"/>
        <i x="457"/>
        <i x="458"/>
        <i x="459"/>
        <i x="468"/>
        <i x="469"/>
        <i x="460"/>
        <i x="461"/>
        <i x="462"/>
        <i x="463"/>
        <i x="464"/>
        <i x="465"/>
        <i x="470"/>
        <i x="471"/>
        <i x="472"/>
        <i x="473"/>
        <i x="474"/>
        <i x="475"/>
        <i x="476"/>
        <i x="477"/>
        <i x="478"/>
        <i x="479"/>
        <i x="480"/>
        <i x="481"/>
        <i x="482"/>
        <i x="483"/>
        <i x="484"/>
        <i x="485"/>
        <i x="486"/>
        <i x="487"/>
        <i x="488"/>
        <i x="489"/>
        <i x="490"/>
        <i x="491"/>
        <i x="492"/>
        <i x="493"/>
        <i x="525"/>
        <i x="526"/>
        <i x="527"/>
        <i x="528"/>
        <i x="529"/>
        <i x="494"/>
        <i x="495"/>
        <i x="496"/>
        <i x="497"/>
        <i x="498"/>
        <i x="499"/>
        <i x="500"/>
        <i x="501"/>
        <i x="502"/>
        <i x="503"/>
        <i x="504"/>
        <i x="505"/>
        <i x="506"/>
        <i x="507"/>
        <i x="508"/>
        <i x="509"/>
        <i x="510"/>
        <i x="511"/>
        <i x="512"/>
        <i x="513"/>
        <i x="514"/>
        <i x="515"/>
        <i x="516"/>
        <i x="517"/>
        <i x="518"/>
        <i x="519"/>
        <i x="520"/>
        <i x="521"/>
        <i x="522"/>
        <i x="523"/>
        <i x="524"/>
        <i x="530"/>
        <i x="531"/>
        <i x="532"/>
        <i x="533"/>
        <i x="534"/>
        <i x="535"/>
        <i x="536"/>
        <i x="537"/>
        <i x="538"/>
        <i x="539"/>
        <i x="540"/>
        <i x="541"/>
        <i x="542"/>
        <i x="543"/>
        <i x="544"/>
        <i x="545"/>
        <i x="546"/>
        <i x="547"/>
        <i x="548"/>
        <i x="549"/>
        <i x="550"/>
        <i x="551"/>
        <i x="552"/>
        <i x="553"/>
        <i x="600"/>
        <i x="601"/>
        <i x="602"/>
        <i x="603"/>
        <i x="604"/>
        <i x="605"/>
        <i x="554"/>
        <i x="555"/>
        <i x="556"/>
        <i x="557"/>
        <i x="558"/>
        <i x="559"/>
        <i x="560"/>
        <i x="561"/>
        <i x="562"/>
        <i x="563"/>
        <i x="564"/>
        <i x="565"/>
        <i x="566"/>
        <i x="606"/>
        <i x="567"/>
        <i x="607"/>
        <i x="608"/>
        <i x="609"/>
        <i x="610"/>
        <i x="611"/>
        <i x="612"/>
        <i x="613"/>
        <i x="614"/>
        <i x="615"/>
        <i x="616"/>
        <i x="617"/>
        <i x="618"/>
        <i x="619"/>
        <i x="568"/>
        <i x="569"/>
        <i x="570"/>
        <i x="571"/>
        <i x="572"/>
        <i x="573"/>
        <i x="574"/>
        <i x="575"/>
        <i x="576"/>
        <i x="577"/>
        <i x="578"/>
        <i x="579"/>
        <i x="580"/>
        <i x="581"/>
        <i x="620"/>
        <i x="582"/>
        <i x="583"/>
        <i x="584"/>
        <i x="585"/>
        <i x="586"/>
        <i x="587"/>
        <i x="588"/>
        <i x="589"/>
        <i x="590"/>
        <i x="591"/>
        <i x="592"/>
        <i x="593"/>
        <i x="594"/>
        <i x="595"/>
        <i x="621"/>
        <i x="622"/>
        <i x="623"/>
        <i x="624"/>
        <i x="596"/>
        <i x="597"/>
        <i x="598"/>
        <i x="625"/>
        <i x="599"/>
        <i x="626"/>
        <i x="627"/>
        <i x="628"/>
        <i x="629"/>
        <i x="630"/>
        <i x="631"/>
        <i x="632"/>
        <i x="633"/>
        <i x="634"/>
        <i x="635"/>
        <i x="648"/>
        <i x="636"/>
        <i x="637"/>
        <i x="638"/>
        <i x="649"/>
        <i x="639"/>
        <i x="640"/>
        <i x="641"/>
        <i x="642"/>
        <i x="643"/>
        <i x="644"/>
        <i x="645"/>
        <i x="646"/>
        <i x="647"/>
        <i x="650"/>
        <i x="651"/>
        <i x="652"/>
        <i x="655"/>
        <i x="656"/>
        <i x="657"/>
        <i x="653"/>
        <i x="654"/>
        <i x="658"/>
        <i x="659"/>
        <i x="660"/>
        <i x="661"/>
        <i x="662"/>
        <i x="663"/>
        <i x="664"/>
        <i x="665"/>
        <i x="666"/>
        <i x="674"/>
        <i x="675"/>
        <i x="676"/>
        <i x="677"/>
        <i x="667"/>
        <i x="668"/>
        <i x="669"/>
        <i x="670"/>
        <i x="671"/>
        <i x="672"/>
        <i x="673"/>
        <i x="678"/>
        <i x="679"/>
        <i x="684"/>
        <i x="680"/>
        <i x="681"/>
        <i x="682"/>
        <i x="683"/>
        <i x="685"/>
        <i x="686"/>
        <i x="687"/>
        <i x="688"/>
        <i x="689"/>
        <i x="690"/>
        <i x="691"/>
        <i x="697"/>
        <i x="698"/>
        <i x="692"/>
        <i x="693"/>
        <i x="699"/>
        <i x="694"/>
        <i x="700"/>
        <i x="701"/>
        <i x="695"/>
        <i x="696"/>
        <i x="702"/>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atter" xr10:uid="{CA92DE6E-E81D-458D-ABE7-BD52063772D1}" cache="Slicer_batter" caption="batter" startItem="397" rowHeight="234950"/>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0E12948-9695-423D-BB9A-2C085075C059}" name="Table2" displayName="Table2" ref="A1:L2784" totalsRowShown="0" headerRowDxfId="2">
  <autoFilter ref="A1:L2784" xr:uid="{70E12948-9695-423D-BB9A-2C085075C05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autoFilter>
  <tableColumns count="12">
    <tableColumn id="1" xr3:uid="{42055DF1-E408-41B4-8380-1A79648958CB}" name="batter"/>
    <tableColumn id="2" xr3:uid="{B0EF5595-785D-4958-82AF-041DE7DE2615}" name="season_year"/>
    <tableColumn id="3" xr3:uid="{88AB8CC3-DFF6-4BBC-8D5F-15C3C15C4195}" name="batting_team"/>
    <tableColumn id="4" xr3:uid="{68EF18A9-8A7E-479B-8C25-EE122C4D1D2B}" name="total_runs"/>
    <tableColumn id="5" xr3:uid="{BB6965B1-E77B-48B4-8553-7366A4EA9E80}" name="balls_faced"/>
    <tableColumn id="6" xr3:uid="{7A8C92DF-6DAC-43EE-BF68-C94AE5067DF4}" name="fours"/>
    <tableColumn id="7" xr3:uid="{49E01BC3-044F-4963-AA16-34DBDC169D5E}" name="sixes"/>
    <tableColumn id="8" xr3:uid="{9F7C6FE1-2801-4D2D-A83E-1C8E935115D3}" name="wickets"/>
    <tableColumn id="9" xr3:uid="{B5739EBB-A60C-44C7-8E09-AAF6C449EFA4}" name="matches"/>
    <tableColumn id="10" xr3:uid="{FC40A8CD-0106-46EC-A6F1-F18FC997C421}" name="strike_rate"/>
    <tableColumn id="11" xr3:uid="{52DF4967-188A-4BB6-9CA0-A4E6630319A4}" name="average"/>
    <tableColumn id="12" xr3:uid="{D84EBF24-9F3E-420B-938C-7D23C827D38B}" name="team_id" dataDxfId="0">
      <calculatedColumnFormula>_xlfn.XLOOKUP(C2, dim_teams[team_name], dim_teams[team_id], "Not found", 0)</calculatedColumnFormula>
    </tableColumn>
  </tableColumns>
  <tableStyleInfo name="TableStyleLight8"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8624362-8E89-4420-89B4-C8F4DBABFB6C}" name="dim_teams" displayName="dim_teams" ref="A1:B20" tableType="queryTable" totalsRowShown="0">
  <autoFilter ref="A1:B20" xr:uid="{08624362-8E89-4420-89B4-C8F4DBABFB6C}"/>
  <tableColumns count="2">
    <tableColumn id="1" xr3:uid="{6EEC76D0-06B2-4E46-8F7F-24604588EFBB}" uniqueName="1" name="team_id" queryTableFieldId="1"/>
    <tableColumn id="2" xr3:uid="{829AAD18-88E1-4403-A08F-0B6158BD7CC6}" uniqueName="2" name="team_name" queryTableFieldId="2" dataDxfId="1"/>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pivotTable" Target="../pivotTables/pivotTable1.xml"/><Relationship Id="rId4" Type="http://schemas.microsoft.com/office/2007/relationships/slicer" Target="../slicers/slicer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2784"/>
  <sheetViews>
    <sheetView tabSelected="1" workbookViewId="0">
      <selection activeCell="M1" sqref="M1"/>
    </sheetView>
  </sheetViews>
  <sheetFormatPr defaultRowHeight="14.4" x14ac:dyDescent="0.3"/>
  <cols>
    <col min="1" max="1" width="20.33203125" bestFit="1" customWidth="1"/>
    <col min="2" max="2" width="13.33203125" customWidth="1"/>
    <col min="3" max="3" width="24.33203125" bestFit="1" customWidth="1"/>
    <col min="4" max="4" width="11.44140625" customWidth="1"/>
    <col min="5" max="5" width="12.33203125" customWidth="1"/>
    <col min="6" max="6" width="7.21875" customWidth="1"/>
    <col min="7" max="7" width="6.77734375" customWidth="1"/>
    <col min="8" max="8" width="9.109375" customWidth="1"/>
    <col min="9" max="9" width="10" customWidth="1"/>
    <col min="10" max="10" width="11.77734375" customWidth="1"/>
    <col min="11" max="11" width="9.5546875" customWidth="1"/>
    <col min="12" max="12" width="9.77734375" customWidth="1"/>
  </cols>
  <sheetData>
    <row r="1" spans="1:12" s="5" customFormat="1" x14ac:dyDescent="0.3">
      <c r="A1" s="3" t="s">
        <v>0</v>
      </c>
      <c r="B1" s="3" t="s">
        <v>1</v>
      </c>
      <c r="C1" s="3" t="s">
        <v>2</v>
      </c>
      <c r="D1" s="3" t="s">
        <v>3</v>
      </c>
      <c r="E1" s="3" t="s">
        <v>4</v>
      </c>
      <c r="F1" s="3" t="s">
        <v>5</v>
      </c>
      <c r="G1" s="3" t="s">
        <v>6</v>
      </c>
      <c r="H1" s="3" t="s">
        <v>7</v>
      </c>
      <c r="I1" s="3" t="s">
        <v>8</v>
      </c>
      <c r="J1" s="3" t="s">
        <v>9</v>
      </c>
      <c r="K1" s="3" t="s">
        <v>10</v>
      </c>
      <c r="L1" s="4" t="s">
        <v>737</v>
      </c>
    </row>
    <row r="2" spans="1:12" x14ac:dyDescent="0.3">
      <c r="A2" t="s">
        <v>11</v>
      </c>
      <c r="B2">
        <v>2012</v>
      </c>
      <c r="C2" t="s">
        <v>12</v>
      </c>
      <c r="D2">
        <v>35</v>
      </c>
      <c r="E2">
        <v>29</v>
      </c>
      <c r="F2">
        <v>3</v>
      </c>
      <c r="G2">
        <v>1</v>
      </c>
      <c r="H2">
        <v>4</v>
      </c>
      <c r="I2">
        <v>5</v>
      </c>
      <c r="J2">
        <v>120.69</v>
      </c>
      <c r="K2">
        <v>8.75</v>
      </c>
      <c r="L2">
        <f>_xlfn.XLOOKUP(C2, dim_teams[team_name], dim_teams[team_id], "Not found", 0)</f>
        <v>8</v>
      </c>
    </row>
    <row r="3" spans="1:12" x14ac:dyDescent="0.3">
      <c r="A3" t="s">
        <v>11</v>
      </c>
      <c r="B3">
        <v>2013</v>
      </c>
      <c r="C3" t="s">
        <v>13</v>
      </c>
      <c r="D3">
        <v>125</v>
      </c>
      <c r="E3">
        <v>89</v>
      </c>
      <c r="F3">
        <v>8</v>
      </c>
      <c r="G3">
        <v>5</v>
      </c>
      <c r="H3">
        <v>6</v>
      </c>
      <c r="I3">
        <v>10</v>
      </c>
      <c r="J3">
        <v>140.44999999999999</v>
      </c>
      <c r="K3">
        <v>20.83</v>
      </c>
      <c r="L3">
        <f>_xlfn.XLOOKUP(C3, dim_teams[team_name], dim_teams[team_id], "Not found", 0)</f>
        <v>11</v>
      </c>
    </row>
    <row r="4" spans="1:12" x14ac:dyDescent="0.3">
      <c r="A4" t="s">
        <v>11</v>
      </c>
      <c r="B4">
        <v>2015</v>
      </c>
      <c r="C4" t="s">
        <v>13</v>
      </c>
      <c r="D4">
        <v>73</v>
      </c>
      <c r="E4">
        <v>46</v>
      </c>
      <c r="F4">
        <v>3</v>
      </c>
      <c r="G4">
        <v>5</v>
      </c>
      <c r="H4">
        <v>3</v>
      </c>
      <c r="I4">
        <v>5</v>
      </c>
      <c r="J4">
        <v>158.69999999999999</v>
      </c>
      <c r="K4">
        <v>24.33</v>
      </c>
      <c r="L4">
        <f>_xlfn.XLOOKUP(C4, dim_teams[team_name], dim_teams[team_id], "Not found", 0)</f>
        <v>11</v>
      </c>
    </row>
    <row r="5" spans="1:12" x14ac:dyDescent="0.3">
      <c r="A5" t="s">
        <v>11</v>
      </c>
      <c r="B5">
        <v>2016</v>
      </c>
      <c r="C5" t="s">
        <v>13</v>
      </c>
      <c r="D5">
        <v>47</v>
      </c>
      <c r="E5">
        <v>29</v>
      </c>
      <c r="F5">
        <v>2</v>
      </c>
      <c r="G5">
        <v>4</v>
      </c>
      <c r="H5">
        <v>2</v>
      </c>
      <c r="I5">
        <v>3</v>
      </c>
      <c r="J5">
        <v>162.07</v>
      </c>
      <c r="K5">
        <v>23.5</v>
      </c>
      <c r="L5">
        <f>_xlfn.XLOOKUP(C5, dim_teams[team_name], dim_teams[team_id], "Not found", 0)</f>
        <v>11</v>
      </c>
    </row>
    <row r="6" spans="1:12" x14ac:dyDescent="0.3">
      <c r="A6" t="s">
        <v>14</v>
      </c>
      <c r="B6">
        <v>2022</v>
      </c>
      <c r="C6" t="s">
        <v>15</v>
      </c>
      <c r="D6">
        <v>161</v>
      </c>
      <c r="E6">
        <v>130</v>
      </c>
      <c r="F6">
        <v>11</v>
      </c>
      <c r="G6">
        <v>7</v>
      </c>
      <c r="H6">
        <v>9</v>
      </c>
      <c r="I6">
        <v>11</v>
      </c>
      <c r="J6">
        <v>123.85</v>
      </c>
      <c r="K6">
        <v>17.89</v>
      </c>
      <c r="L6">
        <f>_xlfn.XLOOKUP(C6, dim_teams[team_name], dim_teams[team_id], "Not found", 0)</f>
        <v>17</v>
      </c>
    </row>
    <row r="7" spans="1:12" x14ac:dyDescent="0.3">
      <c r="A7" t="s">
        <v>14</v>
      </c>
      <c r="B7">
        <v>2023</v>
      </c>
      <c r="C7" t="s">
        <v>15</v>
      </c>
      <c r="D7">
        <v>238</v>
      </c>
      <c r="E7">
        <v>171</v>
      </c>
      <c r="F7">
        <v>13</v>
      </c>
      <c r="G7">
        <v>12</v>
      </c>
      <c r="H7">
        <v>9</v>
      </c>
      <c r="I7">
        <v>12</v>
      </c>
      <c r="J7">
        <v>139.18</v>
      </c>
      <c r="K7">
        <v>26.44</v>
      </c>
      <c r="L7">
        <f>_xlfn.XLOOKUP(C7, dim_teams[team_name], dim_teams[team_id], "Not found", 0)</f>
        <v>17</v>
      </c>
    </row>
    <row r="8" spans="1:12" x14ac:dyDescent="0.3">
      <c r="A8" t="s">
        <v>14</v>
      </c>
      <c r="B8">
        <v>2024</v>
      </c>
      <c r="C8" t="s">
        <v>15</v>
      </c>
      <c r="D8">
        <v>235</v>
      </c>
      <c r="E8">
        <v>171</v>
      </c>
      <c r="F8">
        <v>22</v>
      </c>
      <c r="G8">
        <v>5</v>
      </c>
      <c r="H8">
        <v>8</v>
      </c>
      <c r="I8">
        <v>12</v>
      </c>
      <c r="J8">
        <v>137.43</v>
      </c>
      <c r="K8">
        <v>29.38</v>
      </c>
      <c r="L8">
        <f>_xlfn.XLOOKUP(C8, dim_teams[team_name], dim_teams[team_id], "Not found", 0)</f>
        <v>17</v>
      </c>
    </row>
    <row r="9" spans="1:12" x14ac:dyDescent="0.3">
      <c r="A9" t="s">
        <v>14</v>
      </c>
      <c r="B9">
        <v>2025</v>
      </c>
      <c r="C9" t="s">
        <v>15</v>
      </c>
      <c r="D9">
        <v>329</v>
      </c>
      <c r="E9">
        <v>221</v>
      </c>
      <c r="F9">
        <v>27</v>
      </c>
      <c r="G9">
        <v>14</v>
      </c>
      <c r="H9">
        <v>10</v>
      </c>
      <c r="I9">
        <v>11</v>
      </c>
      <c r="J9">
        <v>148.87</v>
      </c>
      <c r="K9">
        <v>32.9</v>
      </c>
      <c r="L9">
        <f>_xlfn.XLOOKUP(C9, dim_teams[team_name], dim_teams[team_id], "Not found", 0)</f>
        <v>17</v>
      </c>
    </row>
    <row r="10" spans="1:12" x14ac:dyDescent="0.3">
      <c r="A10" t="s">
        <v>16</v>
      </c>
      <c r="B10">
        <v>2012</v>
      </c>
      <c r="C10" t="s">
        <v>17</v>
      </c>
      <c r="D10">
        <v>0</v>
      </c>
      <c r="E10">
        <v>1</v>
      </c>
      <c r="F10">
        <v>0</v>
      </c>
      <c r="G10">
        <v>0</v>
      </c>
      <c r="H10">
        <v>1</v>
      </c>
      <c r="I10">
        <v>1</v>
      </c>
      <c r="J10">
        <v>0</v>
      </c>
      <c r="K10">
        <v>0</v>
      </c>
      <c r="L10">
        <f>_xlfn.XLOOKUP(C10, dim_teams[team_name], dim_teams[team_id], "Not found", 0)</f>
        <v>5</v>
      </c>
    </row>
    <row r="11" spans="1:12" x14ac:dyDescent="0.3">
      <c r="A11" t="s">
        <v>16</v>
      </c>
      <c r="B11">
        <v>2013</v>
      </c>
      <c r="C11" t="s">
        <v>17</v>
      </c>
      <c r="D11">
        <v>4</v>
      </c>
      <c r="E11">
        <v>6</v>
      </c>
      <c r="F11">
        <v>0</v>
      </c>
      <c r="G11">
        <v>0</v>
      </c>
      <c r="H11">
        <v>0</v>
      </c>
      <c r="I11">
        <v>1</v>
      </c>
      <c r="J11">
        <v>66.67</v>
      </c>
      <c r="L11">
        <f>_xlfn.XLOOKUP(C11, dim_teams[team_name], dim_teams[team_id], "Not found", 0)</f>
        <v>5</v>
      </c>
    </row>
    <row r="12" spans="1:12" x14ac:dyDescent="0.3">
      <c r="A12" t="s">
        <v>18</v>
      </c>
      <c r="B12">
        <v>2008</v>
      </c>
      <c r="C12" t="s">
        <v>19</v>
      </c>
      <c r="D12">
        <v>42</v>
      </c>
      <c r="E12">
        <v>52</v>
      </c>
      <c r="F12">
        <v>5</v>
      </c>
      <c r="G12">
        <v>0</v>
      </c>
      <c r="H12">
        <v>4</v>
      </c>
      <c r="I12">
        <v>5</v>
      </c>
      <c r="J12">
        <v>80.77</v>
      </c>
      <c r="K12">
        <v>10.5</v>
      </c>
      <c r="L12">
        <f>_xlfn.XLOOKUP(C12, dim_teams[team_name], dim_teams[team_id], "Not found", 0)</f>
        <v>1</v>
      </c>
    </row>
    <row r="13" spans="1:12" x14ac:dyDescent="0.3">
      <c r="A13" t="s">
        <v>18</v>
      </c>
      <c r="B13">
        <v>2009</v>
      </c>
      <c r="C13" t="s">
        <v>19</v>
      </c>
      <c r="D13">
        <v>11</v>
      </c>
      <c r="E13">
        <v>19</v>
      </c>
      <c r="F13">
        <v>2</v>
      </c>
      <c r="G13">
        <v>0</v>
      </c>
      <c r="H13">
        <v>1</v>
      </c>
      <c r="I13">
        <v>1</v>
      </c>
      <c r="J13">
        <v>57.89</v>
      </c>
      <c r="K13">
        <v>11</v>
      </c>
      <c r="L13">
        <f>_xlfn.XLOOKUP(C13, dim_teams[team_name], dim_teams[team_id], "Not found", 0)</f>
        <v>1</v>
      </c>
    </row>
    <row r="14" spans="1:12" x14ac:dyDescent="0.3">
      <c r="A14" t="s">
        <v>20</v>
      </c>
      <c r="B14">
        <v>2017</v>
      </c>
      <c r="C14" t="s">
        <v>21</v>
      </c>
      <c r="D14">
        <v>25</v>
      </c>
      <c r="E14">
        <v>20</v>
      </c>
      <c r="F14">
        <v>1</v>
      </c>
      <c r="G14">
        <v>1</v>
      </c>
      <c r="H14">
        <v>2</v>
      </c>
      <c r="I14">
        <v>3</v>
      </c>
      <c r="J14">
        <v>125</v>
      </c>
      <c r="K14">
        <v>12.5</v>
      </c>
      <c r="L14">
        <f>_xlfn.XLOOKUP(C14, dim_teams[team_name], dim_teams[team_id], "Not found", 0)</f>
        <v>2</v>
      </c>
    </row>
    <row r="15" spans="1:12" x14ac:dyDescent="0.3">
      <c r="A15" t="s">
        <v>22</v>
      </c>
      <c r="B15">
        <v>2018</v>
      </c>
      <c r="C15" t="s">
        <v>23</v>
      </c>
      <c r="D15">
        <v>4</v>
      </c>
      <c r="E15">
        <v>5</v>
      </c>
      <c r="F15">
        <v>0</v>
      </c>
      <c r="G15">
        <v>0</v>
      </c>
      <c r="H15">
        <v>0</v>
      </c>
      <c r="I15">
        <v>1</v>
      </c>
      <c r="J15">
        <v>80</v>
      </c>
      <c r="L15">
        <f>_xlfn.XLOOKUP(C15, dim_teams[team_name], dim_teams[team_id], "Not found", 0)</f>
        <v>7</v>
      </c>
    </row>
    <row r="16" spans="1:12" x14ac:dyDescent="0.3">
      <c r="A16" t="s">
        <v>24</v>
      </c>
      <c r="B16">
        <v>2009</v>
      </c>
      <c r="C16" t="s">
        <v>25</v>
      </c>
      <c r="D16">
        <v>62</v>
      </c>
      <c r="E16">
        <v>53</v>
      </c>
      <c r="F16">
        <v>5</v>
      </c>
      <c r="G16">
        <v>2</v>
      </c>
      <c r="H16">
        <v>2</v>
      </c>
      <c r="I16">
        <v>3</v>
      </c>
      <c r="J16">
        <v>116.98</v>
      </c>
      <c r="K16">
        <v>31</v>
      </c>
      <c r="L16">
        <f>_xlfn.XLOOKUP(C16, dim_teams[team_name], dim_teams[team_id], "Not found", 0)</f>
        <v>3</v>
      </c>
    </row>
    <row r="17" spans="1:12" x14ac:dyDescent="0.3">
      <c r="A17" t="s">
        <v>26</v>
      </c>
      <c r="B17">
        <v>2024</v>
      </c>
      <c r="C17" t="s">
        <v>23</v>
      </c>
      <c r="D17">
        <v>2</v>
      </c>
      <c r="E17">
        <v>2</v>
      </c>
      <c r="F17">
        <v>0</v>
      </c>
      <c r="G17">
        <v>0</v>
      </c>
      <c r="H17">
        <v>0</v>
      </c>
      <c r="I17">
        <v>1</v>
      </c>
      <c r="J17">
        <v>100</v>
      </c>
      <c r="L17">
        <f>_xlfn.XLOOKUP(C17, dim_teams[team_name], dim_teams[team_id], "Not found", 0)</f>
        <v>7</v>
      </c>
    </row>
    <row r="18" spans="1:12" x14ac:dyDescent="0.3">
      <c r="A18" t="s">
        <v>26</v>
      </c>
      <c r="B18">
        <v>2025</v>
      </c>
      <c r="C18" t="s">
        <v>25</v>
      </c>
      <c r="D18">
        <v>14</v>
      </c>
      <c r="E18">
        <v>12</v>
      </c>
      <c r="F18">
        <v>2</v>
      </c>
      <c r="G18">
        <v>0</v>
      </c>
      <c r="H18">
        <v>2</v>
      </c>
      <c r="I18">
        <v>5</v>
      </c>
      <c r="J18">
        <v>116.67</v>
      </c>
      <c r="K18">
        <v>7</v>
      </c>
      <c r="L18">
        <f>_xlfn.XLOOKUP(C18, dim_teams[team_name], dim_teams[team_id], "Not found", 0)</f>
        <v>3</v>
      </c>
    </row>
    <row r="19" spans="1:12" x14ac:dyDescent="0.3">
      <c r="A19" t="s">
        <v>27</v>
      </c>
      <c r="B19">
        <v>2008</v>
      </c>
      <c r="C19" t="s">
        <v>21</v>
      </c>
      <c r="D19">
        <v>13</v>
      </c>
      <c r="E19">
        <v>17</v>
      </c>
      <c r="F19">
        <v>1</v>
      </c>
      <c r="G19">
        <v>0</v>
      </c>
      <c r="H19">
        <v>1</v>
      </c>
      <c r="I19">
        <v>4</v>
      </c>
      <c r="J19">
        <v>76.47</v>
      </c>
      <c r="K19">
        <v>13</v>
      </c>
      <c r="L19">
        <f>_xlfn.XLOOKUP(C19, dim_teams[team_name], dim_teams[team_id], "Not found", 0)</f>
        <v>2</v>
      </c>
    </row>
    <row r="20" spans="1:12" x14ac:dyDescent="0.3">
      <c r="A20" t="s">
        <v>27</v>
      </c>
      <c r="B20">
        <v>2009</v>
      </c>
      <c r="C20" t="s">
        <v>21</v>
      </c>
      <c r="D20">
        <v>16</v>
      </c>
      <c r="E20">
        <v>19</v>
      </c>
      <c r="F20">
        <v>2</v>
      </c>
      <c r="G20">
        <v>0</v>
      </c>
      <c r="H20">
        <v>1</v>
      </c>
      <c r="I20">
        <v>6</v>
      </c>
      <c r="J20">
        <v>84.21</v>
      </c>
      <c r="K20">
        <v>16</v>
      </c>
      <c r="L20">
        <f>_xlfn.XLOOKUP(C20, dim_teams[team_name], dim_teams[team_id], "Not found", 0)</f>
        <v>2</v>
      </c>
    </row>
    <row r="21" spans="1:12" x14ac:dyDescent="0.3">
      <c r="A21" t="s">
        <v>27</v>
      </c>
      <c r="B21">
        <v>2010</v>
      </c>
      <c r="C21" t="s">
        <v>21</v>
      </c>
      <c r="D21">
        <v>6</v>
      </c>
      <c r="E21">
        <v>11</v>
      </c>
      <c r="F21">
        <v>0</v>
      </c>
      <c r="G21">
        <v>0</v>
      </c>
      <c r="H21">
        <v>0</v>
      </c>
      <c r="I21">
        <v>5</v>
      </c>
      <c r="J21">
        <v>54.55</v>
      </c>
      <c r="L21">
        <f>_xlfn.XLOOKUP(C21, dim_teams[team_name], dim_teams[team_id], "Not found", 0)</f>
        <v>2</v>
      </c>
    </row>
    <row r="22" spans="1:12" x14ac:dyDescent="0.3">
      <c r="A22" t="s">
        <v>28</v>
      </c>
      <c r="B22">
        <v>2022</v>
      </c>
      <c r="C22" t="s">
        <v>29</v>
      </c>
      <c r="D22">
        <v>108</v>
      </c>
      <c r="E22">
        <v>75</v>
      </c>
      <c r="F22">
        <v>14</v>
      </c>
      <c r="G22">
        <v>3</v>
      </c>
      <c r="H22">
        <v>6</v>
      </c>
      <c r="I22">
        <v>7</v>
      </c>
      <c r="J22">
        <v>144</v>
      </c>
      <c r="K22">
        <v>18</v>
      </c>
      <c r="L22">
        <f>_xlfn.XLOOKUP(C22, dim_teams[team_name], dim_teams[team_id], "Not found", 0)</f>
        <v>18</v>
      </c>
    </row>
    <row r="23" spans="1:12" x14ac:dyDescent="0.3">
      <c r="A23" t="s">
        <v>28</v>
      </c>
      <c r="B23">
        <v>2023</v>
      </c>
      <c r="C23" t="s">
        <v>29</v>
      </c>
      <c r="D23">
        <v>114</v>
      </c>
      <c r="E23">
        <v>83</v>
      </c>
      <c r="F23">
        <v>6</v>
      </c>
      <c r="G23">
        <v>7</v>
      </c>
      <c r="H23">
        <v>6</v>
      </c>
      <c r="I23">
        <v>6</v>
      </c>
      <c r="J23">
        <v>137.35</v>
      </c>
      <c r="K23">
        <v>19</v>
      </c>
      <c r="L23">
        <f>_xlfn.XLOOKUP(C23, dim_teams[team_name], dim_teams[team_id], "Not found", 0)</f>
        <v>18</v>
      </c>
    </row>
    <row r="24" spans="1:12" x14ac:dyDescent="0.3">
      <c r="A24" t="s">
        <v>28</v>
      </c>
      <c r="B24">
        <v>2024</v>
      </c>
      <c r="C24" t="s">
        <v>29</v>
      </c>
      <c r="D24">
        <v>9</v>
      </c>
      <c r="E24">
        <v>16</v>
      </c>
      <c r="F24">
        <v>1</v>
      </c>
      <c r="G24">
        <v>0</v>
      </c>
      <c r="H24">
        <v>2</v>
      </c>
      <c r="I24">
        <v>2</v>
      </c>
      <c r="J24">
        <v>56.25</v>
      </c>
      <c r="K24">
        <v>4.5</v>
      </c>
      <c r="L24">
        <f>_xlfn.XLOOKUP(C24, dim_teams[team_name], dim_teams[team_id], "Not found", 0)</f>
        <v>18</v>
      </c>
    </row>
    <row r="25" spans="1:12" x14ac:dyDescent="0.3">
      <c r="A25" t="s">
        <v>28</v>
      </c>
      <c r="B25">
        <v>2025</v>
      </c>
      <c r="C25" t="s">
        <v>13</v>
      </c>
      <c r="D25">
        <v>61</v>
      </c>
      <c r="E25">
        <v>61</v>
      </c>
      <c r="F25">
        <v>2</v>
      </c>
      <c r="G25">
        <v>4</v>
      </c>
      <c r="H25">
        <v>5</v>
      </c>
      <c r="I25">
        <v>5</v>
      </c>
      <c r="J25">
        <v>100</v>
      </c>
      <c r="K25">
        <v>12.2</v>
      </c>
      <c r="L25">
        <f>_xlfn.XLOOKUP(C25, dim_teams[team_name], dim_teams[team_id], "Not found", 0)</f>
        <v>11</v>
      </c>
    </row>
    <row r="26" spans="1:12" x14ac:dyDescent="0.3">
      <c r="A26" t="s">
        <v>30</v>
      </c>
      <c r="B26">
        <v>2025</v>
      </c>
      <c r="C26" t="s">
        <v>25</v>
      </c>
      <c r="D26">
        <v>240</v>
      </c>
      <c r="E26">
        <v>127</v>
      </c>
      <c r="F26">
        <v>31</v>
      </c>
      <c r="G26">
        <v>11</v>
      </c>
      <c r="H26">
        <v>7</v>
      </c>
      <c r="I26">
        <v>7</v>
      </c>
      <c r="J26">
        <v>188.98</v>
      </c>
      <c r="K26">
        <v>34.29</v>
      </c>
      <c r="L26">
        <f>_xlfn.XLOOKUP(C26, dim_teams[team_name], dim_teams[team_id], "Not found", 0)</f>
        <v>3</v>
      </c>
    </row>
    <row r="27" spans="1:12" x14ac:dyDescent="0.3">
      <c r="A27" t="s">
        <v>31</v>
      </c>
      <c r="B27">
        <v>2008</v>
      </c>
      <c r="C27" t="s">
        <v>32</v>
      </c>
      <c r="D27">
        <v>37</v>
      </c>
      <c r="E27">
        <v>42</v>
      </c>
      <c r="F27">
        <v>3</v>
      </c>
      <c r="G27">
        <v>0</v>
      </c>
      <c r="H27">
        <v>4</v>
      </c>
      <c r="I27">
        <v>3</v>
      </c>
      <c r="J27">
        <v>88.1</v>
      </c>
      <c r="K27">
        <v>9.25</v>
      </c>
      <c r="L27">
        <f>_xlfn.XLOOKUP(C27, dim_teams[team_name], dim_teams[team_id], "Not found", 0)</f>
        <v>6</v>
      </c>
    </row>
    <row r="28" spans="1:12" x14ac:dyDescent="0.3">
      <c r="A28" t="s">
        <v>31</v>
      </c>
      <c r="B28">
        <v>2009</v>
      </c>
      <c r="C28" t="s">
        <v>32</v>
      </c>
      <c r="D28">
        <v>26</v>
      </c>
      <c r="E28">
        <v>20</v>
      </c>
      <c r="F28">
        <v>2</v>
      </c>
      <c r="G28">
        <v>2</v>
      </c>
      <c r="H28">
        <v>2</v>
      </c>
      <c r="I28">
        <v>5</v>
      </c>
      <c r="J28">
        <v>130</v>
      </c>
      <c r="K28">
        <v>13</v>
      </c>
      <c r="L28">
        <f>_xlfn.XLOOKUP(C28, dim_teams[team_name], dim_teams[team_id], "Not found", 0)</f>
        <v>6</v>
      </c>
    </row>
    <row r="29" spans="1:12" x14ac:dyDescent="0.3">
      <c r="A29" t="s">
        <v>31</v>
      </c>
      <c r="B29">
        <v>2010</v>
      </c>
      <c r="C29" t="s">
        <v>32</v>
      </c>
      <c r="D29">
        <v>39</v>
      </c>
      <c r="E29">
        <v>50</v>
      </c>
      <c r="F29">
        <v>1</v>
      </c>
      <c r="G29">
        <v>0</v>
      </c>
      <c r="H29">
        <v>4</v>
      </c>
      <c r="I29">
        <v>7</v>
      </c>
      <c r="J29">
        <v>78</v>
      </c>
      <c r="K29">
        <v>9.75</v>
      </c>
      <c r="L29">
        <f>_xlfn.XLOOKUP(C29, dim_teams[team_name], dim_teams[team_id], "Not found", 0)</f>
        <v>6</v>
      </c>
    </row>
    <row r="30" spans="1:12" x14ac:dyDescent="0.3">
      <c r="A30" t="s">
        <v>31</v>
      </c>
      <c r="B30">
        <v>2011</v>
      </c>
      <c r="C30" t="s">
        <v>12</v>
      </c>
      <c r="D30">
        <v>68</v>
      </c>
      <c r="E30">
        <v>49</v>
      </c>
      <c r="F30">
        <v>9</v>
      </c>
      <c r="G30">
        <v>1</v>
      </c>
      <c r="H30">
        <v>6</v>
      </c>
      <c r="I30">
        <v>9</v>
      </c>
      <c r="J30">
        <v>138.78</v>
      </c>
      <c r="K30">
        <v>11.33</v>
      </c>
      <c r="L30">
        <f>_xlfn.XLOOKUP(C30, dim_teams[team_name], dim_teams[team_id], "Not found", 0)</f>
        <v>8</v>
      </c>
    </row>
    <row r="31" spans="1:12" x14ac:dyDescent="0.3">
      <c r="A31" t="s">
        <v>31</v>
      </c>
      <c r="B31">
        <v>2012</v>
      </c>
      <c r="C31" t="s">
        <v>12</v>
      </c>
      <c r="D31">
        <v>16</v>
      </c>
      <c r="E31">
        <v>20</v>
      </c>
      <c r="F31">
        <v>1</v>
      </c>
      <c r="G31">
        <v>0</v>
      </c>
      <c r="H31">
        <v>3</v>
      </c>
      <c r="I31">
        <v>5</v>
      </c>
      <c r="J31">
        <v>80</v>
      </c>
      <c r="K31">
        <v>5.33</v>
      </c>
      <c r="L31">
        <f>_xlfn.XLOOKUP(C31, dim_teams[team_name], dim_teams[team_id], "Not found", 0)</f>
        <v>8</v>
      </c>
    </row>
    <row r="32" spans="1:12" x14ac:dyDescent="0.3">
      <c r="A32" t="s">
        <v>31</v>
      </c>
      <c r="B32">
        <v>2013</v>
      </c>
      <c r="C32" t="s">
        <v>13</v>
      </c>
      <c r="D32">
        <v>89</v>
      </c>
      <c r="E32">
        <v>95</v>
      </c>
      <c r="F32">
        <v>9</v>
      </c>
      <c r="G32">
        <v>0</v>
      </c>
      <c r="H32">
        <v>3</v>
      </c>
      <c r="I32">
        <v>6</v>
      </c>
      <c r="J32">
        <v>93.68</v>
      </c>
      <c r="K32">
        <v>29.67</v>
      </c>
      <c r="L32">
        <f>_xlfn.XLOOKUP(C32, dim_teams[team_name], dim_teams[team_id], "Not found", 0)</f>
        <v>11</v>
      </c>
    </row>
    <row r="33" spans="1:12" x14ac:dyDescent="0.3">
      <c r="A33" t="s">
        <v>31</v>
      </c>
      <c r="B33">
        <v>2014</v>
      </c>
      <c r="C33" t="s">
        <v>13</v>
      </c>
      <c r="D33">
        <v>4</v>
      </c>
      <c r="E33">
        <v>7</v>
      </c>
      <c r="F33">
        <v>0</v>
      </c>
      <c r="G33">
        <v>0</v>
      </c>
      <c r="H33">
        <v>1</v>
      </c>
      <c r="I33">
        <v>2</v>
      </c>
      <c r="J33">
        <v>57.14</v>
      </c>
      <c r="K33">
        <v>4</v>
      </c>
      <c r="L33">
        <f>_xlfn.XLOOKUP(C33, dim_teams[team_name], dim_teams[team_id], "Not found", 0)</f>
        <v>11</v>
      </c>
    </row>
    <row r="34" spans="1:12" x14ac:dyDescent="0.3">
      <c r="A34" t="s">
        <v>31</v>
      </c>
      <c r="B34">
        <v>2015</v>
      </c>
      <c r="C34" t="s">
        <v>32</v>
      </c>
      <c r="D34">
        <v>8</v>
      </c>
      <c r="E34">
        <v>12</v>
      </c>
      <c r="F34">
        <v>0</v>
      </c>
      <c r="G34">
        <v>0</v>
      </c>
      <c r="H34">
        <v>2</v>
      </c>
      <c r="I34">
        <v>4</v>
      </c>
      <c r="J34">
        <v>66.67</v>
      </c>
      <c r="K34">
        <v>4</v>
      </c>
      <c r="L34">
        <f>_xlfn.XLOOKUP(C34, dim_teams[team_name], dim_teams[team_id], "Not found", 0)</f>
        <v>6</v>
      </c>
    </row>
    <row r="35" spans="1:12" x14ac:dyDescent="0.3">
      <c r="A35" t="s">
        <v>31</v>
      </c>
      <c r="B35">
        <v>2016</v>
      </c>
      <c r="C35" t="s">
        <v>32</v>
      </c>
      <c r="D35">
        <v>4</v>
      </c>
      <c r="E35">
        <v>14</v>
      </c>
      <c r="F35">
        <v>0</v>
      </c>
      <c r="G35">
        <v>0</v>
      </c>
      <c r="H35">
        <v>2</v>
      </c>
      <c r="I35">
        <v>2</v>
      </c>
      <c r="J35">
        <v>28.57</v>
      </c>
      <c r="K35">
        <v>2</v>
      </c>
      <c r="L35">
        <f>_xlfn.XLOOKUP(C35, dim_teams[team_name], dim_teams[team_id], "Not found", 0)</f>
        <v>6</v>
      </c>
    </row>
    <row r="36" spans="1:12" x14ac:dyDescent="0.3">
      <c r="A36" t="s">
        <v>31</v>
      </c>
      <c r="B36">
        <v>2017</v>
      </c>
      <c r="C36" t="s">
        <v>32</v>
      </c>
      <c r="D36">
        <v>49</v>
      </c>
      <c r="E36">
        <v>52</v>
      </c>
      <c r="F36">
        <v>2</v>
      </c>
      <c r="G36">
        <v>2</v>
      </c>
      <c r="H36">
        <v>1</v>
      </c>
      <c r="I36">
        <v>6</v>
      </c>
      <c r="J36">
        <v>94.23</v>
      </c>
      <c r="K36">
        <v>49</v>
      </c>
      <c r="L36">
        <f>_xlfn.XLOOKUP(C36, dim_teams[team_name], dim_teams[team_id], "Not found", 0)</f>
        <v>6</v>
      </c>
    </row>
    <row r="37" spans="1:12" x14ac:dyDescent="0.3">
      <c r="A37" t="s">
        <v>31</v>
      </c>
      <c r="B37">
        <v>2018</v>
      </c>
      <c r="C37" t="s">
        <v>32</v>
      </c>
      <c r="D37">
        <v>1</v>
      </c>
      <c r="E37">
        <v>2</v>
      </c>
      <c r="F37">
        <v>0</v>
      </c>
      <c r="G37">
        <v>0</v>
      </c>
      <c r="H37">
        <v>0</v>
      </c>
      <c r="I37">
        <v>1</v>
      </c>
      <c r="J37">
        <v>50</v>
      </c>
      <c r="L37">
        <f>_xlfn.XLOOKUP(C37, dim_teams[team_name], dim_teams[team_id], "Not found", 0)</f>
        <v>6</v>
      </c>
    </row>
    <row r="38" spans="1:12" x14ac:dyDescent="0.3">
      <c r="A38" t="s">
        <v>31</v>
      </c>
      <c r="B38">
        <v>2019</v>
      </c>
      <c r="C38" t="s">
        <v>33</v>
      </c>
      <c r="D38">
        <v>21</v>
      </c>
      <c r="E38">
        <v>24</v>
      </c>
      <c r="F38">
        <v>2</v>
      </c>
      <c r="G38">
        <v>0</v>
      </c>
      <c r="H38">
        <v>2</v>
      </c>
      <c r="I38">
        <v>4</v>
      </c>
      <c r="J38">
        <v>87.5</v>
      </c>
      <c r="K38">
        <v>10.5</v>
      </c>
      <c r="L38">
        <f>_xlfn.XLOOKUP(C38, dim_teams[team_name], dim_teams[team_id], "Not found", 0)</f>
        <v>15</v>
      </c>
    </row>
    <row r="39" spans="1:12" x14ac:dyDescent="0.3">
      <c r="A39" t="s">
        <v>31</v>
      </c>
      <c r="B39">
        <v>2023</v>
      </c>
      <c r="C39" t="s">
        <v>15</v>
      </c>
      <c r="D39">
        <v>19</v>
      </c>
      <c r="E39">
        <v>30</v>
      </c>
      <c r="F39">
        <v>2</v>
      </c>
      <c r="G39">
        <v>0</v>
      </c>
      <c r="H39">
        <v>1</v>
      </c>
      <c r="I39">
        <v>1</v>
      </c>
      <c r="J39">
        <v>63.33</v>
      </c>
      <c r="K39">
        <v>19</v>
      </c>
      <c r="L39">
        <f>_xlfn.XLOOKUP(C39, dim_teams[team_name], dim_teams[team_id], "Not found", 0)</f>
        <v>17</v>
      </c>
    </row>
    <row r="40" spans="1:12" x14ac:dyDescent="0.3">
      <c r="A40" t="s">
        <v>34</v>
      </c>
      <c r="B40">
        <v>2010</v>
      </c>
      <c r="C40" t="s">
        <v>21</v>
      </c>
      <c r="D40">
        <v>5</v>
      </c>
      <c r="E40">
        <v>4</v>
      </c>
      <c r="F40">
        <v>1</v>
      </c>
      <c r="G40">
        <v>0</v>
      </c>
      <c r="H40">
        <v>1</v>
      </c>
      <c r="I40">
        <v>1</v>
      </c>
      <c r="J40">
        <v>125</v>
      </c>
      <c r="K40">
        <v>5</v>
      </c>
      <c r="L40">
        <f>_xlfn.XLOOKUP(C40, dim_teams[team_name], dim_teams[team_id], "Not found", 0)</f>
        <v>2</v>
      </c>
    </row>
    <row r="41" spans="1:12" x14ac:dyDescent="0.3">
      <c r="A41" t="s">
        <v>34</v>
      </c>
      <c r="B41">
        <v>2011</v>
      </c>
      <c r="C41" t="s">
        <v>21</v>
      </c>
      <c r="D41">
        <v>27</v>
      </c>
      <c r="E41">
        <v>20</v>
      </c>
      <c r="F41">
        <v>3</v>
      </c>
      <c r="G41">
        <v>1</v>
      </c>
      <c r="H41">
        <v>3</v>
      </c>
      <c r="I41">
        <v>4</v>
      </c>
      <c r="J41">
        <v>135</v>
      </c>
      <c r="K41">
        <v>9</v>
      </c>
      <c r="L41">
        <f>_xlfn.XLOOKUP(C41, dim_teams[team_name], dim_teams[team_id], "Not found", 0)</f>
        <v>2</v>
      </c>
    </row>
    <row r="42" spans="1:12" x14ac:dyDescent="0.3">
      <c r="A42" t="s">
        <v>34</v>
      </c>
      <c r="B42">
        <v>2013</v>
      </c>
      <c r="C42" t="s">
        <v>21</v>
      </c>
      <c r="D42">
        <v>2</v>
      </c>
      <c r="E42">
        <v>2</v>
      </c>
      <c r="F42">
        <v>0</v>
      </c>
      <c r="G42">
        <v>0</v>
      </c>
      <c r="H42">
        <v>1</v>
      </c>
      <c r="I42">
        <v>1</v>
      </c>
      <c r="J42">
        <v>100</v>
      </c>
      <c r="K42">
        <v>2</v>
      </c>
      <c r="L42">
        <f>_xlfn.XLOOKUP(C42, dim_teams[team_name], dim_teams[team_id], "Not found", 0)</f>
        <v>2</v>
      </c>
    </row>
    <row r="43" spans="1:12" x14ac:dyDescent="0.3">
      <c r="A43" t="s">
        <v>35</v>
      </c>
      <c r="B43">
        <v>2008</v>
      </c>
      <c r="C43" t="s">
        <v>25</v>
      </c>
      <c r="D43">
        <v>0</v>
      </c>
      <c r="E43">
        <v>1</v>
      </c>
      <c r="F43">
        <v>0</v>
      </c>
      <c r="G43">
        <v>0</v>
      </c>
      <c r="H43">
        <v>1</v>
      </c>
      <c r="I43">
        <v>1</v>
      </c>
      <c r="J43">
        <v>0</v>
      </c>
      <c r="K43">
        <v>0</v>
      </c>
      <c r="L43">
        <f>_xlfn.XLOOKUP(C43, dim_teams[team_name], dim_teams[team_id], "Not found", 0)</f>
        <v>3</v>
      </c>
    </row>
    <row r="44" spans="1:12" x14ac:dyDescent="0.3">
      <c r="A44" t="s">
        <v>35</v>
      </c>
      <c r="B44">
        <v>2013</v>
      </c>
      <c r="C44" t="s">
        <v>21</v>
      </c>
      <c r="D44">
        <v>19</v>
      </c>
      <c r="E44">
        <v>21</v>
      </c>
      <c r="F44">
        <v>1</v>
      </c>
      <c r="G44">
        <v>0</v>
      </c>
      <c r="H44">
        <v>1</v>
      </c>
      <c r="I44">
        <v>1</v>
      </c>
      <c r="J44">
        <v>90.48</v>
      </c>
      <c r="K44">
        <v>19</v>
      </c>
      <c r="L44">
        <f>_xlfn.XLOOKUP(C44, dim_teams[team_name], dim_teams[team_id], "Not found", 0)</f>
        <v>2</v>
      </c>
    </row>
    <row r="45" spans="1:12" x14ac:dyDescent="0.3">
      <c r="A45" t="s">
        <v>36</v>
      </c>
      <c r="B45">
        <v>2008</v>
      </c>
      <c r="C45" t="s">
        <v>23</v>
      </c>
      <c r="D45">
        <v>3</v>
      </c>
      <c r="E45">
        <v>12</v>
      </c>
      <c r="F45">
        <v>0</v>
      </c>
      <c r="G45">
        <v>0</v>
      </c>
      <c r="H45">
        <v>0</v>
      </c>
      <c r="I45">
        <v>3</v>
      </c>
      <c r="J45">
        <v>25</v>
      </c>
      <c r="L45">
        <f>_xlfn.XLOOKUP(C45, dim_teams[team_name], dim_teams[team_id], "Not found", 0)</f>
        <v>7</v>
      </c>
    </row>
    <row r="46" spans="1:12" x14ac:dyDescent="0.3">
      <c r="A46" t="s">
        <v>36</v>
      </c>
      <c r="B46">
        <v>2009</v>
      </c>
      <c r="C46" t="s">
        <v>32</v>
      </c>
      <c r="D46">
        <v>1</v>
      </c>
      <c r="E46">
        <v>1</v>
      </c>
      <c r="F46">
        <v>0</v>
      </c>
      <c r="G46">
        <v>0</v>
      </c>
      <c r="H46">
        <v>0</v>
      </c>
      <c r="I46">
        <v>1</v>
      </c>
      <c r="J46">
        <v>100</v>
      </c>
      <c r="L46">
        <f>_xlfn.XLOOKUP(C46, dim_teams[team_name], dim_teams[team_id], "Not found", 0)</f>
        <v>6</v>
      </c>
    </row>
    <row r="47" spans="1:12" x14ac:dyDescent="0.3">
      <c r="A47" t="s">
        <v>36</v>
      </c>
      <c r="B47">
        <v>2010</v>
      </c>
      <c r="C47" t="s">
        <v>32</v>
      </c>
      <c r="D47">
        <v>23</v>
      </c>
      <c r="E47">
        <v>19</v>
      </c>
      <c r="F47">
        <v>2</v>
      </c>
      <c r="G47">
        <v>1</v>
      </c>
      <c r="H47">
        <v>1</v>
      </c>
      <c r="I47">
        <v>2</v>
      </c>
      <c r="J47">
        <v>121.05</v>
      </c>
      <c r="K47">
        <v>23</v>
      </c>
      <c r="L47">
        <f>_xlfn.XLOOKUP(C47, dim_teams[team_name], dim_teams[team_id], "Not found", 0)</f>
        <v>6</v>
      </c>
    </row>
    <row r="48" spans="1:12" x14ac:dyDescent="0.3">
      <c r="A48" t="s">
        <v>36</v>
      </c>
      <c r="B48">
        <v>2012</v>
      </c>
      <c r="C48" t="s">
        <v>37</v>
      </c>
      <c r="D48">
        <v>11</v>
      </c>
      <c r="E48">
        <v>12</v>
      </c>
      <c r="F48">
        <v>1</v>
      </c>
      <c r="G48">
        <v>0</v>
      </c>
      <c r="H48">
        <v>1</v>
      </c>
      <c r="I48">
        <v>2</v>
      </c>
      <c r="J48">
        <v>91.67</v>
      </c>
      <c r="K48">
        <v>11</v>
      </c>
      <c r="L48">
        <f>_xlfn.XLOOKUP(C48, dim_teams[team_name], dim_teams[team_id], "Not found", 0)</f>
        <v>10</v>
      </c>
    </row>
    <row r="49" spans="1:12" x14ac:dyDescent="0.3">
      <c r="A49" t="s">
        <v>36</v>
      </c>
      <c r="B49">
        <v>2013</v>
      </c>
      <c r="C49" t="s">
        <v>32</v>
      </c>
      <c r="D49">
        <v>1</v>
      </c>
      <c r="E49">
        <v>8</v>
      </c>
      <c r="F49">
        <v>0</v>
      </c>
      <c r="G49">
        <v>0</v>
      </c>
      <c r="H49">
        <v>4</v>
      </c>
      <c r="I49">
        <v>4</v>
      </c>
      <c r="J49">
        <v>12.5</v>
      </c>
      <c r="K49">
        <v>0.25</v>
      </c>
      <c r="L49">
        <f>_xlfn.XLOOKUP(C49, dim_teams[team_name], dim_teams[team_id], "Not found", 0)</f>
        <v>6</v>
      </c>
    </row>
    <row r="50" spans="1:12" x14ac:dyDescent="0.3">
      <c r="A50" t="s">
        <v>36</v>
      </c>
      <c r="B50">
        <v>2015</v>
      </c>
      <c r="C50" t="s">
        <v>25</v>
      </c>
      <c r="D50">
        <v>1</v>
      </c>
      <c r="E50">
        <v>7</v>
      </c>
      <c r="F50">
        <v>0</v>
      </c>
      <c r="G50">
        <v>0</v>
      </c>
      <c r="H50">
        <v>2</v>
      </c>
      <c r="I50">
        <v>4</v>
      </c>
      <c r="J50">
        <v>14.29</v>
      </c>
      <c r="K50">
        <v>0.5</v>
      </c>
      <c r="L50">
        <f>_xlfn.XLOOKUP(C50, dim_teams[team_name], dim_teams[team_id], "Not found", 0)</f>
        <v>3</v>
      </c>
    </row>
    <row r="51" spans="1:12" x14ac:dyDescent="0.3">
      <c r="A51" t="s">
        <v>36</v>
      </c>
      <c r="B51">
        <v>2016</v>
      </c>
      <c r="C51" t="s">
        <v>13</v>
      </c>
      <c r="D51">
        <v>1</v>
      </c>
      <c r="E51">
        <v>1</v>
      </c>
      <c r="F51">
        <v>0</v>
      </c>
      <c r="G51">
        <v>0</v>
      </c>
      <c r="H51">
        <v>0</v>
      </c>
      <c r="I51">
        <v>1</v>
      </c>
      <c r="J51">
        <v>100</v>
      </c>
      <c r="L51">
        <f>_xlfn.XLOOKUP(C51, dim_teams[team_name], dim_teams[team_id], "Not found", 0)</f>
        <v>11</v>
      </c>
    </row>
    <row r="52" spans="1:12" x14ac:dyDescent="0.3">
      <c r="A52" t="s">
        <v>38</v>
      </c>
      <c r="B52">
        <v>2020</v>
      </c>
      <c r="C52" t="s">
        <v>33</v>
      </c>
      <c r="D52">
        <v>7</v>
      </c>
      <c r="E52">
        <v>6</v>
      </c>
      <c r="F52">
        <v>0</v>
      </c>
      <c r="G52">
        <v>0</v>
      </c>
      <c r="H52">
        <v>1</v>
      </c>
      <c r="I52">
        <v>3</v>
      </c>
      <c r="J52">
        <v>116.67</v>
      </c>
      <c r="K52">
        <v>7</v>
      </c>
      <c r="L52">
        <f>_xlfn.XLOOKUP(C52, dim_teams[team_name], dim_teams[team_id], "Not found", 0)</f>
        <v>15</v>
      </c>
    </row>
    <row r="53" spans="1:12" x14ac:dyDescent="0.3">
      <c r="A53" t="s">
        <v>38</v>
      </c>
      <c r="B53">
        <v>2022</v>
      </c>
      <c r="C53" t="s">
        <v>33</v>
      </c>
      <c r="D53">
        <v>1</v>
      </c>
      <c r="E53">
        <v>6</v>
      </c>
      <c r="F53">
        <v>0</v>
      </c>
      <c r="G53">
        <v>0</v>
      </c>
      <c r="H53">
        <v>0</v>
      </c>
      <c r="I53">
        <v>1</v>
      </c>
      <c r="J53">
        <v>16.670000000000002</v>
      </c>
      <c r="L53">
        <f>_xlfn.XLOOKUP(C53, dim_teams[team_name], dim_teams[team_id], "Not found", 0)</f>
        <v>15</v>
      </c>
    </row>
    <row r="54" spans="1:12" x14ac:dyDescent="0.3">
      <c r="A54" t="s">
        <v>38</v>
      </c>
      <c r="B54">
        <v>2023</v>
      </c>
      <c r="C54" t="s">
        <v>33</v>
      </c>
      <c r="D54">
        <v>37</v>
      </c>
      <c r="E54">
        <v>29</v>
      </c>
      <c r="F54">
        <v>6</v>
      </c>
      <c r="G54">
        <v>0</v>
      </c>
      <c r="H54">
        <v>2</v>
      </c>
      <c r="I54">
        <v>7</v>
      </c>
      <c r="J54">
        <v>127.59</v>
      </c>
      <c r="K54">
        <v>18.5</v>
      </c>
      <c r="L54">
        <f>_xlfn.XLOOKUP(C54, dim_teams[team_name], dim_teams[team_id], "Not found", 0)</f>
        <v>15</v>
      </c>
    </row>
    <row r="55" spans="1:12" x14ac:dyDescent="0.3">
      <c r="A55" t="s">
        <v>38</v>
      </c>
      <c r="B55">
        <v>2024</v>
      </c>
      <c r="C55" t="s">
        <v>33</v>
      </c>
      <c r="D55">
        <v>4</v>
      </c>
      <c r="E55">
        <v>8</v>
      </c>
      <c r="F55">
        <v>0</v>
      </c>
      <c r="G55">
        <v>0</v>
      </c>
      <c r="H55">
        <v>2</v>
      </c>
      <c r="I55">
        <v>2</v>
      </c>
      <c r="J55">
        <v>50</v>
      </c>
      <c r="K55">
        <v>2</v>
      </c>
      <c r="L55">
        <f>_xlfn.XLOOKUP(C55, dim_teams[team_name], dim_teams[team_id], "Not found", 0)</f>
        <v>15</v>
      </c>
    </row>
    <row r="56" spans="1:12" x14ac:dyDescent="0.3">
      <c r="A56" t="s">
        <v>39</v>
      </c>
      <c r="B56">
        <v>2024</v>
      </c>
      <c r="C56" t="s">
        <v>19</v>
      </c>
      <c r="D56">
        <v>163</v>
      </c>
      <c r="E56">
        <v>105</v>
      </c>
      <c r="F56">
        <v>16</v>
      </c>
      <c r="G56">
        <v>8</v>
      </c>
      <c r="H56">
        <v>7</v>
      </c>
      <c r="I56">
        <v>7</v>
      </c>
      <c r="J56">
        <v>155.24</v>
      </c>
      <c r="K56">
        <v>23.29</v>
      </c>
      <c r="L56">
        <f>_xlfn.XLOOKUP(C56, dim_teams[team_name], dim_teams[team_id], "Not found", 0)</f>
        <v>1</v>
      </c>
    </row>
    <row r="57" spans="1:12" x14ac:dyDescent="0.3">
      <c r="A57" t="s">
        <v>39</v>
      </c>
      <c r="B57">
        <v>2025</v>
      </c>
      <c r="C57" t="s">
        <v>19</v>
      </c>
      <c r="D57">
        <v>300</v>
      </c>
      <c r="E57">
        <v>214</v>
      </c>
      <c r="F57">
        <v>30</v>
      </c>
      <c r="G57">
        <v>8</v>
      </c>
      <c r="H57">
        <v>9</v>
      </c>
      <c r="I57">
        <v>11</v>
      </c>
      <c r="J57">
        <v>140.19</v>
      </c>
      <c r="K57">
        <v>33.33</v>
      </c>
      <c r="L57">
        <f>_xlfn.XLOOKUP(C57, dim_teams[team_name], dim_teams[team_id], "Not found", 0)</f>
        <v>1</v>
      </c>
    </row>
    <row r="58" spans="1:12" x14ac:dyDescent="0.3">
      <c r="A58" t="s">
        <v>40</v>
      </c>
      <c r="B58">
        <v>2009</v>
      </c>
      <c r="C58" t="s">
        <v>17</v>
      </c>
      <c r="D58">
        <v>1</v>
      </c>
      <c r="E58">
        <v>3</v>
      </c>
      <c r="F58">
        <v>0</v>
      </c>
      <c r="G58">
        <v>0</v>
      </c>
      <c r="H58">
        <v>1</v>
      </c>
      <c r="I58">
        <v>2</v>
      </c>
      <c r="J58">
        <v>33.33</v>
      </c>
      <c r="K58">
        <v>1</v>
      </c>
      <c r="L58">
        <f>_xlfn.XLOOKUP(C58, dim_teams[team_name], dim_teams[team_id], "Not found", 0)</f>
        <v>5</v>
      </c>
    </row>
    <row r="59" spans="1:12" x14ac:dyDescent="0.3">
      <c r="A59" t="s">
        <v>40</v>
      </c>
      <c r="B59">
        <v>2011</v>
      </c>
      <c r="C59" t="s">
        <v>17</v>
      </c>
      <c r="D59">
        <v>1</v>
      </c>
      <c r="E59">
        <v>4</v>
      </c>
      <c r="F59">
        <v>0</v>
      </c>
      <c r="G59">
        <v>0</v>
      </c>
      <c r="H59">
        <v>2</v>
      </c>
      <c r="I59">
        <v>2</v>
      </c>
      <c r="J59">
        <v>25</v>
      </c>
      <c r="K59">
        <v>0.5</v>
      </c>
      <c r="L59">
        <f>_xlfn.XLOOKUP(C59, dim_teams[team_name], dim_teams[team_id], "Not found", 0)</f>
        <v>5</v>
      </c>
    </row>
    <row r="60" spans="1:12" x14ac:dyDescent="0.3">
      <c r="A60" t="s">
        <v>40</v>
      </c>
      <c r="B60">
        <v>2012</v>
      </c>
      <c r="C60" t="s">
        <v>17</v>
      </c>
      <c r="D60">
        <v>0</v>
      </c>
      <c r="E60">
        <v>2</v>
      </c>
      <c r="F60">
        <v>0</v>
      </c>
      <c r="G60">
        <v>0</v>
      </c>
      <c r="H60">
        <v>1</v>
      </c>
      <c r="I60">
        <v>1</v>
      </c>
      <c r="J60">
        <v>0</v>
      </c>
      <c r="K60">
        <v>0</v>
      </c>
      <c r="L60">
        <f>_xlfn.XLOOKUP(C60, dim_teams[team_name], dim_teams[team_id], "Not found", 0)</f>
        <v>5</v>
      </c>
    </row>
    <row r="61" spans="1:12" x14ac:dyDescent="0.3">
      <c r="A61" t="s">
        <v>41</v>
      </c>
      <c r="B61">
        <v>2008</v>
      </c>
      <c r="C61" t="s">
        <v>12</v>
      </c>
      <c r="D61">
        <v>161</v>
      </c>
      <c r="E61">
        <v>104</v>
      </c>
      <c r="F61">
        <v>15</v>
      </c>
      <c r="G61">
        <v>9</v>
      </c>
      <c r="H61">
        <v>2</v>
      </c>
      <c r="I61">
        <v>3</v>
      </c>
      <c r="J61">
        <v>154.81</v>
      </c>
      <c r="K61">
        <v>80.5</v>
      </c>
      <c r="L61">
        <f>_xlfn.XLOOKUP(C61, dim_teams[team_name], dim_teams[team_id], "Not found", 0)</f>
        <v>8</v>
      </c>
    </row>
    <row r="62" spans="1:12" x14ac:dyDescent="0.3">
      <c r="A62" t="s">
        <v>41</v>
      </c>
      <c r="B62">
        <v>2009</v>
      </c>
      <c r="C62" t="s">
        <v>12</v>
      </c>
      <c r="D62">
        <v>249</v>
      </c>
      <c r="E62">
        <v>163</v>
      </c>
      <c r="F62">
        <v>15</v>
      </c>
      <c r="G62">
        <v>11</v>
      </c>
      <c r="H62">
        <v>8</v>
      </c>
      <c r="I62">
        <v>8</v>
      </c>
      <c r="J62">
        <v>152.76</v>
      </c>
      <c r="K62">
        <v>31.12</v>
      </c>
      <c r="L62">
        <f>_xlfn.XLOOKUP(C62, dim_teams[team_name], dim_teams[team_id], "Not found", 0)</f>
        <v>8</v>
      </c>
    </row>
    <row r="63" spans="1:12" x14ac:dyDescent="0.3">
      <c r="A63" t="s">
        <v>41</v>
      </c>
      <c r="B63">
        <v>2010</v>
      </c>
      <c r="C63" t="s">
        <v>12</v>
      </c>
      <c r="D63">
        <v>429</v>
      </c>
      <c r="E63">
        <v>340</v>
      </c>
      <c r="F63">
        <v>35</v>
      </c>
      <c r="G63">
        <v>18</v>
      </c>
      <c r="H63">
        <v>13</v>
      </c>
      <c r="I63">
        <v>16</v>
      </c>
      <c r="J63">
        <v>126.18</v>
      </c>
      <c r="K63">
        <v>33</v>
      </c>
      <c r="L63">
        <f>_xlfn.XLOOKUP(C63, dim_teams[team_name], dim_teams[team_id], "Not found", 0)</f>
        <v>8</v>
      </c>
    </row>
    <row r="64" spans="1:12" x14ac:dyDescent="0.3">
      <c r="A64" t="s">
        <v>41</v>
      </c>
      <c r="B64">
        <v>2011</v>
      </c>
      <c r="C64" t="s">
        <v>23</v>
      </c>
      <c r="D64">
        <v>135</v>
      </c>
      <c r="E64">
        <v>138</v>
      </c>
      <c r="F64">
        <v>9</v>
      </c>
      <c r="G64">
        <v>3</v>
      </c>
      <c r="H64">
        <v>3</v>
      </c>
      <c r="I64">
        <v>9</v>
      </c>
      <c r="J64">
        <v>97.83</v>
      </c>
      <c r="K64">
        <v>45</v>
      </c>
      <c r="L64">
        <f>_xlfn.XLOOKUP(C64, dim_teams[team_name], dim_teams[team_id], "Not found", 0)</f>
        <v>7</v>
      </c>
    </row>
    <row r="65" spans="1:12" x14ac:dyDescent="0.3">
      <c r="A65" t="s">
        <v>42</v>
      </c>
      <c r="B65">
        <v>2022</v>
      </c>
      <c r="C65" t="s">
        <v>19</v>
      </c>
      <c r="D65">
        <v>4</v>
      </c>
      <c r="E65">
        <v>8</v>
      </c>
      <c r="F65">
        <v>1</v>
      </c>
      <c r="G65">
        <v>0</v>
      </c>
      <c r="H65">
        <v>1</v>
      </c>
      <c r="I65">
        <v>1</v>
      </c>
      <c r="J65">
        <v>50</v>
      </c>
      <c r="K65">
        <v>4</v>
      </c>
      <c r="L65">
        <f>_xlfn.XLOOKUP(C65, dim_teams[team_name], dim_teams[team_id], "Not found", 0)</f>
        <v>1</v>
      </c>
    </row>
    <row r="66" spans="1:12" x14ac:dyDescent="0.3">
      <c r="A66" t="s">
        <v>43</v>
      </c>
      <c r="B66">
        <v>2010</v>
      </c>
      <c r="C66" t="s">
        <v>17</v>
      </c>
      <c r="D66">
        <v>4</v>
      </c>
      <c r="E66">
        <v>7</v>
      </c>
      <c r="F66">
        <v>0</v>
      </c>
      <c r="G66">
        <v>0</v>
      </c>
      <c r="H66">
        <v>1</v>
      </c>
      <c r="I66">
        <v>2</v>
      </c>
      <c r="J66">
        <v>57.14</v>
      </c>
      <c r="K66">
        <v>4</v>
      </c>
      <c r="L66">
        <f>_xlfn.XLOOKUP(C66, dim_teams[team_name], dim_teams[team_id], "Not found", 0)</f>
        <v>5</v>
      </c>
    </row>
    <row r="67" spans="1:12" x14ac:dyDescent="0.3">
      <c r="A67" t="s">
        <v>44</v>
      </c>
      <c r="B67">
        <v>2016</v>
      </c>
      <c r="C67" t="s">
        <v>45</v>
      </c>
      <c r="D67">
        <v>0</v>
      </c>
      <c r="E67">
        <v>1</v>
      </c>
      <c r="F67">
        <v>0</v>
      </c>
      <c r="G67">
        <v>0</v>
      </c>
      <c r="H67">
        <v>1</v>
      </c>
      <c r="I67">
        <v>1</v>
      </c>
      <c r="J67">
        <v>0</v>
      </c>
      <c r="K67">
        <v>0</v>
      </c>
      <c r="L67">
        <f>_xlfn.XLOOKUP(C67, dim_teams[team_name], dim_teams[team_id], "Not found", 0)</f>
        <v>12</v>
      </c>
    </row>
    <row r="68" spans="1:12" x14ac:dyDescent="0.3">
      <c r="A68" t="s">
        <v>44</v>
      </c>
      <c r="B68">
        <v>2017</v>
      </c>
      <c r="C68" t="s">
        <v>46</v>
      </c>
      <c r="D68">
        <v>5</v>
      </c>
      <c r="E68">
        <v>7</v>
      </c>
      <c r="F68">
        <v>1</v>
      </c>
      <c r="G68">
        <v>0</v>
      </c>
      <c r="H68">
        <v>1</v>
      </c>
      <c r="I68">
        <v>1</v>
      </c>
      <c r="J68">
        <v>71.430000000000007</v>
      </c>
      <c r="K68">
        <v>5</v>
      </c>
      <c r="L68">
        <f>_xlfn.XLOOKUP(C68, dim_teams[team_name], dim_teams[team_id], "Not found", 0)</f>
        <v>14</v>
      </c>
    </row>
    <row r="69" spans="1:12" x14ac:dyDescent="0.3">
      <c r="A69" t="s">
        <v>44</v>
      </c>
      <c r="B69">
        <v>2023</v>
      </c>
      <c r="C69" t="s">
        <v>17</v>
      </c>
      <c r="D69">
        <v>10</v>
      </c>
      <c r="E69">
        <v>16</v>
      </c>
      <c r="F69">
        <v>0</v>
      </c>
      <c r="G69">
        <v>0</v>
      </c>
      <c r="H69">
        <v>3</v>
      </c>
      <c r="I69">
        <v>3</v>
      </c>
      <c r="J69">
        <v>62.5</v>
      </c>
      <c r="K69">
        <v>3.33</v>
      </c>
      <c r="L69">
        <f>_xlfn.XLOOKUP(C69, dim_teams[team_name], dim_teams[team_id], "Not found", 0)</f>
        <v>5</v>
      </c>
    </row>
    <row r="70" spans="1:12" x14ac:dyDescent="0.3">
      <c r="A70" t="s">
        <v>47</v>
      </c>
      <c r="B70">
        <v>2009</v>
      </c>
      <c r="C70" t="s">
        <v>12</v>
      </c>
      <c r="D70">
        <v>67</v>
      </c>
      <c r="E70">
        <v>80</v>
      </c>
      <c r="F70">
        <v>5</v>
      </c>
      <c r="G70">
        <v>0</v>
      </c>
      <c r="H70">
        <v>4</v>
      </c>
      <c r="I70">
        <v>6</v>
      </c>
      <c r="J70">
        <v>83.75</v>
      </c>
      <c r="K70">
        <v>16.75</v>
      </c>
      <c r="L70">
        <f>_xlfn.XLOOKUP(C70, dim_teams[team_name], dim_teams[team_id], "Not found", 0)</f>
        <v>8</v>
      </c>
    </row>
    <row r="71" spans="1:12" x14ac:dyDescent="0.3">
      <c r="A71" t="s">
        <v>47</v>
      </c>
      <c r="B71">
        <v>2010</v>
      </c>
      <c r="C71" t="s">
        <v>12</v>
      </c>
      <c r="D71">
        <v>2</v>
      </c>
      <c r="E71">
        <v>4</v>
      </c>
      <c r="F71">
        <v>0</v>
      </c>
      <c r="G71">
        <v>0</v>
      </c>
      <c r="H71">
        <v>1</v>
      </c>
      <c r="I71">
        <v>1</v>
      </c>
      <c r="J71">
        <v>50</v>
      </c>
      <c r="K71">
        <v>2</v>
      </c>
      <c r="L71">
        <f>_xlfn.XLOOKUP(C71, dim_teams[team_name], dim_teams[team_id], "Not found", 0)</f>
        <v>8</v>
      </c>
    </row>
    <row r="72" spans="1:12" x14ac:dyDescent="0.3">
      <c r="A72" t="s">
        <v>48</v>
      </c>
      <c r="B72">
        <v>2011</v>
      </c>
      <c r="C72" t="s">
        <v>17</v>
      </c>
      <c r="D72">
        <v>1</v>
      </c>
      <c r="E72">
        <v>3</v>
      </c>
      <c r="F72">
        <v>0</v>
      </c>
      <c r="G72">
        <v>0</v>
      </c>
      <c r="H72">
        <v>0</v>
      </c>
      <c r="I72">
        <v>1</v>
      </c>
      <c r="J72">
        <v>33.33</v>
      </c>
      <c r="L72">
        <f>_xlfn.XLOOKUP(C72, dim_teams[team_name], dim_teams[team_id], "Not found", 0)</f>
        <v>5</v>
      </c>
    </row>
    <row r="73" spans="1:12" x14ac:dyDescent="0.3">
      <c r="A73" t="s">
        <v>48</v>
      </c>
      <c r="B73">
        <v>2012</v>
      </c>
      <c r="C73" t="s">
        <v>17</v>
      </c>
      <c r="D73">
        <v>11</v>
      </c>
      <c r="E73">
        <v>8</v>
      </c>
      <c r="F73">
        <v>2</v>
      </c>
      <c r="G73">
        <v>0</v>
      </c>
      <c r="H73">
        <v>1</v>
      </c>
      <c r="I73">
        <v>2</v>
      </c>
      <c r="J73">
        <v>137.5</v>
      </c>
      <c r="K73">
        <v>11</v>
      </c>
      <c r="L73">
        <f>_xlfn.XLOOKUP(C73, dim_teams[team_name], dim_teams[team_id], "Not found", 0)</f>
        <v>5</v>
      </c>
    </row>
    <row r="74" spans="1:12" x14ac:dyDescent="0.3">
      <c r="A74" t="s">
        <v>49</v>
      </c>
      <c r="B74">
        <v>2010</v>
      </c>
      <c r="C74" t="s">
        <v>17</v>
      </c>
      <c r="D74">
        <v>183</v>
      </c>
      <c r="E74">
        <v>166</v>
      </c>
      <c r="F74">
        <v>16</v>
      </c>
      <c r="G74">
        <v>4</v>
      </c>
      <c r="H74">
        <v>10</v>
      </c>
      <c r="I74">
        <v>10</v>
      </c>
      <c r="J74">
        <v>110.24</v>
      </c>
      <c r="K74">
        <v>18.3</v>
      </c>
      <c r="L74">
        <f>_xlfn.XLOOKUP(C74, dim_teams[team_name], dim_teams[team_id], "Not found", 0)</f>
        <v>5</v>
      </c>
    </row>
    <row r="75" spans="1:12" x14ac:dyDescent="0.3">
      <c r="A75" t="s">
        <v>49</v>
      </c>
      <c r="B75">
        <v>2011</v>
      </c>
      <c r="C75" t="s">
        <v>37</v>
      </c>
      <c r="D75">
        <v>10</v>
      </c>
      <c r="E75">
        <v>17</v>
      </c>
      <c r="F75">
        <v>2</v>
      </c>
      <c r="G75">
        <v>0</v>
      </c>
      <c r="H75">
        <v>2</v>
      </c>
      <c r="I75">
        <v>2</v>
      </c>
      <c r="J75">
        <v>58.82</v>
      </c>
      <c r="K75">
        <v>5</v>
      </c>
      <c r="L75">
        <f>_xlfn.XLOOKUP(C75, dim_teams[team_name], dim_teams[team_id], "Not found", 0)</f>
        <v>10</v>
      </c>
    </row>
    <row r="76" spans="1:12" x14ac:dyDescent="0.3">
      <c r="A76" t="s">
        <v>49</v>
      </c>
      <c r="B76">
        <v>2012</v>
      </c>
      <c r="C76" t="s">
        <v>12</v>
      </c>
      <c r="D76">
        <v>24</v>
      </c>
      <c r="E76">
        <v>26</v>
      </c>
      <c r="F76">
        <v>1</v>
      </c>
      <c r="G76">
        <v>1</v>
      </c>
      <c r="H76">
        <v>2</v>
      </c>
      <c r="I76">
        <v>3</v>
      </c>
      <c r="J76">
        <v>92.31</v>
      </c>
      <c r="K76">
        <v>12</v>
      </c>
      <c r="L76">
        <f>_xlfn.XLOOKUP(C76, dim_teams[team_name], dim_teams[team_id], "Not found", 0)</f>
        <v>8</v>
      </c>
    </row>
    <row r="77" spans="1:12" x14ac:dyDescent="0.3">
      <c r="A77" t="s">
        <v>50</v>
      </c>
      <c r="B77">
        <v>2024</v>
      </c>
      <c r="C77" t="s">
        <v>15</v>
      </c>
      <c r="D77">
        <v>9</v>
      </c>
      <c r="E77">
        <v>8</v>
      </c>
      <c r="F77">
        <v>2</v>
      </c>
      <c r="G77">
        <v>0</v>
      </c>
      <c r="H77">
        <v>2</v>
      </c>
      <c r="I77">
        <v>2</v>
      </c>
      <c r="J77">
        <v>112.5</v>
      </c>
      <c r="K77">
        <v>4.5</v>
      </c>
      <c r="L77">
        <f>_xlfn.XLOOKUP(C77, dim_teams[team_name], dim_teams[team_id], "Not found", 0)</f>
        <v>17</v>
      </c>
    </row>
    <row r="78" spans="1:12" x14ac:dyDescent="0.3">
      <c r="A78" t="s">
        <v>51</v>
      </c>
      <c r="B78">
        <v>2008</v>
      </c>
      <c r="C78" t="s">
        <v>21</v>
      </c>
      <c r="D78">
        <v>9</v>
      </c>
      <c r="E78">
        <v>10</v>
      </c>
      <c r="F78">
        <v>1</v>
      </c>
      <c r="G78">
        <v>0</v>
      </c>
      <c r="H78">
        <v>1</v>
      </c>
      <c r="I78">
        <v>1</v>
      </c>
      <c r="J78">
        <v>90</v>
      </c>
      <c r="K78">
        <v>9</v>
      </c>
      <c r="L78">
        <f>_xlfn.XLOOKUP(C78, dim_teams[team_name], dim_teams[team_id], "Not found", 0)</f>
        <v>2</v>
      </c>
    </row>
    <row r="79" spans="1:12" x14ac:dyDescent="0.3">
      <c r="A79" t="s">
        <v>52</v>
      </c>
      <c r="B79">
        <v>2008</v>
      </c>
      <c r="C79" t="s">
        <v>19</v>
      </c>
      <c r="D79">
        <v>54</v>
      </c>
      <c r="E79">
        <v>45</v>
      </c>
      <c r="F79">
        <v>5</v>
      </c>
      <c r="G79">
        <v>2</v>
      </c>
      <c r="H79">
        <v>4</v>
      </c>
      <c r="I79">
        <v>6</v>
      </c>
      <c r="J79">
        <v>120</v>
      </c>
      <c r="K79">
        <v>13.5</v>
      </c>
      <c r="L79">
        <f>_xlfn.XLOOKUP(C79, dim_teams[team_name], dim_teams[team_id], "Not found", 0)</f>
        <v>1</v>
      </c>
    </row>
    <row r="80" spans="1:12" x14ac:dyDescent="0.3">
      <c r="A80" t="s">
        <v>52</v>
      </c>
      <c r="B80">
        <v>2009</v>
      </c>
      <c r="C80" t="s">
        <v>19</v>
      </c>
      <c r="D80">
        <v>66</v>
      </c>
      <c r="E80">
        <v>57</v>
      </c>
      <c r="F80">
        <v>3</v>
      </c>
      <c r="G80">
        <v>3</v>
      </c>
      <c r="H80">
        <v>2</v>
      </c>
      <c r="I80">
        <v>5</v>
      </c>
      <c r="J80">
        <v>115.79</v>
      </c>
      <c r="K80">
        <v>33</v>
      </c>
      <c r="L80">
        <f>_xlfn.XLOOKUP(C80, dim_teams[team_name], dim_teams[team_id], "Not found", 0)</f>
        <v>1</v>
      </c>
    </row>
    <row r="81" spans="1:12" x14ac:dyDescent="0.3">
      <c r="A81" t="s">
        <v>52</v>
      </c>
      <c r="B81">
        <v>2010</v>
      </c>
      <c r="C81" t="s">
        <v>19</v>
      </c>
      <c r="D81">
        <v>40</v>
      </c>
      <c r="E81">
        <v>28</v>
      </c>
      <c r="F81">
        <v>4</v>
      </c>
      <c r="G81">
        <v>0</v>
      </c>
      <c r="H81">
        <v>1</v>
      </c>
      <c r="I81">
        <v>4</v>
      </c>
      <c r="J81">
        <v>142.86000000000001</v>
      </c>
      <c r="K81">
        <v>40</v>
      </c>
      <c r="L81">
        <f>_xlfn.XLOOKUP(C81, dim_teams[team_name], dim_teams[team_id], "Not found", 0)</f>
        <v>1</v>
      </c>
    </row>
    <row r="82" spans="1:12" x14ac:dyDescent="0.3">
      <c r="A82" t="s">
        <v>52</v>
      </c>
      <c r="B82">
        <v>2011</v>
      </c>
      <c r="C82" t="s">
        <v>32</v>
      </c>
      <c r="D82">
        <v>7</v>
      </c>
      <c r="E82">
        <v>5</v>
      </c>
      <c r="F82">
        <v>1</v>
      </c>
      <c r="G82">
        <v>0</v>
      </c>
      <c r="H82">
        <v>0</v>
      </c>
      <c r="I82">
        <v>1</v>
      </c>
      <c r="J82">
        <v>140</v>
      </c>
      <c r="L82">
        <f>_xlfn.XLOOKUP(C82, dim_teams[team_name], dim_teams[team_id], "Not found", 0)</f>
        <v>6</v>
      </c>
    </row>
    <row r="83" spans="1:12" x14ac:dyDescent="0.3">
      <c r="A83" t="s">
        <v>52</v>
      </c>
      <c r="B83">
        <v>2013</v>
      </c>
      <c r="C83" t="s">
        <v>32</v>
      </c>
      <c r="D83">
        <v>12</v>
      </c>
      <c r="E83">
        <v>16</v>
      </c>
      <c r="F83">
        <v>0</v>
      </c>
      <c r="G83">
        <v>0</v>
      </c>
      <c r="H83">
        <v>1</v>
      </c>
      <c r="I83">
        <v>2</v>
      </c>
      <c r="J83">
        <v>75</v>
      </c>
      <c r="K83">
        <v>12</v>
      </c>
      <c r="L83">
        <f>_xlfn.XLOOKUP(C83, dim_teams[team_name], dim_teams[team_id], "Not found", 0)</f>
        <v>6</v>
      </c>
    </row>
    <row r="84" spans="1:12" x14ac:dyDescent="0.3">
      <c r="A84" t="s">
        <v>53</v>
      </c>
      <c r="B84">
        <v>2010</v>
      </c>
      <c r="C84" t="s">
        <v>54</v>
      </c>
      <c r="D84">
        <v>42</v>
      </c>
      <c r="E84">
        <v>42</v>
      </c>
      <c r="F84">
        <v>5</v>
      </c>
      <c r="G84">
        <v>1</v>
      </c>
      <c r="H84">
        <v>2</v>
      </c>
      <c r="I84">
        <v>3</v>
      </c>
      <c r="J84">
        <v>100</v>
      </c>
      <c r="K84">
        <v>21</v>
      </c>
      <c r="L84">
        <f>_xlfn.XLOOKUP(C84, dim_teams[team_name], dim_teams[team_id], "Not found", 0)</f>
        <v>4</v>
      </c>
    </row>
    <row r="85" spans="1:12" x14ac:dyDescent="0.3">
      <c r="A85" t="s">
        <v>55</v>
      </c>
      <c r="B85">
        <v>2008</v>
      </c>
      <c r="C85" t="s">
        <v>19</v>
      </c>
      <c r="D85">
        <v>2</v>
      </c>
      <c r="E85">
        <v>4</v>
      </c>
      <c r="F85">
        <v>0</v>
      </c>
      <c r="G85">
        <v>0</v>
      </c>
      <c r="H85">
        <v>1</v>
      </c>
      <c r="I85">
        <v>2</v>
      </c>
      <c r="J85">
        <v>50</v>
      </c>
      <c r="K85">
        <v>2</v>
      </c>
      <c r="L85">
        <f>_xlfn.XLOOKUP(C85, dim_teams[team_name], dim_teams[team_id], "Not found", 0)</f>
        <v>1</v>
      </c>
    </row>
    <row r="86" spans="1:12" x14ac:dyDescent="0.3">
      <c r="A86" t="s">
        <v>55</v>
      </c>
      <c r="B86">
        <v>2009</v>
      </c>
      <c r="C86" t="s">
        <v>19</v>
      </c>
      <c r="D86">
        <v>2</v>
      </c>
      <c r="E86">
        <v>3</v>
      </c>
      <c r="F86">
        <v>0</v>
      </c>
      <c r="G86">
        <v>0</v>
      </c>
      <c r="H86">
        <v>2</v>
      </c>
      <c r="I86">
        <v>2</v>
      </c>
      <c r="J86">
        <v>66.67</v>
      </c>
      <c r="K86">
        <v>1</v>
      </c>
      <c r="L86">
        <f>_xlfn.XLOOKUP(C86, dim_teams[team_name], dim_teams[team_id], "Not found", 0)</f>
        <v>1</v>
      </c>
    </row>
    <row r="87" spans="1:12" x14ac:dyDescent="0.3">
      <c r="A87" t="s">
        <v>55</v>
      </c>
      <c r="B87">
        <v>2010</v>
      </c>
      <c r="C87" t="s">
        <v>19</v>
      </c>
      <c r="D87">
        <v>0</v>
      </c>
      <c r="E87">
        <v>1</v>
      </c>
      <c r="F87">
        <v>0</v>
      </c>
      <c r="G87">
        <v>0</v>
      </c>
      <c r="H87">
        <v>1</v>
      </c>
      <c r="I87">
        <v>1</v>
      </c>
      <c r="J87">
        <v>0</v>
      </c>
      <c r="K87">
        <v>0</v>
      </c>
      <c r="L87">
        <f>_xlfn.XLOOKUP(C87, dim_teams[team_name], dim_teams[team_id], "Not found", 0)</f>
        <v>1</v>
      </c>
    </row>
    <row r="88" spans="1:12" x14ac:dyDescent="0.3">
      <c r="A88" t="s">
        <v>55</v>
      </c>
      <c r="B88">
        <v>2011</v>
      </c>
      <c r="C88" t="s">
        <v>32</v>
      </c>
      <c r="D88">
        <v>0</v>
      </c>
      <c r="E88">
        <v>5</v>
      </c>
      <c r="F88">
        <v>0</v>
      </c>
      <c r="G88">
        <v>0</v>
      </c>
      <c r="H88">
        <v>1</v>
      </c>
      <c r="I88">
        <v>1</v>
      </c>
      <c r="J88">
        <v>0</v>
      </c>
      <c r="K88">
        <v>0</v>
      </c>
      <c r="L88">
        <f>_xlfn.XLOOKUP(C88, dim_teams[team_name], dim_teams[team_id], "Not found", 0)</f>
        <v>6</v>
      </c>
    </row>
    <row r="89" spans="1:12" x14ac:dyDescent="0.3">
      <c r="A89" t="s">
        <v>55</v>
      </c>
      <c r="B89">
        <v>2012</v>
      </c>
      <c r="C89" t="s">
        <v>37</v>
      </c>
      <c r="D89">
        <v>2</v>
      </c>
      <c r="E89">
        <v>5</v>
      </c>
      <c r="F89">
        <v>0</v>
      </c>
      <c r="G89">
        <v>0</v>
      </c>
      <c r="H89">
        <v>0</v>
      </c>
      <c r="I89">
        <v>1</v>
      </c>
      <c r="J89">
        <v>40</v>
      </c>
      <c r="L89">
        <f>_xlfn.XLOOKUP(C89, dim_teams[team_name], dim_teams[team_id], "Not found", 0)</f>
        <v>10</v>
      </c>
    </row>
    <row r="90" spans="1:12" x14ac:dyDescent="0.3">
      <c r="A90" t="s">
        <v>55</v>
      </c>
      <c r="B90">
        <v>2013</v>
      </c>
      <c r="C90" t="s">
        <v>37</v>
      </c>
      <c r="D90">
        <v>9</v>
      </c>
      <c r="E90">
        <v>11</v>
      </c>
      <c r="F90">
        <v>1</v>
      </c>
      <c r="G90">
        <v>0</v>
      </c>
      <c r="H90">
        <v>2</v>
      </c>
      <c r="I90">
        <v>5</v>
      </c>
      <c r="J90">
        <v>81.819999999999993</v>
      </c>
      <c r="K90">
        <v>4.5</v>
      </c>
      <c r="L90">
        <f>_xlfn.XLOOKUP(C90, dim_teams[team_name], dim_teams[team_id], "Not found", 0)</f>
        <v>10</v>
      </c>
    </row>
    <row r="91" spans="1:12" x14ac:dyDescent="0.3">
      <c r="A91" t="s">
        <v>55</v>
      </c>
      <c r="B91">
        <v>2014</v>
      </c>
      <c r="C91" t="s">
        <v>21</v>
      </c>
      <c r="D91">
        <v>4</v>
      </c>
      <c r="E91">
        <v>12</v>
      </c>
      <c r="F91">
        <v>0</v>
      </c>
      <c r="G91">
        <v>0</v>
      </c>
      <c r="H91">
        <v>1</v>
      </c>
      <c r="I91">
        <v>3</v>
      </c>
      <c r="J91">
        <v>33.33</v>
      </c>
      <c r="K91">
        <v>4</v>
      </c>
      <c r="L91">
        <f>_xlfn.XLOOKUP(C91, dim_teams[team_name], dim_teams[team_id], "Not found", 0)</f>
        <v>2</v>
      </c>
    </row>
    <row r="92" spans="1:12" x14ac:dyDescent="0.3">
      <c r="A92" t="s">
        <v>55</v>
      </c>
      <c r="B92">
        <v>2017</v>
      </c>
      <c r="C92" t="s">
        <v>46</v>
      </c>
      <c r="D92">
        <v>7</v>
      </c>
      <c r="E92">
        <v>7</v>
      </c>
      <c r="F92">
        <v>1</v>
      </c>
      <c r="G92">
        <v>0</v>
      </c>
      <c r="H92">
        <v>1</v>
      </c>
      <c r="I92">
        <v>1</v>
      </c>
      <c r="J92">
        <v>100</v>
      </c>
      <c r="K92">
        <v>7</v>
      </c>
      <c r="L92">
        <f>_xlfn.XLOOKUP(C92, dim_teams[team_name], dim_teams[team_id], "Not found", 0)</f>
        <v>14</v>
      </c>
    </row>
    <row r="93" spans="1:12" x14ac:dyDescent="0.3">
      <c r="A93" t="s">
        <v>56</v>
      </c>
      <c r="B93">
        <v>2009</v>
      </c>
      <c r="C93" t="s">
        <v>32</v>
      </c>
      <c r="D93">
        <v>3</v>
      </c>
      <c r="E93">
        <v>4</v>
      </c>
      <c r="F93">
        <v>0</v>
      </c>
      <c r="G93">
        <v>0</v>
      </c>
      <c r="H93">
        <v>1</v>
      </c>
      <c r="I93">
        <v>1</v>
      </c>
      <c r="J93">
        <v>75</v>
      </c>
      <c r="K93">
        <v>3</v>
      </c>
      <c r="L93">
        <f>_xlfn.XLOOKUP(C93, dim_teams[team_name], dim_teams[team_id], "Not found", 0)</f>
        <v>6</v>
      </c>
    </row>
    <row r="94" spans="1:12" x14ac:dyDescent="0.3">
      <c r="A94" t="s">
        <v>56</v>
      </c>
      <c r="B94">
        <v>2010</v>
      </c>
      <c r="C94" t="s">
        <v>32</v>
      </c>
      <c r="D94">
        <v>65</v>
      </c>
      <c r="E94">
        <v>52</v>
      </c>
      <c r="F94">
        <v>3</v>
      </c>
      <c r="G94">
        <v>2</v>
      </c>
      <c r="H94">
        <v>0</v>
      </c>
      <c r="I94">
        <v>3</v>
      </c>
      <c r="J94">
        <v>125</v>
      </c>
      <c r="L94">
        <f>_xlfn.XLOOKUP(C94, dim_teams[team_name], dim_teams[team_id], "Not found", 0)</f>
        <v>6</v>
      </c>
    </row>
    <row r="95" spans="1:12" x14ac:dyDescent="0.3">
      <c r="A95" t="s">
        <v>56</v>
      </c>
      <c r="B95">
        <v>2011</v>
      </c>
      <c r="C95" t="s">
        <v>32</v>
      </c>
      <c r="D95">
        <v>8</v>
      </c>
      <c r="E95">
        <v>7</v>
      </c>
      <c r="F95">
        <v>0</v>
      </c>
      <c r="G95">
        <v>0</v>
      </c>
      <c r="H95">
        <v>1</v>
      </c>
      <c r="I95">
        <v>1</v>
      </c>
      <c r="J95">
        <v>114.29</v>
      </c>
      <c r="K95">
        <v>8</v>
      </c>
      <c r="L95">
        <f>_xlfn.XLOOKUP(C95, dim_teams[team_name], dim_teams[team_id], "Not found", 0)</f>
        <v>6</v>
      </c>
    </row>
    <row r="96" spans="1:12" x14ac:dyDescent="0.3">
      <c r="A96" t="s">
        <v>56</v>
      </c>
      <c r="B96">
        <v>2012</v>
      </c>
      <c r="C96" t="s">
        <v>21</v>
      </c>
      <c r="D96">
        <v>47</v>
      </c>
      <c r="E96">
        <v>35</v>
      </c>
      <c r="F96">
        <v>6</v>
      </c>
      <c r="G96">
        <v>2</v>
      </c>
      <c r="H96">
        <v>2</v>
      </c>
      <c r="I96">
        <v>3</v>
      </c>
      <c r="J96">
        <v>134.29</v>
      </c>
      <c r="K96">
        <v>23.5</v>
      </c>
      <c r="L96">
        <f>_xlfn.XLOOKUP(C96, dim_teams[team_name], dim_teams[team_id], "Not found", 0)</f>
        <v>2</v>
      </c>
    </row>
    <row r="97" spans="1:12" x14ac:dyDescent="0.3">
      <c r="A97" t="s">
        <v>56</v>
      </c>
      <c r="B97">
        <v>2013</v>
      </c>
      <c r="C97" t="s">
        <v>21</v>
      </c>
      <c r="D97">
        <v>0</v>
      </c>
      <c r="E97">
        <v>2</v>
      </c>
      <c r="F97">
        <v>0</v>
      </c>
      <c r="G97">
        <v>0</v>
      </c>
      <c r="H97">
        <v>1</v>
      </c>
      <c r="I97">
        <v>1</v>
      </c>
      <c r="J97">
        <v>0</v>
      </c>
      <c r="K97">
        <v>0</v>
      </c>
      <c r="L97">
        <f>_xlfn.XLOOKUP(C97, dim_teams[team_name], dim_teams[team_id], "Not found", 0)</f>
        <v>2</v>
      </c>
    </row>
    <row r="98" spans="1:12" x14ac:dyDescent="0.3">
      <c r="A98" t="s">
        <v>57</v>
      </c>
      <c r="B98">
        <v>2008</v>
      </c>
      <c r="C98" t="s">
        <v>32</v>
      </c>
      <c r="D98">
        <v>95</v>
      </c>
      <c r="E98">
        <v>98</v>
      </c>
      <c r="F98">
        <v>5</v>
      </c>
      <c r="G98">
        <v>1</v>
      </c>
      <c r="H98">
        <v>4</v>
      </c>
      <c r="I98">
        <v>6</v>
      </c>
      <c r="J98">
        <v>96.94</v>
      </c>
      <c r="K98">
        <v>23.75</v>
      </c>
      <c r="L98">
        <f>_xlfn.XLOOKUP(C98, dim_teams[team_name], dim_teams[team_id], "Not found", 0)</f>
        <v>6</v>
      </c>
    </row>
    <row r="99" spans="1:12" x14ac:dyDescent="0.3">
      <c r="A99" t="s">
        <v>57</v>
      </c>
      <c r="B99">
        <v>2009</v>
      </c>
      <c r="C99" t="s">
        <v>32</v>
      </c>
      <c r="D99">
        <v>465</v>
      </c>
      <c r="E99">
        <v>354</v>
      </c>
      <c r="F99">
        <v>39</v>
      </c>
      <c r="G99">
        <v>12</v>
      </c>
      <c r="H99">
        <v>9</v>
      </c>
      <c r="I99">
        <v>13</v>
      </c>
      <c r="J99">
        <v>131.36000000000001</v>
      </c>
      <c r="K99">
        <v>51.67</v>
      </c>
      <c r="L99">
        <f>_xlfn.XLOOKUP(C99, dim_teams[team_name], dim_teams[team_id], "Not found", 0)</f>
        <v>6</v>
      </c>
    </row>
    <row r="100" spans="1:12" x14ac:dyDescent="0.3">
      <c r="A100" t="s">
        <v>57</v>
      </c>
      <c r="B100">
        <v>2010</v>
      </c>
      <c r="C100" t="s">
        <v>32</v>
      </c>
      <c r="D100">
        <v>111</v>
      </c>
      <c r="E100">
        <v>119</v>
      </c>
      <c r="F100">
        <v>7</v>
      </c>
      <c r="G100">
        <v>0</v>
      </c>
      <c r="H100">
        <v>7</v>
      </c>
      <c r="I100">
        <v>7</v>
      </c>
      <c r="J100">
        <v>93.28</v>
      </c>
      <c r="K100">
        <v>15.86</v>
      </c>
      <c r="L100">
        <f>_xlfn.XLOOKUP(C100, dim_teams[team_name], dim_teams[team_id], "Not found", 0)</f>
        <v>6</v>
      </c>
    </row>
    <row r="101" spans="1:12" x14ac:dyDescent="0.3">
      <c r="A101" t="s">
        <v>57</v>
      </c>
      <c r="B101">
        <v>2011</v>
      </c>
      <c r="C101" t="s">
        <v>21</v>
      </c>
      <c r="D101">
        <v>312</v>
      </c>
      <c r="E101">
        <v>242</v>
      </c>
      <c r="F101">
        <v>21</v>
      </c>
      <c r="G101">
        <v>14</v>
      </c>
      <c r="H101">
        <v>8</v>
      </c>
      <c r="I101">
        <v>13</v>
      </c>
      <c r="J101">
        <v>128.93</v>
      </c>
      <c r="K101">
        <v>39</v>
      </c>
      <c r="L101">
        <f>_xlfn.XLOOKUP(C101, dim_teams[team_name], dim_teams[team_id], "Not found", 0)</f>
        <v>2</v>
      </c>
    </row>
    <row r="102" spans="1:12" x14ac:dyDescent="0.3">
      <c r="A102" t="s">
        <v>57</v>
      </c>
      <c r="B102">
        <v>2012</v>
      </c>
      <c r="C102" t="s">
        <v>21</v>
      </c>
      <c r="D102">
        <v>319</v>
      </c>
      <c r="E102">
        <v>197</v>
      </c>
      <c r="F102">
        <v>26</v>
      </c>
      <c r="G102">
        <v>15</v>
      </c>
      <c r="H102">
        <v>8</v>
      </c>
      <c r="I102">
        <v>13</v>
      </c>
      <c r="J102">
        <v>161.93</v>
      </c>
      <c r="K102">
        <v>39.880000000000003</v>
      </c>
      <c r="L102">
        <f>_xlfn.XLOOKUP(C102, dim_teams[team_name], dim_teams[team_id], "Not found", 0)</f>
        <v>2</v>
      </c>
    </row>
    <row r="103" spans="1:12" x14ac:dyDescent="0.3">
      <c r="A103" t="s">
        <v>57</v>
      </c>
      <c r="B103">
        <v>2013</v>
      </c>
      <c r="C103" t="s">
        <v>21</v>
      </c>
      <c r="D103">
        <v>373</v>
      </c>
      <c r="E103">
        <v>223</v>
      </c>
      <c r="F103">
        <v>34</v>
      </c>
      <c r="G103">
        <v>17</v>
      </c>
      <c r="H103">
        <v>10</v>
      </c>
      <c r="I103">
        <v>14</v>
      </c>
      <c r="J103">
        <v>167.26</v>
      </c>
      <c r="K103">
        <v>37.299999999999997</v>
      </c>
      <c r="L103">
        <f>_xlfn.XLOOKUP(C103, dim_teams[team_name], dim_teams[team_id], "Not found", 0)</f>
        <v>2</v>
      </c>
    </row>
    <row r="104" spans="1:12" x14ac:dyDescent="0.3">
      <c r="A104" t="s">
        <v>57</v>
      </c>
      <c r="B104">
        <v>2014</v>
      </c>
      <c r="C104" t="s">
        <v>21</v>
      </c>
      <c r="D104">
        <v>395</v>
      </c>
      <c r="E104">
        <v>248</v>
      </c>
      <c r="F104">
        <v>26</v>
      </c>
      <c r="G104">
        <v>24</v>
      </c>
      <c r="H104">
        <v>11</v>
      </c>
      <c r="I104">
        <v>13</v>
      </c>
      <c r="J104">
        <v>159.27000000000001</v>
      </c>
      <c r="K104">
        <v>35.909999999999997</v>
      </c>
      <c r="L104">
        <f>_xlfn.XLOOKUP(C104, dim_teams[team_name], dim_teams[team_id], "Not found", 0)</f>
        <v>2</v>
      </c>
    </row>
    <row r="105" spans="1:12" x14ac:dyDescent="0.3">
      <c r="A105" t="s">
        <v>57</v>
      </c>
      <c r="B105">
        <v>2015</v>
      </c>
      <c r="C105" t="s">
        <v>21</v>
      </c>
      <c r="D105">
        <v>513</v>
      </c>
      <c r="E105">
        <v>291</v>
      </c>
      <c r="F105">
        <v>60</v>
      </c>
      <c r="G105">
        <v>22</v>
      </c>
      <c r="H105">
        <v>8</v>
      </c>
      <c r="I105">
        <v>14</v>
      </c>
      <c r="J105">
        <v>176.29</v>
      </c>
      <c r="K105">
        <v>64.12</v>
      </c>
      <c r="L105">
        <f>_xlfn.XLOOKUP(C105, dim_teams[team_name], dim_teams[team_id], "Not found", 0)</f>
        <v>2</v>
      </c>
    </row>
    <row r="106" spans="1:12" x14ac:dyDescent="0.3">
      <c r="A106" t="s">
        <v>57</v>
      </c>
      <c r="B106">
        <v>2016</v>
      </c>
      <c r="C106" t="s">
        <v>21</v>
      </c>
      <c r="D106">
        <v>687</v>
      </c>
      <c r="E106">
        <v>405</v>
      </c>
      <c r="F106">
        <v>57</v>
      </c>
      <c r="G106">
        <v>37</v>
      </c>
      <c r="H106">
        <v>13</v>
      </c>
      <c r="I106">
        <v>16</v>
      </c>
      <c r="J106">
        <v>169.63</v>
      </c>
      <c r="K106">
        <v>52.85</v>
      </c>
      <c r="L106">
        <f>_xlfn.XLOOKUP(C106, dim_teams[team_name], dim_teams[team_id], "Not found", 0)</f>
        <v>2</v>
      </c>
    </row>
    <row r="107" spans="1:12" x14ac:dyDescent="0.3">
      <c r="A107" t="s">
        <v>57</v>
      </c>
      <c r="B107">
        <v>2017</v>
      </c>
      <c r="C107" t="s">
        <v>21</v>
      </c>
      <c r="D107">
        <v>216</v>
      </c>
      <c r="E107">
        <v>163</v>
      </c>
      <c r="F107">
        <v>12</v>
      </c>
      <c r="G107">
        <v>16</v>
      </c>
      <c r="H107">
        <v>7</v>
      </c>
      <c r="I107">
        <v>9</v>
      </c>
      <c r="J107">
        <v>132.52000000000001</v>
      </c>
      <c r="K107">
        <v>30.86</v>
      </c>
      <c r="L107">
        <f>_xlfn.XLOOKUP(C107, dim_teams[team_name], dim_teams[team_id], "Not found", 0)</f>
        <v>2</v>
      </c>
    </row>
    <row r="108" spans="1:12" x14ac:dyDescent="0.3">
      <c r="A108" t="s">
        <v>57</v>
      </c>
      <c r="B108">
        <v>2018</v>
      </c>
      <c r="C108" t="s">
        <v>21</v>
      </c>
      <c r="D108">
        <v>480</v>
      </c>
      <c r="E108">
        <v>275</v>
      </c>
      <c r="F108">
        <v>39</v>
      </c>
      <c r="G108">
        <v>30</v>
      </c>
      <c r="H108">
        <v>9</v>
      </c>
      <c r="I108">
        <v>11</v>
      </c>
      <c r="J108">
        <v>174.55</v>
      </c>
      <c r="K108">
        <v>53.33</v>
      </c>
      <c r="L108">
        <f>_xlfn.XLOOKUP(C108, dim_teams[team_name], dim_teams[team_id], "Not found", 0)</f>
        <v>2</v>
      </c>
    </row>
    <row r="109" spans="1:12" x14ac:dyDescent="0.3">
      <c r="A109" t="s">
        <v>57</v>
      </c>
      <c r="B109">
        <v>2019</v>
      </c>
      <c r="C109" t="s">
        <v>21</v>
      </c>
      <c r="D109">
        <v>442</v>
      </c>
      <c r="E109">
        <v>287</v>
      </c>
      <c r="F109">
        <v>31</v>
      </c>
      <c r="G109">
        <v>26</v>
      </c>
      <c r="H109">
        <v>10</v>
      </c>
      <c r="I109">
        <v>13</v>
      </c>
      <c r="J109">
        <v>154.01</v>
      </c>
      <c r="K109">
        <v>44.2</v>
      </c>
      <c r="L109">
        <f>_xlfn.XLOOKUP(C109, dim_teams[team_name], dim_teams[team_id], "Not found", 0)</f>
        <v>2</v>
      </c>
    </row>
    <row r="110" spans="1:12" x14ac:dyDescent="0.3">
      <c r="A110" t="s">
        <v>57</v>
      </c>
      <c r="B110">
        <v>2020</v>
      </c>
      <c r="C110" t="s">
        <v>21</v>
      </c>
      <c r="D110">
        <v>460</v>
      </c>
      <c r="E110">
        <v>287</v>
      </c>
      <c r="F110">
        <v>34</v>
      </c>
      <c r="G110">
        <v>23</v>
      </c>
      <c r="H110">
        <v>10</v>
      </c>
      <c r="I110">
        <v>14</v>
      </c>
      <c r="J110">
        <v>160.28</v>
      </c>
      <c r="K110">
        <v>46</v>
      </c>
      <c r="L110">
        <f>_xlfn.XLOOKUP(C110, dim_teams[team_name], dim_teams[team_id], "Not found", 0)</f>
        <v>2</v>
      </c>
    </row>
    <row r="111" spans="1:12" x14ac:dyDescent="0.3">
      <c r="A111" t="s">
        <v>57</v>
      </c>
      <c r="B111">
        <v>2021</v>
      </c>
      <c r="C111" t="s">
        <v>21</v>
      </c>
      <c r="D111">
        <v>313</v>
      </c>
      <c r="E111">
        <v>211</v>
      </c>
      <c r="F111">
        <v>23</v>
      </c>
      <c r="G111">
        <v>16</v>
      </c>
      <c r="H111">
        <v>11</v>
      </c>
      <c r="I111">
        <v>14</v>
      </c>
      <c r="J111">
        <v>148.34</v>
      </c>
      <c r="K111">
        <v>28.45</v>
      </c>
      <c r="L111">
        <f>_xlfn.XLOOKUP(C111, dim_teams[team_name], dim_teams[team_id], "Not found", 0)</f>
        <v>2</v>
      </c>
    </row>
    <row r="112" spans="1:12" x14ac:dyDescent="0.3">
      <c r="A112" t="s">
        <v>58</v>
      </c>
      <c r="B112">
        <v>2011</v>
      </c>
      <c r="C112" t="s">
        <v>23</v>
      </c>
      <c r="D112">
        <v>120</v>
      </c>
      <c r="E112">
        <v>87</v>
      </c>
      <c r="F112">
        <v>21</v>
      </c>
      <c r="G112">
        <v>2</v>
      </c>
      <c r="H112">
        <v>6</v>
      </c>
      <c r="I112">
        <v>6</v>
      </c>
      <c r="J112">
        <v>137.93</v>
      </c>
      <c r="K112">
        <v>20</v>
      </c>
      <c r="L112">
        <f>_xlfn.XLOOKUP(C112, dim_teams[team_name], dim_teams[team_id], "Not found", 0)</f>
        <v>7</v>
      </c>
    </row>
    <row r="113" spans="1:12" x14ac:dyDescent="0.3">
      <c r="A113" t="s">
        <v>58</v>
      </c>
      <c r="B113">
        <v>2012</v>
      </c>
      <c r="C113" t="s">
        <v>23</v>
      </c>
      <c r="D113">
        <v>0</v>
      </c>
      <c r="E113">
        <v>3</v>
      </c>
      <c r="F113">
        <v>0</v>
      </c>
      <c r="G113">
        <v>0</v>
      </c>
      <c r="H113">
        <v>1</v>
      </c>
      <c r="I113">
        <v>1</v>
      </c>
      <c r="J113">
        <v>0</v>
      </c>
      <c r="K113">
        <v>0</v>
      </c>
      <c r="L113">
        <f>_xlfn.XLOOKUP(C113, dim_teams[team_name], dim_teams[team_id], "Not found", 0)</f>
        <v>7</v>
      </c>
    </row>
    <row r="114" spans="1:12" x14ac:dyDescent="0.3">
      <c r="A114" t="s">
        <v>59</v>
      </c>
      <c r="B114">
        <v>2008</v>
      </c>
      <c r="C114" t="s">
        <v>12</v>
      </c>
      <c r="D114">
        <v>436</v>
      </c>
      <c r="E114">
        <v>314</v>
      </c>
      <c r="F114">
        <v>51</v>
      </c>
      <c r="G114">
        <v>19</v>
      </c>
      <c r="H114">
        <v>13</v>
      </c>
      <c r="I114">
        <v>14</v>
      </c>
      <c r="J114">
        <v>138.85</v>
      </c>
      <c r="K114">
        <v>33.54</v>
      </c>
      <c r="L114">
        <f>_xlfn.XLOOKUP(C114, dim_teams[team_name], dim_teams[team_id], "Not found", 0)</f>
        <v>8</v>
      </c>
    </row>
    <row r="115" spans="1:12" x14ac:dyDescent="0.3">
      <c r="A115" t="s">
        <v>59</v>
      </c>
      <c r="B115">
        <v>2009</v>
      </c>
      <c r="C115" t="s">
        <v>12</v>
      </c>
      <c r="D115">
        <v>495</v>
      </c>
      <c r="E115">
        <v>322</v>
      </c>
      <c r="F115">
        <v>54</v>
      </c>
      <c r="G115">
        <v>29</v>
      </c>
      <c r="H115">
        <v>16</v>
      </c>
      <c r="I115">
        <v>16</v>
      </c>
      <c r="J115">
        <v>153.72999999999999</v>
      </c>
      <c r="K115">
        <v>30.94</v>
      </c>
      <c r="L115">
        <f>_xlfn.XLOOKUP(C115, dim_teams[team_name], dim_teams[team_id], "Not found", 0)</f>
        <v>8</v>
      </c>
    </row>
    <row r="116" spans="1:12" x14ac:dyDescent="0.3">
      <c r="A116" t="s">
        <v>59</v>
      </c>
      <c r="B116">
        <v>2010</v>
      </c>
      <c r="C116" t="s">
        <v>12</v>
      </c>
      <c r="D116">
        <v>289</v>
      </c>
      <c r="E116">
        <v>185</v>
      </c>
      <c r="F116">
        <v>31</v>
      </c>
      <c r="G116">
        <v>16</v>
      </c>
      <c r="H116">
        <v>17</v>
      </c>
      <c r="I116">
        <v>16</v>
      </c>
      <c r="J116">
        <v>156.22</v>
      </c>
      <c r="K116">
        <v>17</v>
      </c>
      <c r="L116">
        <f>_xlfn.XLOOKUP(C116, dim_teams[team_name], dim_teams[team_id], "Not found", 0)</f>
        <v>8</v>
      </c>
    </row>
    <row r="117" spans="1:12" x14ac:dyDescent="0.3">
      <c r="A117" t="s">
        <v>59</v>
      </c>
      <c r="B117">
        <v>2011</v>
      </c>
      <c r="C117" t="s">
        <v>54</v>
      </c>
      <c r="D117">
        <v>383</v>
      </c>
      <c r="E117">
        <v>291</v>
      </c>
      <c r="F117">
        <v>41</v>
      </c>
      <c r="G117">
        <v>18</v>
      </c>
      <c r="H117">
        <v>14</v>
      </c>
      <c r="I117">
        <v>14</v>
      </c>
      <c r="J117">
        <v>131.62</v>
      </c>
      <c r="K117">
        <v>27.36</v>
      </c>
      <c r="L117">
        <f>_xlfn.XLOOKUP(C117, dim_teams[team_name], dim_teams[team_id], "Not found", 0)</f>
        <v>4</v>
      </c>
    </row>
    <row r="118" spans="1:12" x14ac:dyDescent="0.3">
      <c r="A118" t="s">
        <v>59</v>
      </c>
      <c r="B118">
        <v>2012</v>
      </c>
      <c r="C118" t="s">
        <v>54</v>
      </c>
      <c r="D118">
        <v>172</v>
      </c>
      <c r="E118">
        <v>142</v>
      </c>
      <c r="F118">
        <v>21</v>
      </c>
      <c r="G118">
        <v>4</v>
      </c>
      <c r="H118">
        <v>4</v>
      </c>
      <c r="I118">
        <v>7</v>
      </c>
      <c r="J118">
        <v>121.13</v>
      </c>
      <c r="K118">
        <v>43</v>
      </c>
      <c r="L118">
        <f>_xlfn.XLOOKUP(C118, dim_teams[team_name], dim_teams[team_id], "Not found", 0)</f>
        <v>4</v>
      </c>
    </row>
    <row r="119" spans="1:12" x14ac:dyDescent="0.3">
      <c r="A119" t="s">
        <v>59</v>
      </c>
      <c r="B119">
        <v>2013</v>
      </c>
      <c r="C119" t="s">
        <v>54</v>
      </c>
      <c r="D119">
        <v>294</v>
      </c>
      <c r="E119">
        <v>229</v>
      </c>
      <c r="F119">
        <v>41</v>
      </c>
      <c r="G119">
        <v>6</v>
      </c>
      <c r="H119">
        <v>12</v>
      </c>
      <c r="I119">
        <v>13</v>
      </c>
      <c r="J119">
        <v>128.38</v>
      </c>
      <c r="K119">
        <v>24.5</v>
      </c>
      <c r="L119">
        <f>_xlfn.XLOOKUP(C119, dim_teams[team_name], dim_teams[team_id], "Not found", 0)</f>
        <v>4</v>
      </c>
    </row>
    <row r="120" spans="1:12" x14ac:dyDescent="0.3">
      <c r="A120" t="s">
        <v>60</v>
      </c>
      <c r="B120">
        <v>2011</v>
      </c>
      <c r="C120" t="s">
        <v>37</v>
      </c>
      <c r="D120">
        <v>1</v>
      </c>
      <c r="E120">
        <v>4</v>
      </c>
      <c r="F120">
        <v>0</v>
      </c>
      <c r="G120">
        <v>0</v>
      </c>
      <c r="H120">
        <v>0</v>
      </c>
      <c r="I120">
        <v>2</v>
      </c>
      <c r="J120">
        <v>25</v>
      </c>
      <c r="L120">
        <f>_xlfn.XLOOKUP(C120, dim_teams[team_name], dim_teams[team_id], "Not found", 0)</f>
        <v>10</v>
      </c>
    </row>
    <row r="121" spans="1:12" x14ac:dyDescent="0.3">
      <c r="A121" t="s">
        <v>60</v>
      </c>
      <c r="B121">
        <v>2012</v>
      </c>
      <c r="C121" t="s">
        <v>37</v>
      </c>
      <c r="D121">
        <v>19</v>
      </c>
      <c r="E121">
        <v>15</v>
      </c>
      <c r="F121">
        <v>1</v>
      </c>
      <c r="G121">
        <v>1</v>
      </c>
      <c r="H121">
        <v>2</v>
      </c>
      <c r="I121">
        <v>2</v>
      </c>
      <c r="J121">
        <v>126.67</v>
      </c>
      <c r="K121">
        <v>9.5</v>
      </c>
      <c r="L121">
        <f>_xlfn.XLOOKUP(C121, dim_teams[team_name], dim_teams[team_id], "Not found", 0)</f>
        <v>10</v>
      </c>
    </row>
    <row r="122" spans="1:12" x14ac:dyDescent="0.3">
      <c r="A122" t="s">
        <v>61</v>
      </c>
      <c r="B122">
        <v>2010</v>
      </c>
      <c r="C122" t="s">
        <v>17</v>
      </c>
      <c r="D122">
        <v>181</v>
      </c>
      <c r="E122">
        <v>143</v>
      </c>
      <c r="F122">
        <v>15</v>
      </c>
      <c r="G122">
        <v>3</v>
      </c>
      <c r="H122">
        <v>6</v>
      </c>
      <c r="I122">
        <v>7</v>
      </c>
      <c r="J122">
        <v>126.57</v>
      </c>
      <c r="K122">
        <v>30.17</v>
      </c>
      <c r="L122">
        <f>_xlfn.XLOOKUP(C122, dim_teams[team_name], dim_teams[team_id], "Not found", 0)</f>
        <v>5</v>
      </c>
    </row>
    <row r="123" spans="1:12" x14ac:dyDescent="0.3">
      <c r="A123" t="s">
        <v>62</v>
      </c>
      <c r="B123">
        <v>2018</v>
      </c>
      <c r="C123" t="s">
        <v>13</v>
      </c>
      <c r="D123">
        <v>148</v>
      </c>
      <c r="E123">
        <v>117</v>
      </c>
      <c r="F123">
        <v>13</v>
      </c>
      <c r="G123">
        <v>6</v>
      </c>
      <c r="H123">
        <v>6</v>
      </c>
      <c r="I123">
        <v>6</v>
      </c>
      <c r="J123">
        <v>126.5</v>
      </c>
      <c r="K123">
        <v>24.67</v>
      </c>
      <c r="L123">
        <f>_xlfn.XLOOKUP(C123, dim_teams[team_name], dim_teams[team_id], "Not found", 0)</f>
        <v>11</v>
      </c>
    </row>
    <row r="124" spans="1:12" x14ac:dyDescent="0.3">
      <c r="A124" t="s">
        <v>63</v>
      </c>
      <c r="B124">
        <v>2008</v>
      </c>
      <c r="C124" t="s">
        <v>17</v>
      </c>
      <c r="D124">
        <v>9</v>
      </c>
      <c r="E124">
        <v>8</v>
      </c>
      <c r="F124">
        <v>0</v>
      </c>
      <c r="G124">
        <v>1</v>
      </c>
      <c r="H124">
        <v>1</v>
      </c>
      <c r="I124">
        <v>1</v>
      </c>
      <c r="J124">
        <v>112.5</v>
      </c>
      <c r="K124">
        <v>9</v>
      </c>
      <c r="L124">
        <f>_xlfn.XLOOKUP(C124, dim_teams[team_name], dim_teams[team_id], "Not found", 0)</f>
        <v>5</v>
      </c>
    </row>
    <row r="125" spans="1:12" x14ac:dyDescent="0.3">
      <c r="A125" t="s">
        <v>63</v>
      </c>
      <c r="B125">
        <v>2009</v>
      </c>
      <c r="C125" t="s">
        <v>17</v>
      </c>
      <c r="D125">
        <v>39</v>
      </c>
      <c r="E125">
        <v>39</v>
      </c>
      <c r="F125">
        <v>4</v>
      </c>
      <c r="G125">
        <v>0</v>
      </c>
      <c r="H125">
        <v>4</v>
      </c>
      <c r="I125">
        <v>4</v>
      </c>
      <c r="J125">
        <v>100</v>
      </c>
      <c r="K125">
        <v>9.75</v>
      </c>
      <c r="L125">
        <f>_xlfn.XLOOKUP(C125, dim_teams[team_name], dim_teams[team_id], "Not found", 0)</f>
        <v>5</v>
      </c>
    </row>
    <row r="126" spans="1:12" x14ac:dyDescent="0.3">
      <c r="A126" t="s">
        <v>63</v>
      </c>
      <c r="B126">
        <v>2010</v>
      </c>
      <c r="C126" t="s">
        <v>17</v>
      </c>
      <c r="D126">
        <v>12</v>
      </c>
      <c r="E126">
        <v>10</v>
      </c>
      <c r="F126">
        <v>0</v>
      </c>
      <c r="G126">
        <v>0</v>
      </c>
      <c r="H126">
        <v>2</v>
      </c>
      <c r="I126">
        <v>2</v>
      </c>
      <c r="J126">
        <v>120</v>
      </c>
      <c r="K126">
        <v>6</v>
      </c>
      <c r="L126">
        <f>_xlfn.XLOOKUP(C126, dim_teams[team_name], dim_teams[team_id], "Not found", 0)</f>
        <v>5</v>
      </c>
    </row>
    <row r="127" spans="1:12" x14ac:dyDescent="0.3">
      <c r="A127" t="s">
        <v>63</v>
      </c>
      <c r="B127">
        <v>2012</v>
      </c>
      <c r="C127" t="s">
        <v>54</v>
      </c>
      <c r="D127">
        <v>14</v>
      </c>
      <c r="E127">
        <v>16</v>
      </c>
      <c r="F127">
        <v>1</v>
      </c>
      <c r="G127">
        <v>0</v>
      </c>
      <c r="H127">
        <v>3</v>
      </c>
      <c r="I127">
        <v>3</v>
      </c>
      <c r="J127">
        <v>87.5</v>
      </c>
      <c r="K127">
        <v>4.67</v>
      </c>
      <c r="L127">
        <f>_xlfn.XLOOKUP(C127, dim_teams[team_name], dim_teams[team_id], "Not found", 0)</f>
        <v>4</v>
      </c>
    </row>
    <row r="128" spans="1:12" x14ac:dyDescent="0.3">
      <c r="A128" t="s">
        <v>63</v>
      </c>
      <c r="B128">
        <v>2013</v>
      </c>
      <c r="C128" t="s">
        <v>54</v>
      </c>
      <c r="D128">
        <v>5</v>
      </c>
      <c r="E128">
        <v>5</v>
      </c>
      <c r="F128">
        <v>0</v>
      </c>
      <c r="G128">
        <v>0</v>
      </c>
      <c r="H128">
        <v>0</v>
      </c>
      <c r="I128">
        <v>1</v>
      </c>
      <c r="J128">
        <v>100</v>
      </c>
      <c r="L128">
        <f>_xlfn.XLOOKUP(C128, dim_teams[team_name], dim_teams[team_id], "Not found", 0)</f>
        <v>4</v>
      </c>
    </row>
    <row r="129" spans="1:12" x14ac:dyDescent="0.3">
      <c r="A129" t="s">
        <v>64</v>
      </c>
      <c r="B129">
        <v>2009</v>
      </c>
      <c r="C129" t="s">
        <v>19</v>
      </c>
      <c r="D129">
        <v>16</v>
      </c>
      <c r="E129">
        <v>13</v>
      </c>
      <c r="F129">
        <v>2</v>
      </c>
      <c r="G129">
        <v>0</v>
      </c>
      <c r="H129">
        <v>1</v>
      </c>
      <c r="I129">
        <v>1</v>
      </c>
      <c r="J129">
        <v>123.08</v>
      </c>
      <c r="K129">
        <v>16</v>
      </c>
      <c r="L129">
        <f>_xlfn.XLOOKUP(C129, dim_teams[team_name], dim_teams[team_id], "Not found", 0)</f>
        <v>1</v>
      </c>
    </row>
    <row r="130" spans="1:12" x14ac:dyDescent="0.3">
      <c r="A130" t="s">
        <v>64</v>
      </c>
      <c r="B130">
        <v>2010</v>
      </c>
      <c r="C130" t="s">
        <v>19</v>
      </c>
      <c r="D130">
        <v>233</v>
      </c>
      <c r="E130">
        <v>183</v>
      </c>
      <c r="F130">
        <v>18</v>
      </c>
      <c r="G130">
        <v>8</v>
      </c>
      <c r="H130">
        <v>6</v>
      </c>
      <c r="I130">
        <v>10</v>
      </c>
      <c r="J130">
        <v>127.32</v>
      </c>
      <c r="K130">
        <v>38.83</v>
      </c>
      <c r="L130">
        <f>_xlfn.XLOOKUP(C130, dim_teams[team_name], dim_teams[team_id], "Not found", 0)</f>
        <v>1</v>
      </c>
    </row>
    <row r="131" spans="1:12" x14ac:dyDescent="0.3">
      <c r="A131" t="s">
        <v>64</v>
      </c>
      <c r="B131">
        <v>2012</v>
      </c>
      <c r="C131" t="s">
        <v>37</v>
      </c>
      <c r="D131">
        <v>127</v>
      </c>
      <c r="E131">
        <v>108</v>
      </c>
      <c r="F131">
        <v>5</v>
      </c>
      <c r="G131">
        <v>4</v>
      </c>
      <c r="H131">
        <v>7</v>
      </c>
      <c r="I131">
        <v>8</v>
      </c>
      <c r="J131">
        <v>117.59</v>
      </c>
      <c r="K131">
        <v>18.14</v>
      </c>
      <c r="L131">
        <f>_xlfn.XLOOKUP(C131, dim_teams[team_name], dim_teams[team_id], "Not found", 0)</f>
        <v>10</v>
      </c>
    </row>
    <row r="132" spans="1:12" x14ac:dyDescent="0.3">
      <c r="A132" t="s">
        <v>64</v>
      </c>
      <c r="B132">
        <v>2013</v>
      </c>
      <c r="C132" t="s">
        <v>37</v>
      </c>
      <c r="D132">
        <v>172</v>
      </c>
      <c r="E132">
        <v>139</v>
      </c>
      <c r="F132">
        <v>5</v>
      </c>
      <c r="G132">
        <v>10</v>
      </c>
      <c r="H132">
        <v>8</v>
      </c>
      <c r="I132">
        <v>10</v>
      </c>
      <c r="J132">
        <v>123.74</v>
      </c>
      <c r="K132">
        <v>21.5</v>
      </c>
      <c r="L132">
        <f>_xlfn.XLOOKUP(C132, dim_teams[team_name], dim_teams[team_id], "Not found", 0)</f>
        <v>10</v>
      </c>
    </row>
    <row r="133" spans="1:12" x14ac:dyDescent="0.3">
      <c r="A133" t="s">
        <v>64</v>
      </c>
      <c r="B133">
        <v>2015</v>
      </c>
      <c r="C133" t="s">
        <v>32</v>
      </c>
      <c r="D133">
        <v>144</v>
      </c>
      <c r="E133">
        <v>103</v>
      </c>
      <c r="F133">
        <v>12</v>
      </c>
      <c r="G133">
        <v>6</v>
      </c>
      <c r="H133">
        <v>7</v>
      </c>
      <c r="I133">
        <v>10</v>
      </c>
      <c r="J133">
        <v>139.81</v>
      </c>
      <c r="K133">
        <v>20.57</v>
      </c>
      <c r="L133">
        <f>_xlfn.XLOOKUP(C133, dim_teams[team_name], dim_teams[team_id], "Not found", 0)</f>
        <v>6</v>
      </c>
    </row>
    <row r="134" spans="1:12" x14ac:dyDescent="0.3">
      <c r="A134" t="s">
        <v>64</v>
      </c>
      <c r="B134">
        <v>2017</v>
      </c>
      <c r="C134" t="s">
        <v>32</v>
      </c>
      <c r="D134">
        <v>32</v>
      </c>
      <c r="E134">
        <v>27</v>
      </c>
      <c r="F134">
        <v>2</v>
      </c>
      <c r="G134">
        <v>1</v>
      </c>
      <c r="H134">
        <v>2</v>
      </c>
      <c r="I134">
        <v>2</v>
      </c>
      <c r="J134">
        <v>118.52</v>
      </c>
      <c r="K134">
        <v>16</v>
      </c>
      <c r="L134">
        <f>_xlfn.XLOOKUP(C134, dim_teams[team_name], dim_teams[team_id], "Not found", 0)</f>
        <v>6</v>
      </c>
    </row>
    <row r="135" spans="1:12" x14ac:dyDescent="0.3">
      <c r="A135" t="s">
        <v>65</v>
      </c>
      <c r="B135">
        <v>2016</v>
      </c>
      <c r="C135" t="s">
        <v>66</v>
      </c>
      <c r="D135">
        <v>20</v>
      </c>
      <c r="E135">
        <v>27</v>
      </c>
      <c r="F135">
        <v>1</v>
      </c>
      <c r="G135">
        <v>0</v>
      </c>
      <c r="H135">
        <v>3</v>
      </c>
      <c r="I135">
        <v>3</v>
      </c>
      <c r="J135">
        <v>74.069999999999993</v>
      </c>
      <c r="K135">
        <v>6.67</v>
      </c>
      <c r="L135">
        <f>_xlfn.XLOOKUP(C135, dim_teams[team_name], dim_teams[team_id], "Not found", 0)</f>
        <v>13</v>
      </c>
    </row>
    <row r="136" spans="1:12" x14ac:dyDescent="0.3">
      <c r="A136" t="s">
        <v>65</v>
      </c>
      <c r="B136">
        <v>2017</v>
      </c>
      <c r="C136" t="s">
        <v>66</v>
      </c>
      <c r="D136">
        <v>0</v>
      </c>
      <c r="E136">
        <v>1</v>
      </c>
      <c r="F136">
        <v>0</v>
      </c>
      <c r="G136">
        <v>0</v>
      </c>
      <c r="H136">
        <v>1</v>
      </c>
      <c r="I136">
        <v>1</v>
      </c>
      <c r="J136">
        <v>0</v>
      </c>
      <c r="K136">
        <v>0</v>
      </c>
      <c r="L136">
        <f>_xlfn.XLOOKUP(C136, dim_teams[team_name], dim_teams[team_id], "Not found", 0)</f>
        <v>13</v>
      </c>
    </row>
    <row r="137" spans="1:12" x14ac:dyDescent="0.3">
      <c r="A137" t="s">
        <v>65</v>
      </c>
      <c r="B137">
        <v>2018</v>
      </c>
      <c r="C137" t="s">
        <v>54</v>
      </c>
      <c r="D137">
        <v>9</v>
      </c>
      <c r="E137">
        <v>13</v>
      </c>
      <c r="F137">
        <v>1</v>
      </c>
      <c r="G137">
        <v>0</v>
      </c>
      <c r="H137">
        <v>1</v>
      </c>
      <c r="I137">
        <v>1</v>
      </c>
      <c r="J137">
        <v>69.23</v>
      </c>
      <c r="K137">
        <v>9</v>
      </c>
      <c r="L137">
        <f>_xlfn.XLOOKUP(C137, dim_teams[team_name], dim_teams[team_id], "Not found", 0)</f>
        <v>4</v>
      </c>
    </row>
    <row r="138" spans="1:12" x14ac:dyDescent="0.3">
      <c r="A138" t="s">
        <v>65</v>
      </c>
      <c r="B138">
        <v>2019</v>
      </c>
      <c r="C138" t="s">
        <v>21</v>
      </c>
      <c r="D138">
        <v>61</v>
      </c>
      <c r="E138">
        <v>57</v>
      </c>
      <c r="F138">
        <v>5</v>
      </c>
      <c r="G138">
        <v>2</v>
      </c>
      <c r="H138">
        <v>5</v>
      </c>
      <c r="I138">
        <v>5</v>
      </c>
      <c r="J138">
        <v>107.02</v>
      </c>
      <c r="K138">
        <v>12.2</v>
      </c>
      <c r="L138">
        <f>_xlfn.XLOOKUP(C138, dim_teams[team_name], dim_teams[team_id], "Not found", 0)</f>
        <v>2</v>
      </c>
    </row>
    <row r="139" spans="1:12" x14ac:dyDescent="0.3">
      <c r="A139" t="s">
        <v>67</v>
      </c>
      <c r="B139">
        <v>2012</v>
      </c>
      <c r="C139" t="s">
        <v>32</v>
      </c>
      <c r="D139">
        <v>47</v>
      </c>
      <c r="E139">
        <v>26</v>
      </c>
      <c r="F139">
        <v>3</v>
      </c>
      <c r="G139">
        <v>3</v>
      </c>
      <c r="H139">
        <v>2</v>
      </c>
      <c r="I139">
        <v>2</v>
      </c>
      <c r="J139">
        <v>180.77</v>
      </c>
      <c r="K139">
        <v>23.5</v>
      </c>
      <c r="L139">
        <f>_xlfn.XLOOKUP(C139, dim_teams[team_name], dim_teams[team_id], "Not found", 0)</f>
        <v>6</v>
      </c>
    </row>
    <row r="140" spans="1:12" x14ac:dyDescent="0.3">
      <c r="A140" t="s">
        <v>67</v>
      </c>
      <c r="B140">
        <v>2013</v>
      </c>
      <c r="C140" t="s">
        <v>32</v>
      </c>
      <c r="D140">
        <v>11</v>
      </c>
      <c r="E140">
        <v>14</v>
      </c>
      <c r="F140">
        <v>0</v>
      </c>
      <c r="G140">
        <v>0</v>
      </c>
      <c r="H140">
        <v>2</v>
      </c>
      <c r="I140">
        <v>2</v>
      </c>
      <c r="J140">
        <v>78.569999999999993</v>
      </c>
      <c r="K140">
        <v>5.5</v>
      </c>
      <c r="L140">
        <f>_xlfn.XLOOKUP(C140, dim_teams[team_name], dim_teams[team_id], "Not found", 0)</f>
        <v>6</v>
      </c>
    </row>
    <row r="141" spans="1:12" x14ac:dyDescent="0.3">
      <c r="A141" t="s">
        <v>67</v>
      </c>
      <c r="B141">
        <v>2014</v>
      </c>
      <c r="C141" t="s">
        <v>19</v>
      </c>
      <c r="D141">
        <v>2</v>
      </c>
      <c r="E141">
        <v>8</v>
      </c>
      <c r="F141">
        <v>0</v>
      </c>
      <c r="G141">
        <v>0</v>
      </c>
      <c r="H141">
        <v>2</v>
      </c>
      <c r="I141">
        <v>2</v>
      </c>
      <c r="J141">
        <v>25</v>
      </c>
      <c r="K141">
        <v>1</v>
      </c>
      <c r="L141">
        <f>_xlfn.XLOOKUP(C141, dim_teams[team_name], dim_teams[team_id], "Not found", 0)</f>
        <v>1</v>
      </c>
    </row>
    <row r="142" spans="1:12" x14ac:dyDescent="0.3">
      <c r="A142" t="s">
        <v>67</v>
      </c>
      <c r="B142">
        <v>2015</v>
      </c>
      <c r="C142" t="s">
        <v>19</v>
      </c>
      <c r="D142">
        <v>326</v>
      </c>
      <c r="E142">
        <v>169</v>
      </c>
      <c r="F142">
        <v>35</v>
      </c>
      <c r="G142">
        <v>19</v>
      </c>
      <c r="H142">
        <v>7</v>
      </c>
      <c r="I142">
        <v>11</v>
      </c>
      <c r="J142">
        <v>192.9</v>
      </c>
      <c r="K142">
        <v>46.57</v>
      </c>
      <c r="L142">
        <f>_xlfn.XLOOKUP(C142, dim_teams[team_name], dim_teams[team_id], "Not found", 0)</f>
        <v>1</v>
      </c>
    </row>
    <row r="143" spans="1:12" x14ac:dyDescent="0.3">
      <c r="A143" t="s">
        <v>67</v>
      </c>
      <c r="B143">
        <v>2016</v>
      </c>
      <c r="C143" t="s">
        <v>19</v>
      </c>
      <c r="D143">
        <v>188</v>
      </c>
      <c r="E143">
        <v>114</v>
      </c>
      <c r="F143">
        <v>10</v>
      </c>
      <c r="G143">
        <v>15</v>
      </c>
      <c r="H143">
        <v>7</v>
      </c>
      <c r="I143">
        <v>8</v>
      </c>
      <c r="J143">
        <v>164.91</v>
      </c>
      <c r="K143">
        <v>26.86</v>
      </c>
      <c r="L143">
        <f>_xlfn.XLOOKUP(C143, dim_teams[team_name], dim_teams[team_id], "Not found", 0)</f>
        <v>1</v>
      </c>
    </row>
    <row r="144" spans="1:12" x14ac:dyDescent="0.3">
      <c r="A144" t="s">
        <v>67</v>
      </c>
      <c r="B144">
        <v>2018</v>
      </c>
      <c r="C144" t="s">
        <v>19</v>
      </c>
      <c r="D144">
        <v>316</v>
      </c>
      <c r="E144">
        <v>170</v>
      </c>
      <c r="F144">
        <v>17</v>
      </c>
      <c r="G144">
        <v>31</v>
      </c>
      <c r="H144">
        <v>12</v>
      </c>
      <c r="I144">
        <v>14</v>
      </c>
      <c r="J144">
        <v>185.88</v>
      </c>
      <c r="K144">
        <v>26.33</v>
      </c>
      <c r="L144">
        <f>_xlfn.XLOOKUP(C144, dim_teams[team_name], dim_teams[team_id], "Not found", 0)</f>
        <v>1</v>
      </c>
    </row>
    <row r="145" spans="1:12" x14ac:dyDescent="0.3">
      <c r="A145" t="s">
        <v>67</v>
      </c>
      <c r="B145">
        <v>2019</v>
      </c>
      <c r="C145" t="s">
        <v>19</v>
      </c>
      <c r="D145">
        <v>514</v>
      </c>
      <c r="E145">
        <v>249</v>
      </c>
      <c r="F145">
        <v>32</v>
      </c>
      <c r="G145">
        <v>52</v>
      </c>
      <c r="H145">
        <v>10</v>
      </c>
      <c r="I145">
        <v>13</v>
      </c>
      <c r="J145">
        <v>206.43</v>
      </c>
      <c r="K145">
        <v>51.4</v>
      </c>
      <c r="L145">
        <f>_xlfn.XLOOKUP(C145, dim_teams[team_name], dim_teams[team_id], "Not found", 0)</f>
        <v>1</v>
      </c>
    </row>
    <row r="146" spans="1:12" x14ac:dyDescent="0.3">
      <c r="A146" t="s">
        <v>67</v>
      </c>
      <c r="B146">
        <v>2020</v>
      </c>
      <c r="C146" t="s">
        <v>19</v>
      </c>
      <c r="D146">
        <v>117</v>
      </c>
      <c r="E146">
        <v>79</v>
      </c>
      <c r="F146">
        <v>9</v>
      </c>
      <c r="G146">
        <v>9</v>
      </c>
      <c r="H146">
        <v>9</v>
      </c>
      <c r="I146">
        <v>9</v>
      </c>
      <c r="J146">
        <v>148.1</v>
      </c>
      <c r="K146">
        <v>13</v>
      </c>
      <c r="L146">
        <f>_xlfn.XLOOKUP(C146, dim_teams[team_name], dim_teams[team_id], "Not found", 0)</f>
        <v>1</v>
      </c>
    </row>
    <row r="147" spans="1:12" x14ac:dyDescent="0.3">
      <c r="A147" t="s">
        <v>67</v>
      </c>
      <c r="B147">
        <v>2021</v>
      </c>
      <c r="C147" t="s">
        <v>19</v>
      </c>
      <c r="D147">
        <v>183</v>
      </c>
      <c r="E147">
        <v>117</v>
      </c>
      <c r="F147">
        <v>14</v>
      </c>
      <c r="G147">
        <v>14</v>
      </c>
      <c r="H147">
        <v>6</v>
      </c>
      <c r="I147">
        <v>8</v>
      </c>
      <c r="J147">
        <v>156.41</v>
      </c>
      <c r="K147">
        <v>30.5</v>
      </c>
      <c r="L147">
        <f>_xlfn.XLOOKUP(C147, dim_teams[team_name], dim_teams[team_id], "Not found", 0)</f>
        <v>1</v>
      </c>
    </row>
    <row r="148" spans="1:12" x14ac:dyDescent="0.3">
      <c r="A148" t="s">
        <v>67</v>
      </c>
      <c r="B148">
        <v>2022</v>
      </c>
      <c r="C148" t="s">
        <v>19</v>
      </c>
      <c r="D148">
        <v>335</v>
      </c>
      <c r="E148">
        <v>189</v>
      </c>
      <c r="F148">
        <v>18</v>
      </c>
      <c r="G148">
        <v>32</v>
      </c>
      <c r="H148">
        <v>9</v>
      </c>
      <c r="I148">
        <v>12</v>
      </c>
      <c r="J148">
        <v>177.25</v>
      </c>
      <c r="K148">
        <v>37.22</v>
      </c>
      <c r="L148">
        <f>_xlfn.XLOOKUP(C148, dim_teams[team_name], dim_teams[team_id], "Not found", 0)</f>
        <v>1</v>
      </c>
    </row>
    <row r="149" spans="1:12" x14ac:dyDescent="0.3">
      <c r="A149" t="s">
        <v>67</v>
      </c>
      <c r="B149">
        <v>2023</v>
      </c>
      <c r="C149" t="s">
        <v>19</v>
      </c>
      <c r="D149">
        <v>227</v>
      </c>
      <c r="E149">
        <v>155</v>
      </c>
      <c r="F149">
        <v>13</v>
      </c>
      <c r="G149">
        <v>18</v>
      </c>
      <c r="H149">
        <v>12</v>
      </c>
      <c r="I149">
        <v>14</v>
      </c>
      <c r="J149">
        <v>146.44999999999999</v>
      </c>
      <c r="K149">
        <v>18.920000000000002</v>
      </c>
      <c r="L149">
        <f>_xlfn.XLOOKUP(C149, dim_teams[team_name], dim_teams[team_id], "Not found", 0)</f>
        <v>1</v>
      </c>
    </row>
    <row r="150" spans="1:12" x14ac:dyDescent="0.3">
      <c r="A150" t="s">
        <v>67</v>
      </c>
      <c r="B150">
        <v>2024</v>
      </c>
      <c r="C150" t="s">
        <v>19</v>
      </c>
      <c r="D150">
        <v>222</v>
      </c>
      <c r="E150">
        <v>116</v>
      </c>
      <c r="F150">
        <v>20</v>
      </c>
      <c r="G150">
        <v>16</v>
      </c>
      <c r="H150">
        <v>6</v>
      </c>
      <c r="I150">
        <v>9</v>
      </c>
      <c r="J150">
        <v>191.38</v>
      </c>
      <c r="K150">
        <v>37</v>
      </c>
      <c r="L150">
        <f>_xlfn.XLOOKUP(C150, dim_teams[team_name], dim_teams[team_id], "Not found", 0)</f>
        <v>1</v>
      </c>
    </row>
    <row r="151" spans="1:12" x14ac:dyDescent="0.3">
      <c r="A151" t="s">
        <v>67</v>
      </c>
      <c r="B151">
        <v>2025</v>
      </c>
      <c r="C151" t="s">
        <v>19</v>
      </c>
      <c r="D151">
        <v>167</v>
      </c>
      <c r="E151">
        <v>102</v>
      </c>
      <c r="F151">
        <v>16</v>
      </c>
      <c r="G151">
        <v>14</v>
      </c>
      <c r="H151">
        <v>8</v>
      </c>
      <c r="I151">
        <v>10</v>
      </c>
      <c r="J151">
        <v>163.72999999999999</v>
      </c>
      <c r="K151">
        <v>20.88</v>
      </c>
      <c r="L151">
        <f>_xlfn.XLOOKUP(C151, dim_teams[team_name], dim_teams[team_id], "Not found", 0)</f>
        <v>1</v>
      </c>
    </row>
    <row r="152" spans="1:12" x14ac:dyDescent="0.3">
      <c r="A152" t="s">
        <v>68</v>
      </c>
      <c r="B152">
        <v>2017</v>
      </c>
      <c r="C152" t="s">
        <v>21</v>
      </c>
      <c r="D152">
        <v>7</v>
      </c>
      <c r="E152">
        <v>12</v>
      </c>
      <c r="F152">
        <v>0</v>
      </c>
      <c r="G152">
        <v>0</v>
      </c>
      <c r="H152">
        <v>3</v>
      </c>
      <c r="I152">
        <v>3</v>
      </c>
      <c r="J152">
        <v>58.33</v>
      </c>
      <c r="K152">
        <v>2.33</v>
      </c>
      <c r="L152">
        <f>_xlfn.XLOOKUP(C152, dim_teams[team_name], dim_teams[team_id], "Not found", 0)</f>
        <v>2</v>
      </c>
    </row>
    <row r="153" spans="1:12" x14ac:dyDescent="0.3">
      <c r="A153" t="s">
        <v>68</v>
      </c>
      <c r="B153">
        <v>2021</v>
      </c>
      <c r="C153" t="s">
        <v>23</v>
      </c>
      <c r="D153">
        <v>16</v>
      </c>
      <c r="E153">
        <v>17</v>
      </c>
      <c r="F153">
        <v>0</v>
      </c>
      <c r="G153">
        <v>1</v>
      </c>
      <c r="H153">
        <v>2</v>
      </c>
      <c r="I153">
        <v>3</v>
      </c>
      <c r="J153">
        <v>94.12</v>
      </c>
      <c r="K153">
        <v>8</v>
      </c>
      <c r="L153">
        <f>_xlfn.XLOOKUP(C153, dim_teams[team_name], dim_teams[team_id], "Not found", 0)</f>
        <v>7</v>
      </c>
    </row>
    <row r="154" spans="1:12" x14ac:dyDescent="0.3">
      <c r="A154" t="s">
        <v>69</v>
      </c>
      <c r="B154">
        <v>2011</v>
      </c>
      <c r="C154" t="s">
        <v>23</v>
      </c>
      <c r="D154">
        <v>2</v>
      </c>
      <c r="E154">
        <v>5</v>
      </c>
      <c r="F154">
        <v>0</v>
      </c>
      <c r="G154">
        <v>0</v>
      </c>
      <c r="H154">
        <v>0</v>
      </c>
      <c r="I154">
        <v>1</v>
      </c>
      <c r="J154">
        <v>40</v>
      </c>
      <c r="L154">
        <f>_xlfn.XLOOKUP(C154, dim_teams[team_name], dim_teams[team_id], "Not found", 0)</f>
        <v>7</v>
      </c>
    </row>
    <row r="155" spans="1:12" x14ac:dyDescent="0.3">
      <c r="A155" t="s">
        <v>69</v>
      </c>
      <c r="B155">
        <v>2012</v>
      </c>
      <c r="C155" t="s">
        <v>37</v>
      </c>
      <c r="D155">
        <v>3</v>
      </c>
      <c r="E155">
        <v>5</v>
      </c>
      <c r="F155">
        <v>0</v>
      </c>
      <c r="G155">
        <v>0</v>
      </c>
      <c r="H155">
        <v>0</v>
      </c>
      <c r="I155">
        <v>1</v>
      </c>
      <c r="J155">
        <v>60</v>
      </c>
      <c r="L155">
        <f>_xlfn.XLOOKUP(C155, dim_teams[team_name], dim_teams[team_id], "Not found", 0)</f>
        <v>10</v>
      </c>
    </row>
    <row r="156" spans="1:12" x14ac:dyDescent="0.3">
      <c r="A156" t="s">
        <v>69</v>
      </c>
      <c r="B156">
        <v>2013</v>
      </c>
      <c r="C156" t="s">
        <v>37</v>
      </c>
      <c r="D156">
        <v>5</v>
      </c>
      <c r="E156">
        <v>4</v>
      </c>
      <c r="F156">
        <v>1</v>
      </c>
      <c r="G156">
        <v>0</v>
      </c>
      <c r="H156">
        <v>1</v>
      </c>
      <c r="I156">
        <v>1</v>
      </c>
      <c r="J156">
        <v>125</v>
      </c>
      <c r="K156">
        <v>5</v>
      </c>
      <c r="L156">
        <f>_xlfn.XLOOKUP(C156, dim_teams[team_name], dim_teams[team_id], "Not found", 0)</f>
        <v>10</v>
      </c>
    </row>
    <row r="157" spans="1:12" x14ac:dyDescent="0.3">
      <c r="A157" t="s">
        <v>70</v>
      </c>
      <c r="B157">
        <v>2010</v>
      </c>
      <c r="C157" t="s">
        <v>17</v>
      </c>
      <c r="D157">
        <v>0</v>
      </c>
      <c r="E157">
        <v>1</v>
      </c>
      <c r="F157">
        <v>0</v>
      </c>
      <c r="G157">
        <v>0</v>
      </c>
      <c r="H157">
        <v>1</v>
      </c>
      <c r="I157">
        <v>1</v>
      </c>
      <c r="J157">
        <v>0</v>
      </c>
      <c r="K157">
        <v>0</v>
      </c>
      <c r="L157">
        <f>_xlfn.XLOOKUP(C157, dim_teams[team_name], dim_teams[team_id], "Not found", 0)</f>
        <v>5</v>
      </c>
    </row>
    <row r="158" spans="1:12" x14ac:dyDescent="0.3">
      <c r="A158" t="s">
        <v>70</v>
      </c>
      <c r="B158">
        <v>2011</v>
      </c>
      <c r="C158" t="s">
        <v>17</v>
      </c>
      <c r="D158">
        <v>49</v>
      </c>
      <c r="E158">
        <v>54</v>
      </c>
      <c r="F158">
        <v>9</v>
      </c>
      <c r="G158">
        <v>0</v>
      </c>
      <c r="H158">
        <v>4</v>
      </c>
      <c r="I158">
        <v>4</v>
      </c>
      <c r="J158">
        <v>90.74</v>
      </c>
      <c r="K158">
        <v>12.25</v>
      </c>
      <c r="L158">
        <f>_xlfn.XLOOKUP(C158, dim_teams[team_name], dim_teams[team_id], "Not found", 0)</f>
        <v>5</v>
      </c>
    </row>
    <row r="159" spans="1:12" x14ac:dyDescent="0.3">
      <c r="A159" t="s">
        <v>71</v>
      </c>
      <c r="B159">
        <v>2010</v>
      </c>
      <c r="C159" t="s">
        <v>17</v>
      </c>
      <c r="D159">
        <v>21</v>
      </c>
      <c r="E159">
        <v>21</v>
      </c>
      <c r="F159">
        <v>0</v>
      </c>
      <c r="G159">
        <v>1</v>
      </c>
      <c r="H159">
        <v>1</v>
      </c>
      <c r="I159">
        <v>1</v>
      </c>
      <c r="J159">
        <v>100</v>
      </c>
      <c r="K159">
        <v>21</v>
      </c>
      <c r="L159">
        <f>_xlfn.XLOOKUP(C159, dim_teams[team_name], dim_teams[team_id], "Not found", 0)</f>
        <v>5</v>
      </c>
    </row>
    <row r="160" spans="1:12" x14ac:dyDescent="0.3">
      <c r="A160" t="s">
        <v>71</v>
      </c>
      <c r="B160">
        <v>2011</v>
      </c>
      <c r="C160" t="s">
        <v>32</v>
      </c>
      <c r="D160">
        <v>47</v>
      </c>
      <c r="E160">
        <v>46</v>
      </c>
      <c r="F160">
        <v>3</v>
      </c>
      <c r="G160">
        <v>3</v>
      </c>
      <c r="H160">
        <v>7</v>
      </c>
      <c r="I160">
        <v>6</v>
      </c>
      <c r="J160">
        <v>102.17</v>
      </c>
      <c r="K160">
        <v>6.71</v>
      </c>
      <c r="L160">
        <f>_xlfn.XLOOKUP(C160, dim_teams[team_name], dim_teams[team_id], "Not found", 0)</f>
        <v>6</v>
      </c>
    </row>
    <row r="161" spans="1:12" x14ac:dyDescent="0.3">
      <c r="A161" t="s">
        <v>71</v>
      </c>
      <c r="B161">
        <v>2012</v>
      </c>
      <c r="C161" t="s">
        <v>32</v>
      </c>
      <c r="D161">
        <v>55</v>
      </c>
      <c r="E161">
        <v>51</v>
      </c>
      <c r="F161">
        <v>8</v>
      </c>
      <c r="G161">
        <v>0</v>
      </c>
      <c r="H161">
        <v>2</v>
      </c>
      <c r="I161">
        <v>2</v>
      </c>
      <c r="J161">
        <v>107.84</v>
      </c>
      <c r="K161">
        <v>27.5</v>
      </c>
      <c r="L161">
        <f>_xlfn.XLOOKUP(C161, dim_teams[team_name], dim_teams[team_id], "Not found", 0)</f>
        <v>6</v>
      </c>
    </row>
    <row r="162" spans="1:12" x14ac:dyDescent="0.3">
      <c r="A162" t="s">
        <v>71</v>
      </c>
      <c r="B162">
        <v>2013</v>
      </c>
      <c r="C162" t="s">
        <v>37</v>
      </c>
      <c r="D162">
        <v>456</v>
      </c>
      <c r="E162">
        <v>335</v>
      </c>
      <c r="F162">
        <v>54</v>
      </c>
      <c r="G162">
        <v>16</v>
      </c>
      <c r="H162">
        <v>14</v>
      </c>
      <c r="I162">
        <v>14</v>
      </c>
      <c r="J162">
        <v>136.12</v>
      </c>
      <c r="K162">
        <v>32.57</v>
      </c>
      <c r="L162">
        <f>_xlfn.XLOOKUP(C162, dim_teams[team_name], dim_teams[team_id], "Not found", 0)</f>
        <v>10</v>
      </c>
    </row>
    <row r="163" spans="1:12" x14ac:dyDescent="0.3">
      <c r="A163" t="s">
        <v>71</v>
      </c>
      <c r="B163">
        <v>2014</v>
      </c>
      <c r="C163" t="s">
        <v>13</v>
      </c>
      <c r="D163">
        <v>309</v>
      </c>
      <c r="E163">
        <v>261</v>
      </c>
      <c r="F163">
        <v>31</v>
      </c>
      <c r="G163">
        <v>9</v>
      </c>
      <c r="H163">
        <v>11</v>
      </c>
      <c r="I163">
        <v>13</v>
      </c>
      <c r="J163">
        <v>118.39</v>
      </c>
      <c r="K163">
        <v>28.09</v>
      </c>
      <c r="L163">
        <f>_xlfn.XLOOKUP(C163, dim_teams[team_name], dim_teams[team_id], "Not found", 0)</f>
        <v>11</v>
      </c>
    </row>
    <row r="164" spans="1:12" x14ac:dyDescent="0.3">
      <c r="A164" t="s">
        <v>71</v>
      </c>
      <c r="B164">
        <v>2015</v>
      </c>
      <c r="C164" t="s">
        <v>23</v>
      </c>
      <c r="D164">
        <v>23</v>
      </c>
      <c r="E164">
        <v>33</v>
      </c>
      <c r="F164">
        <v>4</v>
      </c>
      <c r="G164">
        <v>0</v>
      </c>
      <c r="H164">
        <v>3</v>
      </c>
      <c r="I164">
        <v>3</v>
      </c>
      <c r="J164">
        <v>69.7</v>
      </c>
      <c r="K164">
        <v>7.67</v>
      </c>
      <c r="L164">
        <f>_xlfn.XLOOKUP(C164, dim_teams[team_name], dim_teams[team_id], "Not found", 0)</f>
        <v>7</v>
      </c>
    </row>
    <row r="165" spans="1:12" x14ac:dyDescent="0.3">
      <c r="A165" t="s">
        <v>71</v>
      </c>
      <c r="B165">
        <v>2016</v>
      </c>
      <c r="C165" t="s">
        <v>66</v>
      </c>
      <c r="D165">
        <v>393</v>
      </c>
      <c r="E165">
        <v>297</v>
      </c>
      <c r="F165">
        <v>45</v>
      </c>
      <c r="G165">
        <v>11</v>
      </c>
      <c r="H165">
        <v>8</v>
      </c>
      <c r="I165">
        <v>12</v>
      </c>
      <c r="J165">
        <v>132.32</v>
      </c>
      <c r="K165">
        <v>49.12</v>
      </c>
      <c r="L165">
        <f>_xlfn.XLOOKUP(C165, dim_teams[team_name], dim_teams[team_id], "Not found", 0)</f>
        <v>13</v>
      </c>
    </row>
    <row r="166" spans="1:12" x14ac:dyDescent="0.3">
      <c r="A166" t="s">
        <v>71</v>
      </c>
      <c r="B166">
        <v>2017</v>
      </c>
      <c r="C166" t="s">
        <v>66</v>
      </c>
      <c r="D166">
        <v>300</v>
      </c>
      <c r="E166">
        <v>182</v>
      </c>
      <c r="F166">
        <v>25</v>
      </c>
      <c r="G166">
        <v>19</v>
      </c>
      <c r="H166">
        <v>12</v>
      </c>
      <c r="I166">
        <v>13</v>
      </c>
      <c r="J166">
        <v>164.84</v>
      </c>
      <c r="K166">
        <v>25</v>
      </c>
      <c r="L166">
        <f>_xlfn.XLOOKUP(C166, dim_teams[team_name], dim_teams[team_id], "Not found", 0)</f>
        <v>13</v>
      </c>
    </row>
    <row r="167" spans="1:12" x14ac:dyDescent="0.3">
      <c r="A167" t="s">
        <v>71</v>
      </c>
      <c r="B167">
        <v>2018</v>
      </c>
      <c r="C167" t="s">
        <v>54</v>
      </c>
      <c r="D167">
        <v>134</v>
      </c>
      <c r="E167">
        <v>100</v>
      </c>
      <c r="F167">
        <v>6</v>
      </c>
      <c r="G167">
        <v>8</v>
      </c>
      <c r="H167">
        <v>8</v>
      </c>
      <c r="I167">
        <v>9</v>
      </c>
      <c r="J167">
        <v>134</v>
      </c>
      <c r="K167">
        <v>16.75</v>
      </c>
      <c r="L167">
        <f>_xlfn.XLOOKUP(C167, dim_teams[team_name], dim_teams[team_id], "Not found", 0)</f>
        <v>4</v>
      </c>
    </row>
    <row r="168" spans="1:12" x14ac:dyDescent="0.3">
      <c r="A168" t="s">
        <v>71</v>
      </c>
      <c r="B168">
        <v>2020</v>
      </c>
      <c r="C168" t="s">
        <v>21</v>
      </c>
      <c r="D168">
        <v>268</v>
      </c>
      <c r="E168">
        <v>239</v>
      </c>
      <c r="F168">
        <v>28</v>
      </c>
      <c r="G168">
        <v>8</v>
      </c>
      <c r="H168">
        <v>12</v>
      </c>
      <c r="I168">
        <v>12</v>
      </c>
      <c r="J168">
        <v>112.13</v>
      </c>
      <c r="K168">
        <v>22.33</v>
      </c>
      <c r="L168">
        <f>_xlfn.XLOOKUP(C168, dim_teams[team_name], dim_teams[team_id], "Not found", 0)</f>
        <v>2</v>
      </c>
    </row>
    <row r="169" spans="1:12" x14ac:dyDescent="0.3">
      <c r="A169" t="s">
        <v>71</v>
      </c>
      <c r="B169">
        <v>2022</v>
      </c>
      <c r="C169" t="s">
        <v>19</v>
      </c>
      <c r="D169">
        <v>86</v>
      </c>
      <c r="E169">
        <v>61</v>
      </c>
      <c r="F169">
        <v>10</v>
      </c>
      <c r="G169">
        <v>3</v>
      </c>
      <c r="H169">
        <v>6</v>
      </c>
      <c r="I169">
        <v>5</v>
      </c>
      <c r="J169">
        <v>140.97999999999999</v>
      </c>
      <c r="K169">
        <v>14.33</v>
      </c>
      <c r="L169">
        <f>_xlfn.XLOOKUP(C169, dim_teams[team_name], dim_teams[team_id], "Not found", 0)</f>
        <v>1</v>
      </c>
    </row>
    <row r="170" spans="1:12" x14ac:dyDescent="0.3">
      <c r="A170" t="s">
        <v>72</v>
      </c>
      <c r="B170">
        <v>2023</v>
      </c>
      <c r="C170" t="s">
        <v>13</v>
      </c>
      <c r="D170">
        <v>16</v>
      </c>
      <c r="E170">
        <v>10</v>
      </c>
      <c r="F170">
        <v>1</v>
      </c>
      <c r="G170">
        <v>1</v>
      </c>
      <c r="H170">
        <v>0</v>
      </c>
      <c r="I170">
        <v>1</v>
      </c>
      <c r="J170">
        <v>160</v>
      </c>
      <c r="L170">
        <f>_xlfn.XLOOKUP(C170, dim_teams[team_name], dim_teams[team_id], "Not found", 0)</f>
        <v>11</v>
      </c>
    </row>
    <row r="171" spans="1:12" x14ac:dyDescent="0.3">
      <c r="A171" t="s">
        <v>73</v>
      </c>
      <c r="B171">
        <v>2019</v>
      </c>
      <c r="C171" t="s">
        <v>17</v>
      </c>
      <c r="D171">
        <v>3</v>
      </c>
      <c r="E171">
        <v>10</v>
      </c>
      <c r="F171">
        <v>0</v>
      </c>
      <c r="G171">
        <v>0</v>
      </c>
      <c r="H171">
        <v>3</v>
      </c>
      <c r="I171">
        <v>4</v>
      </c>
      <c r="J171">
        <v>30</v>
      </c>
      <c r="K171">
        <v>1</v>
      </c>
      <c r="L171">
        <f>_xlfn.XLOOKUP(C171, dim_teams[team_name], dim_teams[team_id], "Not found", 0)</f>
        <v>5</v>
      </c>
    </row>
    <row r="172" spans="1:12" x14ac:dyDescent="0.3">
      <c r="A172" t="s">
        <v>73</v>
      </c>
      <c r="B172">
        <v>2024</v>
      </c>
      <c r="C172" t="s">
        <v>15</v>
      </c>
      <c r="D172">
        <v>21</v>
      </c>
      <c r="E172">
        <v>18</v>
      </c>
      <c r="F172">
        <v>0</v>
      </c>
      <c r="G172">
        <v>2</v>
      </c>
      <c r="H172">
        <v>2</v>
      </c>
      <c r="I172">
        <v>2</v>
      </c>
      <c r="J172">
        <v>116.67</v>
      </c>
      <c r="K172">
        <v>10.5</v>
      </c>
      <c r="L172">
        <f>_xlfn.XLOOKUP(C172, dim_teams[team_name], dim_teams[team_id], "Not found", 0)</f>
        <v>17</v>
      </c>
    </row>
    <row r="173" spans="1:12" x14ac:dyDescent="0.3">
      <c r="A173" t="s">
        <v>74</v>
      </c>
      <c r="B173">
        <v>2017</v>
      </c>
      <c r="C173" t="s">
        <v>66</v>
      </c>
      <c r="D173">
        <v>53</v>
      </c>
      <c r="E173">
        <v>29</v>
      </c>
      <c r="F173">
        <v>4</v>
      </c>
      <c r="G173">
        <v>3</v>
      </c>
      <c r="H173">
        <v>1</v>
      </c>
      <c r="I173">
        <v>3</v>
      </c>
      <c r="J173">
        <v>182.76</v>
      </c>
      <c r="K173">
        <v>53</v>
      </c>
      <c r="L173">
        <f>_xlfn.XLOOKUP(C173, dim_teams[team_name], dim_teams[team_id], "Not found", 0)</f>
        <v>13</v>
      </c>
    </row>
    <row r="174" spans="1:12" x14ac:dyDescent="0.3">
      <c r="A174" t="s">
        <v>74</v>
      </c>
      <c r="B174">
        <v>2018</v>
      </c>
      <c r="C174" t="s">
        <v>54</v>
      </c>
      <c r="D174">
        <v>32</v>
      </c>
      <c r="E174">
        <v>38</v>
      </c>
      <c r="F174">
        <v>2</v>
      </c>
      <c r="G174">
        <v>1</v>
      </c>
      <c r="H174">
        <v>6</v>
      </c>
      <c r="I174">
        <v>8</v>
      </c>
      <c r="J174">
        <v>84.21</v>
      </c>
      <c r="K174">
        <v>5.33</v>
      </c>
      <c r="L174">
        <f>_xlfn.XLOOKUP(C174, dim_teams[team_name], dim_teams[team_id], "Not found", 0)</f>
        <v>4</v>
      </c>
    </row>
    <row r="175" spans="1:12" x14ac:dyDescent="0.3">
      <c r="A175" t="s">
        <v>74</v>
      </c>
      <c r="B175">
        <v>2019</v>
      </c>
      <c r="C175" t="s">
        <v>54</v>
      </c>
      <c r="D175">
        <v>0</v>
      </c>
      <c r="E175">
        <v>2</v>
      </c>
      <c r="F175">
        <v>0</v>
      </c>
      <c r="G175">
        <v>0</v>
      </c>
      <c r="H175">
        <v>0</v>
      </c>
      <c r="I175">
        <v>1</v>
      </c>
      <c r="J175">
        <v>0</v>
      </c>
      <c r="L175">
        <f>_xlfn.XLOOKUP(C175, dim_teams[team_name], dim_teams[team_id], "Not found", 0)</f>
        <v>4</v>
      </c>
    </row>
    <row r="176" spans="1:12" x14ac:dyDescent="0.3">
      <c r="A176" t="s">
        <v>74</v>
      </c>
      <c r="B176">
        <v>2020</v>
      </c>
      <c r="C176" t="s">
        <v>17</v>
      </c>
      <c r="D176">
        <v>6</v>
      </c>
      <c r="E176">
        <v>6</v>
      </c>
      <c r="F176">
        <v>0</v>
      </c>
      <c r="G176">
        <v>1</v>
      </c>
      <c r="H176">
        <v>1</v>
      </c>
      <c r="I176">
        <v>1</v>
      </c>
      <c r="J176">
        <v>100</v>
      </c>
      <c r="K176">
        <v>6</v>
      </c>
      <c r="L176">
        <f>_xlfn.XLOOKUP(C176, dim_teams[team_name], dim_teams[team_id], "Not found", 0)</f>
        <v>5</v>
      </c>
    </row>
    <row r="177" spans="1:12" x14ac:dyDescent="0.3">
      <c r="A177" t="s">
        <v>75</v>
      </c>
      <c r="B177">
        <v>2021</v>
      </c>
      <c r="C177" t="s">
        <v>76</v>
      </c>
      <c r="D177">
        <v>146</v>
      </c>
      <c r="E177">
        <v>119</v>
      </c>
      <c r="F177">
        <v>12</v>
      </c>
      <c r="G177">
        <v>4</v>
      </c>
      <c r="H177">
        <v>5</v>
      </c>
      <c r="I177">
        <v>6</v>
      </c>
      <c r="J177">
        <v>122.69</v>
      </c>
      <c r="K177">
        <v>29.2</v>
      </c>
      <c r="L177">
        <f>_xlfn.XLOOKUP(C177, dim_teams[team_name], dim_teams[team_id], "Not found", 0)</f>
        <v>16</v>
      </c>
    </row>
    <row r="178" spans="1:12" x14ac:dyDescent="0.3">
      <c r="A178" t="s">
        <v>75</v>
      </c>
      <c r="B178">
        <v>2022</v>
      </c>
      <c r="C178" t="s">
        <v>13</v>
      </c>
      <c r="D178">
        <v>381</v>
      </c>
      <c r="E178">
        <v>273</v>
      </c>
      <c r="F178">
        <v>25</v>
      </c>
      <c r="G178">
        <v>19</v>
      </c>
      <c r="H178">
        <v>8</v>
      </c>
      <c r="I178">
        <v>12</v>
      </c>
      <c r="J178">
        <v>139.56</v>
      </c>
      <c r="K178">
        <v>47.62</v>
      </c>
      <c r="L178">
        <f>_xlfn.XLOOKUP(C178, dim_teams[team_name], dim_teams[team_id], "Not found", 0)</f>
        <v>11</v>
      </c>
    </row>
    <row r="179" spans="1:12" x14ac:dyDescent="0.3">
      <c r="A179" t="s">
        <v>75</v>
      </c>
      <c r="B179">
        <v>2023</v>
      </c>
      <c r="C179" t="s">
        <v>13</v>
      </c>
      <c r="D179">
        <v>248</v>
      </c>
      <c r="E179">
        <v>197</v>
      </c>
      <c r="F179">
        <v>18</v>
      </c>
      <c r="G179">
        <v>8</v>
      </c>
      <c r="H179">
        <v>11</v>
      </c>
      <c r="I179">
        <v>13</v>
      </c>
      <c r="J179">
        <v>125.89</v>
      </c>
      <c r="K179">
        <v>22.55</v>
      </c>
      <c r="L179">
        <f>_xlfn.XLOOKUP(C179, dim_teams[team_name], dim_teams[team_id], "Not found", 0)</f>
        <v>11</v>
      </c>
    </row>
    <row r="180" spans="1:12" x14ac:dyDescent="0.3">
      <c r="A180" t="s">
        <v>75</v>
      </c>
      <c r="B180">
        <v>2024</v>
      </c>
      <c r="C180" t="s">
        <v>13</v>
      </c>
      <c r="D180">
        <v>220</v>
      </c>
      <c r="E180">
        <v>175</v>
      </c>
      <c r="F180">
        <v>18</v>
      </c>
      <c r="G180">
        <v>4</v>
      </c>
      <c r="H180">
        <v>9</v>
      </c>
      <c r="I180">
        <v>11</v>
      </c>
      <c r="J180">
        <v>125.71</v>
      </c>
      <c r="K180">
        <v>24.44</v>
      </c>
      <c r="L180">
        <f>_xlfn.XLOOKUP(C180, dim_teams[team_name], dim_teams[team_id], "Not found", 0)</f>
        <v>11</v>
      </c>
    </row>
    <row r="181" spans="1:12" x14ac:dyDescent="0.3">
      <c r="A181" t="s">
        <v>75</v>
      </c>
      <c r="B181">
        <v>2025</v>
      </c>
      <c r="C181" t="s">
        <v>15</v>
      </c>
      <c r="D181">
        <v>445</v>
      </c>
      <c r="E181">
        <v>298</v>
      </c>
      <c r="F181">
        <v>38</v>
      </c>
      <c r="G181">
        <v>22</v>
      </c>
      <c r="H181">
        <v>13</v>
      </c>
      <c r="I181">
        <v>13</v>
      </c>
      <c r="J181">
        <v>149.33000000000001</v>
      </c>
      <c r="K181">
        <v>34.229999999999997</v>
      </c>
      <c r="L181">
        <f>_xlfn.XLOOKUP(C181, dim_teams[team_name], dim_teams[team_id], "Not found", 0)</f>
        <v>17</v>
      </c>
    </row>
    <row r="182" spans="1:12" x14ac:dyDescent="0.3">
      <c r="A182" t="s">
        <v>77</v>
      </c>
      <c r="B182">
        <v>2011</v>
      </c>
      <c r="C182" t="s">
        <v>17</v>
      </c>
      <c r="D182">
        <v>180</v>
      </c>
      <c r="E182">
        <v>152</v>
      </c>
      <c r="F182">
        <v>10</v>
      </c>
      <c r="G182">
        <v>10</v>
      </c>
      <c r="H182">
        <v>10</v>
      </c>
      <c r="I182">
        <v>10</v>
      </c>
      <c r="J182">
        <v>118.42</v>
      </c>
      <c r="K182">
        <v>18</v>
      </c>
      <c r="L182">
        <f>_xlfn.XLOOKUP(C182, dim_teams[team_name], dim_teams[team_id], "Not found", 0)</f>
        <v>5</v>
      </c>
    </row>
    <row r="183" spans="1:12" x14ac:dyDescent="0.3">
      <c r="A183" t="s">
        <v>77</v>
      </c>
      <c r="B183">
        <v>2012</v>
      </c>
      <c r="C183" t="s">
        <v>17</v>
      </c>
      <c r="D183">
        <v>220</v>
      </c>
      <c r="E183">
        <v>200</v>
      </c>
      <c r="F183">
        <v>14</v>
      </c>
      <c r="G183">
        <v>8</v>
      </c>
      <c r="H183">
        <v>11</v>
      </c>
      <c r="I183">
        <v>12</v>
      </c>
      <c r="J183">
        <v>110</v>
      </c>
      <c r="K183">
        <v>20</v>
      </c>
      <c r="L183">
        <f>_xlfn.XLOOKUP(C183, dim_teams[team_name], dim_teams[team_id], "Not found", 0)</f>
        <v>5</v>
      </c>
    </row>
    <row r="184" spans="1:12" x14ac:dyDescent="0.3">
      <c r="A184" t="s">
        <v>77</v>
      </c>
      <c r="B184">
        <v>2013</v>
      </c>
      <c r="C184" t="s">
        <v>17</v>
      </c>
      <c r="D184">
        <v>1</v>
      </c>
      <c r="E184">
        <v>2</v>
      </c>
      <c r="F184">
        <v>0</v>
      </c>
      <c r="G184">
        <v>0</v>
      </c>
      <c r="H184">
        <v>1</v>
      </c>
      <c r="I184">
        <v>1</v>
      </c>
      <c r="J184">
        <v>50</v>
      </c>
      <c r="K184">
        <v>1</v>
      </c>
      <c r="L184">
        <f>_xlfn.XLOOKUP(C184, dim_teams[team_name], dim_teams[team_id], "Not found", 0)</f>
        <v>5</v>
      </c>
    </row>
    <row r="185" spans="1:12" x14ac:dyDescent="0.3">
      <c r="A185" t="s">
        <v>78</v>
      </c>
      <c r="B185">
        <v>2008</v>
      </c>
      <c r="C185" t="s">
        <v>23</v>
      </c>
      <c r="D185">
        <v>206</v>
      </c>
      <c r="E185">
        <v>137</v>
      </c>
      <c r="F185">
        <v>16</v>
      </c>
      <c r="G185">
        <v>9</v>
      </c>
      <c r="H185">
        <v>8</v>
      </c>
      <c r="I185">
        <v>10</v>
      </c>
      <c r="J185">
        <v>150.36000000000001</v>
      </c>
      <c r="K185">
        <v>25.75</v>
      </c>
      <c r="L185">
        <f>_xlfn.XLOOKUP(C185, dim_teams[team_name], dim_teams[team_id], "Not found", 0)</f>
        <v>7</v>
      </c>
    </row>
    <row r="186" spans="1:12" x14ac:dyDescent="0.3">
      <c r="A186" t="s">
        <v>78</v>
      </c>
      <c r="B186">
        <v>2009</v>
      </c>
      <c r="C186" t="s">
        <v>23</v>
      </c>
      <c r="D186">
        <v>193</v>
      </c>
      <c r="E186">
        <v>151</v>
      </c>
      <c r="F186">
        <v>14</v>
      </c>
      <c r="G186">
        <v>7</v>
      </c>
      <c r="H186">
        <v>10</v>
      </c>
      <c r="I186">
        <v>11</v>
      </c>
      <c r="J186">
        <v>127.81</v>
      </c>
      <c r="K186">
        <v>19.3</v>
      </c>
      <c r="L186">
        <f>_xlfn.XLOOKUP(C186, dim_teams[team_name], dim_teams[team_id], "Not found", 0)</f>
        <v>7</v>
      </c>
    </row>
    <row r="187" spans="1:12" x14ac:dyDescent="0.3">
      <c r="A187" t="s">
        <v>78</v>
      </c>
      <c r="B187">
        <v>2010</v>
      </c>
      <c r="C187" t="s">
        <v>23</v>
      </c>
      <c r="D187">
        <v>58</v>
      </c>
      <c r="E187">
        <v>51</v>
      </c>
      <c r="F187">
        <v>4</v>
      </c>
      <c r="G187">
        <v>2</v>
      </c>
      <c r="H187">
        <v>2</v>
      </c>
      <c r="I187">
        <v>3</v>
      </c>
      <c r="J187">
        <v>113.73</v>
      </c>
      <c r="K187">
        <v>29</v>
      </c>
      <c r="L187">
        <f>_xlfn.XLOOKUP(C187, dim_teams[team_name], dim_teams[team_id], "Not found", 0)</f>
        <v>7</v>
      </c>
    </row>
    <row r="188" spans="1:12" x14ac:dyDescent="0.3">
      <c r="A188" t="s">
        <v>78</v>
      </c>
      <c r="B188">
        <v>2011</v>
      </c>
      <c r="C188" t="s">
        <v>54</v>
      </c>
      <c r="D188">
        <v>61</v>
      </c>
      <c r="E188">
        <v>66</v>
      </c>
      <c r="F188">
        <v>9</v>
      </c>
      <c r="G188">
        <v>0</v>
      </c>
      <c r="H188">
        <v>6</v>
      </c>
      <c r="I188">
        <v>9</v>
      </c>
      <c r="J188">
        <v>92.42</v>
      </c>
      <c r="K188">
        <v>10.17</v>
      </c>
      <c r="L188">
        <f>_xlfn.XLOOKUP(C188, dim_teams[team_name], dim_teams[team_id], "Not found", 0)</f>
        <v>4</v>
      </c>
    </row>
    <row r="189" spans="1:12" x14ac:dyDescent="0.3">
      <c r="A189" t="s">
        <v>78</v>
      </c>
      <c r="B189">
        <v>2012</v>
      </c>
      <c r="C189" t="s">
        <v>54</v>
      </c>
      <c r="D189">
        <v>45</v>
      </c>
      <c r="E189">
        <v>49</v>
      </c>
      <c r="F189">
        <v>2</v>
      </c>
      <c r="G189">
        <v>1</v>
      </c>
      <c r="H189">
        <v>2</v>
      </c>
      <c r="I189">
        <v>4</v>
      </c>
      <c r="J189">
        <v>91.84</v>
      </c>
      <c r="K189">
        <v>22.5</v>
      </c>
      <c r="L189">
        <f>_xlfn.XLOOKUP(C189, dim_teams[team_name], dim_teams[team_id], "Not found", 0)</f>
        <v>4</v>
      </c>
    </row>
    <row r="190" spans="1:12" x14ac:dyDescent="0.3">
      <c r="A190" t="s">
        <v>78</v>
      </c>
      <c r="B190">
        <v>2013</v>
      </c>
      <c r="C190" t="s">
        <v>37</v>
      </c>
      <c r="D190">
        <v>66</v>
      </c>
      <c r="E190">
        <v>73</v>
      </c>
      <c r="F190">
        <v>5</v>
      </c>
      <c r="G190">
        <v>0</v>
      </c>
      <c r="H190">
        <v>7</v>
      </c>
      <c r="I190">
        <v>9</v>
      </c>
      <c r="J190">
        <v>90.41</v>
      </c>
      <c r="K190">
        <v>9.43</v>
      </c>
      <c r="L190">
        <f>_xlfn.XLOOKUP(C190, dim_teams[team_name], dim_teams[team_id], "Not found", 0)</f>
        <v>10</v>
      </c>
    </row>
    <row r="191" spans="1:12" x14ac:dyDescent="0.3">
      <c r="A191" t="s">
        <v>78</v>
      </c>
      <c r="B191">
        <v>2014</v>
      </c>
      <c r="C191" t="s">
        <v>17</v>
      </c>
      <c r="D191">
        <v>43</v>
      </c>
      <c r="E191">
        <v>46</v>
      </c>
      <c r="F191">
        <v>5</v>
      </c>
      <c r="G191">
        <v>1</v>
      </c>
      <c r="H191">
        <v>4</v>
      </c>
      <c r="I191">
        <v>4</v>
      </c>
      <c r="J191">
        <v>93.48</v>
      </c>
      <c r="K191">
        <v>10.75</v>
      </c>
      <c r="L191">
        <f>_xlfn.XLOOKUP(C191, dim_teams[team_name], dim_teams[team_id], "Not found", 0)</f>
        <v>5</v>
      </c>
    </row>
    <row r="192" spans="1:12" x14ac:dyDescent="0.3">
      <c r="A192" t="s">
        <v>79</v>
      </c>
      <c r="B192">
        <v>2008</v>
      </c>
      <c r="C192" t="s">
        <v>23</v>
      </c>
      <c r="D192">
        <v>4</v>
      </c>
      <c r="E192">
        <v>17</v>
      </c>
      <c r="F192">
        <v>1</v>
      </c>
      <c r="G192">
        <v>0</v>
      </c>
      <c r="H192">
        <v>2</v>
      </c>
      <c r="I192">
        <v>2</v>
      </c>
      <c r="J192">
        <v>23.53</v>
      </c>
      <c r="K192">
        <v>2</v>
      </c>
      <c r="L192">
        <f>_xlfn.XLOOKUP(C192, dim_teams[team_name], dim_teams[team_id], "Not found", 0)</f>
        <v>7</v>
      </c>
    </row>
    <row r="193" spans="1:12" x14ac:dyDescent="0.3">
      <c r="A193" t="s">
        <v>79</v>
      </c>
      <c r="B193">
        <v>2009</v>
      </c>
      <c r="C193" t="s">
        <v>23</v>
      </c>
      <c r="D193">
        <v>144</v>
      </c>
      <c r="E193">
        <v>121</v>
      </c>
      <c r="F193">
        <v>12</v>
      </c>
      <c r="G193">
        <v>3</v>
      </c>
      <c r="H193">
        <v>6</v>
      </c>
      <c r="I193">
        <v>7</v>
      </c>
      <c r="J193">
        <v>119.01</v>
      </c>
      <c r="K193">
        <v>24</v>
      </c>
      <c r="L193">
        <f>_xlfn.XLOOKUP(C193, dim_teams[team_name], dim_teams[team_id], "Not found", 0)</f>
        <v>7</v>
      </c>
    </row>
    <row r="194" spans="1:12" x14ac:dyDescent="0.3">
      <c r="A194" t="s">
        <v>79</v>
      </c>
      <c r="B194">
        <v>2011</v>
      </c>
      <c r="C194" t="s">
        <v>17</v>
      </c>
      <c r="D194">
        <v>120</v>
      </c>
      <c r="E194">
        <v>98</v>
      </c>
      <c r="F194">
        <v>12</v>
      </c>
      <c r="G194">
        <v>2</v>
      </c>
      <c r="H194">
        <v>5</v>
      </c>
      <c r="I194">
        <v>7</v>
      </c>
      <c r="J194">
        <v>122.45</v>
      </c>
      <c r="K194">
        <v>24</v>
      </c>
      <c r="L194">
        <f>_xlfn.XLOOKUP(C194, dim_teams[team_name], dim_teams[team_id], "Not found", 0)</f>
        <v>5</v>
      </c>
    </row>
    <row r="195" spans="1:12" x14ac:dyDescent="0.3">
      <c r="A195" t="s">
        <v>79</v>
      </c>
      <c r="B195">
        <v>2012</v>
      </c>
      <c r="C195" t="s">
        <v>17</v>
      </c>
      <c r="D195">
        <v>560</v>
      </c>
      <c r="E195">
        <v>433</v>
      </c>
      <c r="F195">
        <v>73</v>
      </c>
      <c r="G195">
        <v>10</v>
      </c>
      <c r="H195">
        <v>14</v>
      </c>
      <c r="I195">
        <v>16</v>
      </c>
      <c r="J195">
        <v>129.33000000000001</v>
      </c>
      <c r="K195">
        <v>40</v>
      </c>
      <c r="L195">
        <f>_xlfn.XLOOKUP(C195, dim_teams[team_name], dim_teams[team_id], "Not found", 0)</f>
        <v>5</v>
      </c>
    </row>
    <row r="196" spans="1:12" x14ac:dyDescent="0.3">
      <c r="A196" t="s">
        <v>79</v>
      </c>
      <c r="B196">
        <v>2013</v>
      </c>
      <c r="C196" t="s">
        <v>17</v>
      </c>
      <c r="D196">
        <v>488</v>
      </c>
      <c r="E196">
        <v>458</v>
      </c>
      <c r="F196">
        <v>42</v>
      </c>
      <c r="G196">
        <v>11</v>
      </c>
      <c r="H196">
        <v>15</v>
      </c>
      <c r="I196">
        <v>18</v>
      </c>
      <c r="J196">
        <v>106.55</v>
      </c>
      <c r="K196">
        <v>32.53</v>
      </c>
      <c r="L196">
        <f>_xlfn.XLOOKUP(C196, dim_teams[team_name], dim_teams[team_id], "Not found", 0)</f>
        <v>5</v>
      </c>
    </row>
    <row r="197" spans="1:12" x14ac:dyDescent="0.3">
      <c r="A197" t="s">
        <v>79</v>
      </c>
      <c r="B197">
        <v>2014</v>
      </c>
      <c r="C197" t="s">
        <v>17</v>
      </c>
      <c r="D197">
        <v>339</v>
      </c>
      <c r="E197">
        <v>291</v>
      </c>
      <c r="F197">
        <v>38</v>
      </c>
      <c r="G197">
        <v>3</v>
      </c>
      <c r="H197">
        <v>10</v>
      </c>
      <c r="I197">
        <v>12</v>
      </c>
      <c r="J197">
        <v>116.49</v>
      </c>
      <c r="K197">
        <v>33.9</v>
      </c>
      <c r="L197">
        <f>_xlfn.XLOOKUP(C197, dim_teams[team_name], dim_teams[team_id], "Not found", 0)</f>
        <v>5</v>
      </c>
    </row>
    <row r="198" spans="1:12" x14ac:dyDescent="0.3">
      <c r="A198" t="s">
        <v>79</v>
      </c>
      <c r="B198">
        <v>2015</v>
      </c>
      <c r="C198" t="s">
        <v>17</v>
      </c>
      <c r="D198">
        <v>540</v>
      </c>
      <c r="E198">
        <v>412</v>
      </c>
      <c r="F198">
        <v>53</v>
      </c>
      <c r="G198">
        <v>13</v>
      </c>
      <c r="H198">
        <v>11</v>
      </c>
      <c r="I198">
        <v>13</v>
      </c>
      <c r="J198">
        <v>131.07</v>
      </c>
      <c r="K198">
        <v>49.09</v>
      </c>
      <c r="L198">
        <f>_xlfn.XLOOKUP(C198, dim_teams[team_name], dim_teams[team_id], "Not found", 0)</f>
        <v>5</v>
      </c>
    </row>
    <row r="199" spans="1:12" x14ac:dyDescent="0.3">
      <c r="A199" t="s">
        <v>79</v>
      </c>
      <c r="B199">
        <v>2016</v>
      </c>
      <c r="C199" t="s">
        <v>45</v>
      </c>
      <c r="D199">
        <v>480</v>
      </c>
      <c r="E199">
        <v>378</v>
      </c>
      <c r="F199">
        <v>54</v>
      </c>
      <c r="G199">
        <v>9</v>
      </c>
      <c r="H199">
        <v>13</v>
      </c>
      <c r="I199">
        <v>14</v>
      </c>
      <c r="J199">
        <v>126.98</v>
      </c>
      <c r="K199">
        <v>36.92</v>
      </c>
      <c r="L199">
        <f>_xlfn.XLOOKUP(C199, dim_teams[team_name], dim_teams[team_id], "Not found", 0)</f>
        <v>12</v>
      </c>
    </row>
    <row r="200" spans="1:12" x14ac:dyDescent="0.3">
      <c r="A200" t="s">
        <v>79</v>
      </c>
      <c r="B200">
        <v>2017</v>
      </c>
      <c r="C200" t="s">
        <v>46</v>
      </c>
      <c r="D200">
        <v>382</v>
      </c>
      <c r="E200">
        <v>323</v>
      </c>
      <c r="F200">
        <v>35</v>
      </c>
      <c r="G200">
        <v>9</v>
      </c>
      <c r="H200">
        <v>15</v>
      </c>
      <c r="I200">
        <v>16</v>
      </c>
      <c r="J200">
        <v>118.27</v>
      </c>
      <c r="K200">
        <v>25.47</v>
      </c>
      <c r="L200">
        <f>_xlfn.XLOOKUP(C200, dim_teams[team_name], dim_teams[team_id], "Not found", 0)</f>
        <v>14</v>
      </c>
    </row>
    <row r="201" spans="1:12" x14ac:dyDescent="0.3">
      <c r="A201" t="s">
        <v>79</v>
      </c>
      <c r="B201">
        <v>2018</v>
      </c>
      <c r="C201" t="s">
        <v>17</v>
      </c>
      <c r="D201">
        <v>370</v>
      </c>
      <c r="E201">
        <v>313</v>
      </c>
      <c r="F201">
        <v>39</v>
      </c>
      <c r="G201">
        <v>5</v>
      </c>
      <c r="H201">
        <v>13</v>
      </c>
      <c r="I201">
        <v>14</v>
      </c>
      <c r="J201">
        <v>118.21</v>
      </c>
      <c r="K201">
        <v>28.46</v>
      </c>
      <c r="L201">
        <f>_xlfn.XLOOKUP(C201, dim_teams[team_name], dim_teams[team_id], "Not found", 0)</f>
        <v>5</v>
      </c>
    </row>
    <row r="202" spans="1:12" x14ac:dyDescent="0.3">
      <c r="A202" t="s">
        <v>79</v>
      </c>
      <c r="B202">
        <v>2019</v>
      </c>
      <c r="C202" t="s">
        <v>17</v>
      </c>
      <c r="D202">
        <v>393</v>
      </c>
      <c r="E202">
        <v>285</v>
      </c>
      <c r="F202">
        <v>45</v>
      </c>
      <c r="G202">
        <v>9</v>
      </c>
      <c r="H202">
        <v>13</v>
      </c>
      <c r="I202">
        <v>13</v>
      </c>
      <c r="J202">
        <v>137.88999999999999</v>
      </c>
      <c r="K202">
        <v>30.23</v>
      </c>
      <c r="L202">
        <f>_xlfn.XLOOKUP(C202, dim_teams[team_name], dim_teams[team_id], "Not found", 0)</f>
        <v>5</v>
      </c>
    </row>
    <row r="203" spans="1:12" x14ac:dyDescent="0.3">
      <c r="A203" t="s">
        <v>79</v>
      </c>
      <c r="B203">
        <v>2020</v>
      </c>
      <c r="C203" t="s">
        <v>33</v>
      </c>
      <c r="D203">
        <v>113</v>
      </c>
      <c r="E203">
        <v>107</v>
      </c>
      <c r="F203">
        <v>12</v>
      </c>
      <c r="G203">
        <v>2</v>
      </c>
      <c r="H203">
        <v>8</v>
      </c>
      <c r="I203">
        <v>8</v>
      </c>
      <c r="J203">
        <v>105.61</v>
      </c>
      <c r="K203">
        <v>14.12</v>
      </c>
      <c r="L203">
        <f>_xlfn.XLOOKUP(C203, dim_teams[team_name], dim_teams[team_id], "Not found", 0)</f>
        <v>15</v>
      </c>
    </row>
    <row r="204" spans="1:12" x14ac:dyDescent="0.3">
      <c r="A204" t="s">
        <v>79</v>
      </c>
      <c r="B204">
        <v>2021</v>
      </c>
      <c r="C204" t="s">
        <v>33</v>
      </c>
      <c r="D204">
        <v>8</v>
      </c>
      <c r="E204">
        <v>8</v>
      </c>
      <c r="F204">
        <v>1</v>
      </c>
      <c r="G204">
        <v>0</v>
      </c>
      <c r="H204">
        <v>1</v>
      </c>
      <c r="I204">
        <v>1</v>
      </c>
      <c r="J204">
        <v>100</v>
      </c>
      <c r="K204">
        <v>8</v>
      </c>
      <c r="L204">
        <f>_xlfn.XLOOKUP(C204, dim_teams[team_name], dim_teams[team_id], "Not found", 0)</f>
        <v>15</v>
      </c>
    </row>
    <row r="205" spans="1:12" x14ac:dyDescent="0.3">
      <c r="A205" t="s">
        <v>79</v>
      </c>
      <c r="B205">
        <v>2022</v>
      </c>
      <c r="C205" t="s">
        <v>19</v>
      </c>
      <c r="D205">
        <v>133</v>
      </c>
      <c r="E205">
        <v>128</v>
      </c>
      <c r="F205">
        <v>14</v>
      </c>
      <c r="G205">
        <v>4</v>
      </c>
      <c r="H205">
        <v>7</v>
      </c>
      <c r="I205">
        <v>7</v>
      </c>
      <c r="J205">
        <v>103.91</v>
      </c>
      <c r="K205">
        <v>19</v>
      </c>
      <c r="L205">
        <f>_xlfn.XLOOKUP(C205, dim_teams[team_name], dim_teams[team_id], "Not found", 0)</f>
        <v>1</v>
      </c>
    </row>
    <row r="206" spans="1:12" x14ac:dyDescent="0.3">
      <c r="A206" t="s">
        <v>79</v>
      </c>
      <c r="B206">
        <v>2023</v>
      </c>
      <c r="C206" t="s">
        <v>25</v>
      </c>
      <c r="D206">
        <v>326</v>
      </c>
      <c r="E206">
        <v>189</v>
      </c>
      <c r="F206">
        <v>24</v>
      </c>
      <c r="G206">
        <v>16</v>
      </c>
      <c r="H206">
        <v>10</v>
      </c>
      <c r="I206">
        <v>11</v>
      </c>
      <c r="J206">
        <v>172.49</v>
      </c>
      <c r="K206">
        <v>32.6</v>
      </c>
      <c r="L206">
        <f>_xlfn.XLOOKUP(C206, dim_teams[team_name], dim_teams[team_id], "Not found", 0)</f>
        <v>3</v>
      </c>
    </row>
    <row r="207" spans="1:12" x14ac:dyDescent="0.3">
      <c r="A207" t="s">
        <v>79</v>
      </c>
      <c r="B207">
        <v>2024</v>
      </c>
      <c r="C207" t="s">
        <v>25</v>
      </c>
      <c r="D207">
        <v>242</v>
      </c>
      <c r="E207">
        <v>196</v>
      </c>
      <c r="F207">
        <v>24</v>
      </c>
      <c r="G207">
        <v>7</v>
      </c>
      <c r="H207">
        <v>13</v>
      </c>
      <c r="I207">
        <v>12</v>
      </c>
      <c r="J207">
        <v>123.47</v>
      </c>
      <c r="K207">
        <v>18.62</v>
      </c>
      <c r="L207">
        <f>_xlfn.XLOOKUP(C207, dim_teams[team_name], dim_teams[team_id], "Not found", 0)</f>
        <v>3</v>
      </c>
    </row>
    <row r="208" spans="1:12" x14ac:dyDescent="0.3">
      <c r="A208" t="s">
        <v>79</v>
      </c>
      <c r="B208">
        <v>2025</v>
      </c>
      <c r="C208" t="s">
        <v>19</v>
      </c>
      <c r="D208">
        <v>390</v>
      </c>
      <c r="E208">
        <v>264</v>
      </c>
      <c r="F208">
        <v>36</v>
      </c>
      <c r="G208">
        <v>20</v>
      </c>
      <c r="H208">
        <v>11</v>
      </c>
      <c r="I208">
        <v>12</v>
      </c>
      <c r="J208">
        <v>147.72999999999999</v>
      </c>
      <c r="K208">
        <v>35.450000000000003</v>
      </c>
      <c r="L208">
        <f>_xlfn.XLOOKUP(C208, dim_teams[team_name], dim_teams[team_id], "Not found", 0)</f>
        <v>1</v>
      </c>
    </row>
    <row r="209" spans="1:12" x14ac:dyDescent="0.3">
      <c r="A209" t="s">
        <v>80</v>
      </c>
      <c r="B209">
        <v>2010</v>
      </c>
      <c r="C209" t="s">
        <v>23</v>
      </c>
      <c r="D209">
        <v>4</v>
      </c>
      <c r="E209">
        <v>7</v>
      </c>
      <c r="F209">
        <v>0</v>
      </c>
      <c r="G209">
        <v>0</v>
      </c>
      <c r="H209">
        <v>0</v>
      </c>
      <c r="I209">
        <v>1</v>
      </c>
      <c r="J209">
        <v>57.14</v>
      </c>
      <c r="L209">
        <f>_xlfn.XLOOKUP(C209, dim_teams[team_name], dim_teams[team_id], "Not found", 0)</f>
        <v>7</v>
      </c>
    </row>
    <row r="210" spans="1:12" x14ac:dyDescent="0.3">
      <c r="A210" t="s">
        <v>80</v>
      </c>
      <c r="B210">
        <v>2011</v>
      </c>
      <c r="C210" t="s">
        <v>23</v>
      </c>
      <c r="D210">
        <v>18</v>
      </c>
      <c r="E210">
        <v>13</v>
      </c>
      <c r="F210">
        <v>1</v>
      </c>
      <c r="G210">
        <v>1</v>
      </c>
      <c r="H210">
        <v>0</v>
      </c>
      <c r="I210">
        <v>1</v>
      </c>
      <c r="J210">
        <v>138.46</v>
      </c>
      <c r="L210">
        <f>_xlfn.XLOOKUP(C210, dim_teams[team_name], dim_teams[team_id], "Not found", 0)</f>
        <v>7</v>
      </c>
    </row>
    <row r="211" spans="1:12" x14ac:dyDescent="0.3">
      <c r="A211" t="s">
        <v>80</v>
      </c>
      <c r="B211">
        <v>2014</v>
      </c>
      <c r="C211" t="s">
        <v>21</v>
      </c>
      <c r="D211">
        <v>4</v>
      </c>
      <c r="E211">
        <v>1</v>
      </c>
      <c r="F211">
        <v>1</v>
      </c>
      <c r="G211">
        <v>0</v>
      </c>
      <c r="H211">
        <v>0</v>
      </c>
      <c r="I211">
        <v>1</v>
      </c>
      <c r="J211">
        <v>400</v>
      </c>
      <c r="L211">
        <f>_xlfn.XLOOKUP(C211, dim_teams[team_name], dim_teams[team_id], "Not found", 0)</f>
        <v>2</v>
      </c>
    </row>
    <row r="212" spans="1:12" x14ac:dyDescent="0.3">
      <c r="A212" t="s">
        <v>80</v>
      </c>
      <c r="B212">
        <v>2015</v>
      </c>
      <c r="C212" t="s">
        <v>21</v>
      </c>
      <c r="D212">
        <v>10</v>
      </c>
      <c r="E212">
        <v>5</v>
      </c>
      <c r="F212">
        <v>2</v>
      </c>
      <c r="G212">
        <v>0</v>
      </c>
      <c r="H212">
        <v>1</v>
      </c>
      <c r="I212">
        <v>3</v>
      </c>
      <c r="J212">
        <v>200</v>
      </c>
      <c r="K212">
        <v>10</v>
      </c>
      <c r="L212">
        <f>_xlfn.XLOOKUP(C212, dim_teams[team_name], dim_teams[team_id], "Not found", 0)</f>
        <v>2</v>
      </c>
    </row>
    <row r="213" spans="1:12" x14ac:dyDescent="0.3">
      <c r="A213" t="s">
        <v>81</v>
      </c>
      <c r="B213">
        <v>2009</v>
      </c>
      <c r="C213" t="s">
        <v>19</v>
      </c>
      <c r="D213">
        <v>7</v>
      </c>
      <c r="E213">
        <v>8</v>
      </c>
      <c r="F213">
        <v>1</v>
      </c>
      <c r="G213">
        <v>0</v>
      </c>
      <c r="H213">
        <v>2</v>
      </c>
      <c r="I213">
        <v>2</v>
      </c>
      <c r="J213">
        <v>87.5</v>
      </c>
      <c r="K213">
        <v>3.5</v>
      </c>
      <c r="L213">
        <f>_xlfn.XLOOKUP(C213, dim_teams[team_name], dim_teams[team_id], "Not found", 0)</f>
        <v>1</v>
      </c>
    </row>
    <row r="214" spans="1:12" x14ac:dyDescent="0.3">
      <c r="A214" t="s">
        <v>82</v>
      </c>
      <c r="B214">
        <v>2010</v>
      </c>
      <c r="C214" t="s">
        <v>17</v>
      </c>
      <c r="D214">
        <v>34</v>
      </c>
      <c r="E214">
        <v>22</v>
      </c>
      <c r="F214">
        <v>3</v>
      </c>
      <c r="G214">
        <v>1</v>
      </c>
      <c r="H214">
        <v>2</v>
      </c>
      <c r="I214">
        <v>2</v>
      </c>
      <c r="J214">
        <v>154.55000000000001</v>
      </c>
      <c r="K214">
        <v>17</v>
      </c>
      <c r="L214">
        <f>_xlfn.XLOOKUP(C214, dim_teams[team_name], dim_teams[team_id], "Not found", 0)</f>
        <v>5</v>
      </c>
    </row>
    <row r="215" spans="1:12" x14ac:dyDescent="0.3">
      <c r="A215" t="s">
        <v>83</v>
      </c>
      <c r="B215">
        <v>2012</v>
      </c>
      <c r="C215" t="s">
        <v>37</v>
      </c>
      <c r="D215">
        <v>87</v>
      </c>
      <c r="E215">
        <v>76</v>
      </c>
      <c r="F215">
        <v>7</v>
      </c>
      <c r="G215">
        <v>2</v>
      </c>
      <c r="H215">
        <v>4</v>
      </c>
      <c r="I215">
        <v>4</v>
      </c>
      <c r="J215">
        <v>114.47</v>
      </c>
      <c r="K215">
        <v>21.75</v>
      </c>
      <c r="L215">
        <f>_xlfn.XLOOKUP(C215, dim_teams[team_name], dim_teams[team_id], "Not found", 0)</f>
        <v>10</v>
      </c>
    </row>
    <row r="216" spans="1:12" x14ac:dyDescent="0.3">
      <c r="A216" t="s">
        <v>84</v>
      </c>
      <c r="B216">
        <v>2010</v>
      </c>
      <c r="C216" t="s">
        <v>23</v>
      </c>
      <c r="D216">
        <v>50</v>
      </c>
      <c r="E216">
        <v>36</v>
      </c>
      <c r="F216">
        <v>5</v>
      </c>
      <c r="G216">
        <v>3</v>
      </c>
      <c r="H216">
        <v>4</v>
      </c>
      <c r="I216">
        <v>4</v>
      </c>
      <c r="J216">
        <v>138.88999999999999</v>
      </c>
      <c r="K216">
        <v>12.5</v>
      </c>
      <c r="L216">
        <f>_xlfn.XLOOKUP(C216, dim_teams[team_name], dim_teams[team_id], "Not found", 0)</f>
        <v>7</v>
      </c>
    </row>
    <row r="217" spans="1:12" x14ac:dyDescent="0.3">
      <c r="A217" t="s">
        <v>84</v>
      </c>
      <c r="B217">
        <v>2013</v>
      </c>
      <c r="C217" t="s">
        <v>23</v>
      </c>
      <c r="D217">
        <v>123</v>
      </c>
      <c r="E217">
        <v>84</v>
      </c>
      <c r="F217">
        <v>14</v>
      </c>
      <c r="G217">
        <v>5</v>
      </c>
      <c r="H217">
        <v>5</v>
      </c>
      <c r="I217">
        <v>5</v>
      </c>
      <c r="J217">
        <v>146.43</v>
      </c>
      <c r="K217">
        <v>24.6</v>
      </c>
      <c r="L217">
        <f>_xlfn.XLOOKUP(C217, dim_teams[team_name], dim_teams[team_id], "Not found", 0)</f>
        <v>7</v>
      </c>
    </row>
    <row r="218" spans="1:12" x14ac:dyDescent="0.3">
      <c r="A218" t="s">
        <v>84</v>
      </c>
      <c r="B218">
        <v>2014</v>
      </c>
      <c r="C218" t="s">
        <v>23</v>
      </c>
      <c r="D218">
        <v>126</v>
      </c>
      <c r="E218">
        <v>97</v>
      </c>
      <c r="F218">
        <v>16</v>
      </c>
      <c r="G218">
        <v>3</v>
      </c>
      <c r="H218">
        <v>8</v>
      </c>
      <c r="I218">
        <v>11</v>
      </c>
      <c r="J218">
        <v>129.9</v>
      </c>
      <c r="K218">
        <v>15.75</v>
      </c>
      <c r="L218">
        <f>_xlfn.XLOOKUP(C218, dim_teams[team_name], dim_teams[team_id], "Not found", 0)</f>
        <v>7</v>
      </c>
    </row>
    <row r="219" spans="1:12" x14ac:dyDescent="0.3">
      <c r="A219" t="s">
        <v>84</v>
      </c>
      <c r="B219">
        <v>2015</v>
      </c>
      <c r="C219" t="s">
        <v>23</v>
      </c>
      <c r="D219">
        <v>14</v>
      </c>
      <c r="E219">
        <v>17</v>
      </c>
      <c r="F219">
        <v>1</v>
      </c>
      <c r="G219">
        <v>0</v>
      </c>
      <c r="H219">
        <v>2</v>
      </c>
      <c r="I219">
        <v>2</v>
      </c>
      <c r="J219">
        <v>82.35</v>
      </c>
      <c r="K219">
        <v>7</v>
      </c>
      <c r="L219">
        <f>_xlfn.XLOOKUP(C219, dim_teams[team_name], dim_teams[team_id], "Not found", 0)</f>
        <v>7</v>
      </c>
    </row>
    <row r="220" spans="1:12" x14ac:dyDescent="0.3">
      <c r="A220" t="s">
        <v>84</v>
      </c>
      <c r="B220">
        <v>2016</v>
      </c>
      <c r="C220" t="s">
        <v>13</v>
      </c>
      <c r="D220">
        <v>8</v>
      </c>
      <c r="E220">
        <v>15</v>
      </c>
      <c r="F220">
        <v>1</v>
      </c>
      <c r="G220">
        <v>0</v>
      </c>
      <c r="H220">
        <v>2</v>
      </c>
      <c r="I220">
        <v>2</v>
      </c>
      <c r="J220">
        <v>53.33</v>
      </c>
      <c r="K220">
        <v>4</v>
      </c>
      <c r="L220">
        <f>_xlfn.XLOOKUP(C220, dim_teams[team_name], dim_teams[team_id], "Not found", 0)</f>
        <v>11</v>
      </c>
    </row>
    <row r="221" spans="1:12" x14ac:dyDescent="0.3">
      <c r="A221" t="s">
        <v>84</v>
      </c>
      <c r="B221">
        <v>2017</v>
      </c>
      <c r="C221" t="s">
        <v>32</v>
      </c>
      <c r="D221">
        <v>18</v>
      </c>
      <c r="E221">
        <v>23</v>
      </c>
      <c r="F221">
        <v>3</v>
      </c>
      <c r="G221">
        <v>0</v>
      </c>
      <c r="H221">
        <v>3</v>
      </c>
      <c r="I221">
        <v>3</v>
      </c>
      <c r="J221">
        <v>78.260000000000005</v>
      </c>
      <c r="K221">
        <v>6</v>
      </c>
      <c r="L221">
        <f>_xlfn.XLOOKUP(C221, dim_teams[team_name], dim_teams[team_id], "Not found", 0)</f>
        <v>6</v>
      </c>
    </row>
    <row r="222" spans="1:12" x14ac:dyDescent="0.3">
      <c r="A222" t="s">
        <v>85</v>
      </c>
      <c r="B222">
        <v>2017</v>
      </c>
      <c r="C222" t="s">
        <v>32</v>
      </c>
      <c r="D222">
        <v>12</v>
      </c>
      <c r="E222">
        <v>12</v>
      </c>
      <c r="F222">
        <v>1</v>
      </c>
      <c r="G222">
        <v>0</v>
      </c>
      <c r="H222">
        <v>0</v>
      </c>
      <c r="I222">
        <v>1</v>
      </c>
      <c r="J222">
        <v>100</v>
      </c>
      <c r="L222">
        <f>_xlfn.XLOOKUP(C222, dim_teams[team_name], dim_teams[team_id], "Not found", 0)</f>
        <v>6</v>
      </c>
    </row>
    <row r="223" spans="1:12" x14ac:dyDescent="0.3">
      <c r="A223" t="s">
        <v>86</v>
      </c>
      <c r="B223">
        <v>2014</v>
      </c>
      <c r="C223" t="s">
        <v>54</v>
      </c>
      <c r="D223">
        <v>62</v>
      </c>
      <c r="E223">
        <v>60</v>
      </c>
      <c r="F223">
        <v>6</v>
      </c>
      <c r="G223">
        <v>1</v>
      </c>
      <c r="H223">
        <v>5</v>
      </c>
      <c r="I223">
        <v>7</v>
      </c>
      <c r="J223">
        <v>103.33</v>
      </c>
      <c r="K223">
        <v>12.4</v>
      </c>
      <c r="L223">
        <f>_xlfn.XLOOKUP(C223, dim_teams[team_name], dim_teams[team_id], "Not found", 0)</f>
        <v>4</v>
      </c>
    </row>
    <row r="224" spans="1:12" x14ac:dyDescent="0.3">
      <c r="A224" t="s">
        <v>86</v>
      </c>
      <c r="B224">
        <v>2015</v>
      </c>
      <c r="C224" t="s">
        <v>54</v>
      </c>
      <c r="D224">
        <v>206</v>
      </c>
      <c r="E224">
        <v>174</v>
      </c>
      <c r="F224">
        <v>13</v>
      </c>
      <c r="G224">
        <v>8</v>
      </c>
      <c r="H224">
        <v>10</v>
      </c>
      <c r="I224">
        <v>12</v>
      </c>
      <c r="J224">
        <v>118.39</v>
      </c>
      <c r="K224">
        <v>20.6</v>
      </c>
      <c r="L224">
        <f>_xlfn.XLOOKUP(C224, dim_teams[team_name], dim_teams[team_id], "Not found", 0)</f>
        <v>4</v>
      </c>
    </row>
    <row r="225" spans="1:12" x14ac:dyDescent="0.3">
      <c r="A225" t="s">
        <v>86</v>
      </c>
      <c r="B225">
        <v>2016</v>
      </c>
      <c r="C225" t="s">
        <v>54</v>
      </c>
      <c r="D225">
        <v>111</v>
      </c>
      <c r="E225">
        <v>77</v>
      </c>
      <c r="F225">
        <v>4</v>
      </c>
      <c r="G225">
        <v>8</v>
      </c>
      <c r="H225">
        <v>6</v>
      </c>
      <c r="I225">
        <v>10</v>
      </c>
      <c r="J225">
        <v>144.16</v>
      </c>
      <c r="K225">
        <v>18.5</v>
      </c>
      <c r="L225">
        <f>_xlfn.XLOOKUP(C225, dim_teams[team_name], dim_teams[team_id], "Not found", 0)</f>
        <v>4</v>
      </c>
    </row>
    <row r="226" spans="1:12" x14ac:dyDescent="0.3">
      <c r="A226" t="s">
        <v>86</v>
      </c>
      <c r="B226">
        <v>2017</v>
      </c>
      <c r="C226" t="s">
        <v>54</v>
      </c>
      <c r="D226">
        <v>227</v>
      </c>
      <c r="E226">
        <v>162</v>
      </c>
      <c r="F226">
        <v>11</v>
      </c>
      <c r="G226">
        <v>11</v>
      </c>
      <c r="H226">
        <v>8</v>
      </c>
      <c r="I226">
        <v>13</v>
      </c>
      <c r="J226">
        <v>140.12</v>
      </c>
      <c r="K226">
        <v>28.38</v>
      </c>
      <c r="L226">
        <f>_xlfn.XLOOKUP(C226, dim_teams[team_name], dim_teams[team_id], "Not found", 0)</f>
        <v>4</v>
      </c>
    </row>
    <row r="227" spans="1:12" x14ac:dyDescent="0.3">
      <c r="A227" t="s">
        <v>86</v>
      </c>
      <c r="B227">
        <v>2018</v>
      </c>
      <c r="C227" t="s">
        <v>54</v>
      </c>
      <c r="D227">
        <v>80</v>
      </c>
      <c r="E227">
        <v>69</v>
      </c>
      <c r="F227">
        <v>3</v>
      </c>
      <c r="G227">
        <v>4</v>
      </c>
      <c r="H227">
        <v>7</v>
      </c>
      <c r="I227">
        <v>8</v>
      </c>
      <c r="J227">
        <v>115.94</v>
      </c>
      <c r="K227">
        <v>11.43</v>
      </c>
      <c r="L227">
        <f>_xlfn.XLOOKUP(C227, dim_teams[team_name], dim_teams[team_id], "Not found", 0)</f>
        <v>4</v>
      </c>
    </row>
    <row r="228" spans="1:12" x14ac:dyDescent="0.3">
      <c r="A228" t="s">
        <v>86</v>
      </c>
      <c r="B228">
        <v>2019</v>
      </c>
      <c r="C228" t="s">
        <v>33</v>
      </c>
      <c r="D228">
        <v>110</v>
      </c>
      <c r="E228">
        <v>87</v>
      </c>
      <c r="F228">
        <v>10</v>
      </c>
      <c r="G228">
        <v>3</v>
      </c>
      <c r="H228">
        <v>7</v>
      </c>
      <c r="I228">
        <v>12</v>
      </c>
      <c r="J228">
        <v>126.44</v>
      </c>
      <c r="K228">
        <v>15.71</v>
      </c>
      <c r="L228">
        <f>_xlfn.XLOOKUP(C228, dim_teams[team_name], dim_teams[team_id], "Not found", 0)</f>
        <v>15</v>
      </c>
    </row>
    <row r="229" spans="1:12" x14ac:dyDescent="0.3">
      <c r="A229" t="s">
        <v>86</v>
      </c>
      <c r="B229">
        <v>2020</v>
      </c>
      <c r="C229" t="s">
        <v>33</v>
      </c>
      <c r="D229">
        <v>117</v>
      </c>
      <c r="E229">
        <v>83</v>
      </c>
      <c r="F229">
        <v>6</v>
      </c>
      <c r="G229">
        <v>8</v>
      </c>
      <c r="H229">
        <v>8</v>
      </c>
      <c r="I229">
        <v>9</v>
      </c>
      <c r="J229">
        <v>140.96</v>
      </c>
      <c r="K229">
        <v>14.62</v>
      </c>
      <c r="L229">
        <f>_xlfn.XLOOKUP(C229, dim_teams[team_name], dim_teams[team_id], "Not found", 0)</f>
        <v>15</v>
      </c>
    </row>
    <row r="230" spans="1:12" x14ac:dyDescent="0.3">
      <c r="A230" t="s">
        <v>86</v>
      </c>
      <c r="B230">
        <v>2021</v>
      </c>
      <c r="C230" t="s">
        <v>33</v>
      </c>
      <c r="D230">
        <v>40</v>
      </c>
      <c r="E230">
        <v>46</v>
      </c>
      <c r="F230">
        <v>2</v>
      </c>
      <c r="G230">
        <v>1</v>
      </c>
      <c r="H230">
        <v>5</v>
      </c>
      <c r="I230">
        <v>6</v>
      </c>
      <c r="J230">
        <v>86.96</v>
      </c>
      <c r="K230">
        <v>8</v>
      </c>
      <c r="L230">
        <f>_xlfn.XLOOKUP(C230, dim_teams[team_name], dim_teams[team_id], "Not found", 0)</f>
        <v>15</v>
      </c>
    </row>
    <row r="231" spans="1:12" x14ac:dyDescent="0.3">
      <c r="A231" t="s">
        <v>86</v>
      </c>
      <c r="B231">
        <v>2022</v>
      </c>
      <c r="C231" t="s">
        <v>33</v>
      </c>
      <c r="D231">
        <v>182</v>
      </c>
      <c r="E231">
        <v>120</v>
      </c>
      <c r="F231">
        <v>12</v>
      </c>
      <c r="G231">
        <v>10</v>
      </c>
      <c r="H231">
        <v>3</v>
      </c>
      <c r="I231">
        <v>10</v>
      </c>
      <c r="J231">
        <v>151.66999999999999</v>
      </c>
      <c r="K231">
        <v>60.67</v>
      </c>
      <c r="L231">
        <f>_xlfn.XLOOKUP(C231, dim_teams[team_name], dim_teams[team_id], "Not found", 0)</f>
        <v>15</v>
      </c>
    </row>
    <row r="232" spans="1:12" x14ac:dyDescent="0.3">
      <c r="A232" t="s">
        <v>86</v>
      </c>
      <c r="B232">
        <v>2023</v>
      </c>
      <c r="C232" t="s">
        <v>33</v>
      </c>
      <c r="D232">
        <v>283</v>
      </c>
      <c r="E232">
        <v>201</v>
      </c>
      <c r="F232">
        <v>21</v>
      </c>
      <c r="G232">
        <v>15</v>
      </c>
      <c r="H232">
        <v>10</v>
      </c>
      <c r="I232">
        <v>13</v>
      </c>
      <c r="J232">
        <v>140.80000000000001</v>
      </c>
      <c r="K232">
        <v>28.3</v>
      </c>
      <c r="L232">
        <f>_xlfn.XLOOKUP(C232, dim_teams[team_name], dim_teams[team_id], "Not found", 0)</f>
        <v>15</v>
      </c>
    </row>
    <row r="233" spans="1:12" x14ac:dyDescent="0.3">
      <c r="A233" t="s">
        <v>86</v>
      </c>
      <c r="B233">
        <v>2024</v>
      </c>
      <c r="C233" t="s">
        <v>33</v>
      </c>
      <c r="D233">
        <v>235</v>
      </c>
      <c r="E233">
        <v>179</v>
      </c>
      <c r="F233">
        <v>19</v>
      </c>
      <c r="G233">
        <v>10</v>
      </c>
      <c r="H233">
        <v>9</v>
      </c>
      <c r="I233">
        <v>12</v>
      </c>
      <c r="J233">
        <v>131.28</v>
      </c>
      <c r="K233">
        <v>26.11</v>
      </c>
      <c r="L233">
        <f>_xlfn.XLOOKUP(C233, dim_teams[team_name], dim_teams[team_id], "Not found", 0)</f>
        <v>15</v>
      </c>
    </row>
    <row r="234" spans="1:12" x14ac:dyDescent="0.3">
      <c r="A234" t="s">
        <v>86</v>
      </c>
      <c r="B234">
        <v>2025</v>
      </c>
      <c r="C234" t="s">
        <v>33</v>
      </c>
      <c r="D234">
        <v>263</v>
      </c>
      <c r="E234">
        <v>167</v>
      </c>
      <c r="F234">
        <v>23</v>
      </c>
      <c r="G234">
        <v>15</v>
      </c>
      <c r="H234">
        <v>10</v>
      </c>
      <c r="I234">
        <v>11</v>
      </c>
      <c r="J234">
        <v>157.49</v>
      </c>
      <c r="K234">
        <v>26.3</v>
      </c>
      <c r="L234">
        <f>_xlfn.XLOOKUP(C234, dim_teams[team_name], dim_teams[team_id], "Not found", 0)</f>
        <v>15</v>
      </c>
    </row>
    <row r="235" spans="1:12" x14ac:dyDescent="0.3">
      <c r="A235" t="s">
        <v>87</v>
      </c>
      <c r="B235">
        <v>2019</v>
      </c>
      <c r="C235" t="s">
        <v>23</v>
      </c>
      <c r="D235">
        <v>15</v>
      </c>
      <c r="E235">
        <v>13</v>
      </c>
      <c r="F235">
        <v>2</v>
      </c>
      <c r="G235">
        <v>0</v>
      </c>
      <c r="H235">
        <v>0</v>
      </c>
      <c r="I235">
        <v>1</v>
      </c>
      <c r="J235">
        <v>115.38</v>
      </c>
      <c r="L235">
        <f>_xlfn.XLOOKUP(C235, dim_teams[team_name], dim_teams[team_id], "Not found", 0)</f>
        <v>7</v>
      </c>
    </row>
    <row r="236" spans="1:12" x14ac:dyDescent="0.3">
      <c r="A236" t="s">
        <v>87</v>
      </c>
      <c r="B236">
        <v>2022</v>
      </c>
      <c r="C236" t="s">
        <v>29</v>
      </c>
      <c r="D236">
        <v>5</v>
      </c>
      <c r="E236">
        <v>7</v>
      </c>
      <c r="F236">
        <v>0</v>
      </c>
      <c r="G236">
        <v>0</v>
      </c>
      <c r="H236">
        <v>1</v>
      </c>
      <c r="I236">
        <v>3</v>
      </c>
      <c r="J236">
        <v>71.430000000000007</v>
      </c>
      <c r="K236">
        <v>5</v>
      </c>
      <c r="L236">
        <f>_xlfn.XLOOKUP(C236, dim_teams[team_name], dim_teams[team_id], "Not found", 0)</f>
        <v>18</v>
      </c>
    </row>
    <row r="237" spans="1:12" x14ac:dyDescent="0.3">
      <c r="A237" t="s">
        <v>87</v>
      </c>
      <c r="B237">
        <v>2023</v>
      </c>
      <c r="C237" t="s">
        <v>29</v>
      </c>
      <c r="D237">
        <v>7</v>
      </c>
      <c r="E237">
        <v>12</v>
      </c>
      <c r="F237">
        <v>1</v>
      </c>
      <c r="G237">
        <v>0</v>
      </c>
      <c r="H237">
        <v>0</v>
      </c>
      <c r="I237">
        <v>1</v>
      </c>
      <c r="J237">
        <v>58.33</v>
      </c>
      <c r="L237">
        <f>_xlfn.XLOOKUP(C237, dim_teams[team_name], dim_teams[team_id], "Not found", 0)</f>
        <v>18</v>
      </c>
    </row>
    <row r="238" spans="1:12" x14ac:dyDescent="0.3">
      <c r="A238" t="s">
        <v>88</v>
      </c>
      <c r="B238">
        <v>2013</v>
      </c>
      <c r="C238" t="s">
        <v>25</v>
      </c>
      <c r="D238">
        <v>2</v>
      </c>
      <c r="E238">
        <v>6</v>
      </c>
      <c r="F238">
        <v>0</v>
      </c>
      <c r="G238">
        <v>0</v>
      </c>
      <c r="H238">
        <v>0</v>
      </c>
      <c r="I238">
        <v>1</v>
      </c>
      <c r="J238">
        <v>33.33</v>
      </c>
      <c r="L238">
        <f>_xlfn.XLOOKUP(C238, dim_teams[team_name], dim_teams[team_id], "Not found", 0)</f>
        <v>3</v>
      </c>
    </row>
    <row r="239" spans="1:12" x14ac:dyDescent="0.3">
      <c r="A239" t="s">
        <v>88</v>
      </c>
      <c r="B239">
        <v>2017</v>
      </c>
      <c r="C239" t="s">
        <v>19</v>
      </c>
      <c r="D239">
        <v>4</v>
      </c>
      <c r="E239">
        <v>7</v>
      </c>
      <c r="F239">
        <v>1</v>
      </c>
      <c r="G239">
        <v>0</v>
      </c>
      <c r="H239">
        <v>1</v>
      </c>
      <c r="I239">
        <v>1</v>
      </c>
      <c r="J239">
        <v>57.14</v>
      </c>
      <c r="K239">
        <v>4</v>
      </c>
      <c r="L239">
        <f>_xlfn.XLOOKUP(C239, dim_teams[team_name], dim_teams[team_id], "Not found", 0)</f>
        <v>1</v>
      </c>
    </row>
    <row r="240" spans="1:12" x14ac:dyDescent="0.3">
      <c r="A240" t="s">
        <v>88</v>
      </c>
      <c r="B240">
        <v>2018</v>
      </c>
      <c r="C240" t="s">
        <v>54</v>
      </c>
      <c r="D240">
        <v>11</v>
      </c>
      <c r="E240">
        <v>18</v>
      </c>
      <c r="F240">
        <v>1</v>
      </c>
      <c r="G240">
        <v>0</v>
      </c>
      <c r="H240">
        <v>2</v>
      </c>
      <c r="I240">
        <v>3</v>
      </c>
      <c r="J240">
        <v>61.11</v>
      </c>
      <c r="K240">
        <v>5.5</v>
      </c>
      <c r="L240">
        <f>_xlfn.XLOOKUP(C240, dim_teams[team_name], dim_teams[team_id], "Not found", 0)</f>
        <v>4</v>
      </c>
    </row>
    <row r="241" spans="1:12" x14ac:dyDescent="0.3">
      <c r="A241" t="s">
        <v>88</v>
      </c>
      <c r="B241">
        <v>2020</v>
      </c>
      <c r="C241" t="s">
        <v>17</v>
      </c>
      <c r="D241">
        <v>9</v>
      </c>
      <c r="E241">
        <v>10</v>
      </c>
      <c r="F241">
        <v>0</v>
      </c>
      <c r="G241">
        <v>1</v>
      </c>
      <c r="H241">
        <v>1</v>
      </c>
      <c r="I241">
        <v>2</v>
      </c>
      <c r="J241">
        <v>90</v>
      </c>
      <c r="K241">
        <v>9</v>
      </c>
      <c r="L241">
        <f>_xlfn.XLOOKUP(C241, dim_teams[team_name], dim_teams[team_id], "Not found", 0)</f>
        <v>5</v>
      </c>
    </row>
    <row r="242" spans="1:12" x14ac:dyDescent="0.3">
      <c r="A242" t="s">
        <v>89</v>
      </c>
      <c r="B242">
        <v>2009</v>
      </c>
      <c r="C242" t="s">
        <v>17</v>
      </c>
      <c r="D242">
        <v>78</v>
      </c>
      <c r="E242">
        <v>61</v>
      </c>
      <c r="F242">
        <v>5</v>
      </c>
      <c r="G242">
        <v>3</v>
      </c>
      <c r="H242">
        <v>5</v>
      </c>
      <c r="I242">
        <v>7</v>
      </c>
      <c r="J242">
        <v>127.87</v>
      </c>
      <c r="K242">
        <v>15.6</v>
      </c>
      <c r="L242">
        <f>_xlfn.XLOOKUP(C242, dim_teams[team_name], dim_teams[team_id], "Not found", 0)</f>
        <v>5</v>
      </c>
    </row>
    <row r="243" spans="1:12" x14ac:dyDescent="0.3">
      <c r="A243" t="s">
        <v>89</v>
      </c>
      <c r="B243">
        <v>2010</v>
      </c>
      <c r="C243" t="s">
        <v>17</v>
      </c>
      <c r="D243">
        <v>56</v>
      </c>
      <c r="E243">
        <v>48</v>
      </c>
      <c r="F243">
        <v>3</v>
      </c>
      <c r="G243">
        <v>3</v>
      </c>
      <c r="H243">
        <v>2</v>
      </c>
      <c r="I243">
        <v>5</v>
      </c>
      <c r="J243">
        <v>116.67</v>
      </c>
      <c r="K243">
        <v>28</v>
      </c>
      <c r="L243">
        <f>_xlfn.XLOOKUP(C243, dim_teams[team_name], dim_teams[team_id], "Not found", 0)</f>
        <v>5</v>
      </c>
    </row>
    <row r="244" spans="1:12" x14ac:dyDescent="0.3">
      <c r="A244" t="s">
        <v>89</v>
      </c>
      <c r="B244">
        <v>2011</v>
      </c>
      <c r="C244" t="s">
        <v>17</v>
      </c>
      <c r="D244">
        <v>60</v>
      </c>
      <c r="E244">
        <v>58</v>
      </c>
      <c r="F244">
        <v>5</v>
      </c>
      <c r="G244">
        <v>1</v>
      </c>
      <c r="H244">
        <v>4</v>
      </c>
      <c r="I244">
        <v>4</v>
      </c>
      <c r="J244">
        <v>103.45</v>
      </c>
      <c r="K244">
        <v>15</v>
      </c>
      <c r="L244">
        <f>_xlfn.XLOOKUP(C244, dim_teams[team_name], dim_teams[team_id], "Not found", 0)</f>
        <v>5</v>
      </c>
    </row>
    <row r="245" spans="1:12" x14ac:dyDescent="0.3">
      <c r="A245" t="s">
        <v>90</v>
      </c>
      <c r="B245">
        <v>2022</v>
      </c>
      <c r="C245" t="s">
        <v>19</v>
      </c>
      <c r="D245">
        <v>0</v>
      </c>
      <c r="E245">
        <v>2</v>
      </c>
      <c r="F245">
        <v>0</v>
      </c>
      <c r="G245">
        <v>0</v>
      </c>
      <c r="H245">
        <v>1</v>
      </c>
      <c r="I245">
        <v>1</v>
      </c>
      <c r="J245">
        <v>0</v>
      </c>
      <c r="K245">
        <v>0</v>
      </c>
      <c r="L245">
        <f>_xlfn.XLOOKUP(C245, dim_teams[team_name], dim_teams[team_id], "Not found", 0)</f>
        <v>1</v>
      </c>
    </row>
    <row r="246" spans="1:12" x14ac:dyDescent="0.3">
      <c r="A246" t="s">
        <v>90</v>
      </c>
      <c r="B246">
        <v>2023</v>
      </c>
      <c r="C246" t="s">
        <v>19</v>
      </c>
      <c r="D246">
        <v>23</v>
      </c>
      <c r="E246">
        <v>19</v>
      </c>
      <c r="F246">
        <v>3</v>
      </c>
      <c r="G246">
        <v>0</v>
      </c>
      <c r="H246">
        <v>2</v>
      </c>
      <c r="I246">
        <v>4</v>
      </c>
      <c r="J246">
        <v>121.05</v>
      </c>
      <c r="K246">
        <v>11.5</v>
      </c>
      <c r="L246">
        <f>_xlfn.XLOOKUP(C246, dim_teams[team_name], dim_teams[team_id], "Not found", 0)</f>
        <v>1</v>
      </c>
    </row>
    <row r="247" spans="1:12" x14ac:dyDescent="0.3">
      <c r="A247" t="s">
        <v>90</v>
      </c>
      <c r="B247">
        <v>2024</v>
      </c>
      <c r="C247" t="s">
        <v>19</v>
      </c>
      <c r="D247">
        <v>3</v>
      </c>
      <c r="E247">
        <v>3</v>
      </c>
      <c r="F247">
        <v>0</v>
      </c>
      <c r="G247">
        <v>0</v>
      </c>
      <c r="H247">
        <v>0</v>
      </c>
      <c r="I247">
        <v>1</v>
      </c>
      <c r="J247">
        <v>100</v>
      </c>
      <c r="L247">
        <f>_xlfn.XLOOKUP(C247, dim_teams[team_name], dim_teams[team_id], "Not found", 0)</f>
        <v>1</v>
      </c>
    </row>
    <row r="248" spans="1:12" x14ac:dyDescent="0.3">
      <c r="A248" t="s">
        <v>90</v>
      </c>
      <c r="B248">
        <v>2025</v>
      </c>
      <c r="C248" t="s">
        <v>19</v>
      </c>
      <c r="D248">
        <v>0</v>
      </c>
      <c r="E248">
        <v>1</v>
      </c>
      <c r="F248">
        <v>0</v>
      </c>
      <c r="G248">
        <v>0</v>
      </c>
      <c r="H248">
        <v>1</v>
      </c>
      <c r="I248">
        <v>1</v>
      </c>
      <c r="J248">
        <v>0</v>
      </c>
      <c r="K248">
        <v>0</v>
      </c>
      <c r="L248">
        <f>_xlfn.XLOOKUP(C248, dim_teams[team_name], dim_teams[team_id], "Not found", 0)</f>
        <v>1</v>
      </c>
    </row>
    <row r="249" spans="1:12" x14ac:dyDescent="0.3">
      <c r="A249" t="s">
        <v>91</v>
      </c>
      <c r="B249">
        <v>2008</v>
      </c>
      <c r="C249" t="s">
        <v>12</v>
      </c>
      <c r="D249">
        <v>49</v>
      </c>
      <c r="E249">
        <v>39</v>
      </c>
      <c r="F249">
        <v>5</v>
      </c>
      <c r="G249">
        <v>2</v>
      </c>
      <c r="H249">
        <v>7</v>
      </c>
      <c r="I249">
        <v>6</v>
      </c>
      <c r="J249">
        <v>125.64</v>
      </c>
      <c r="K249">
        <v>7</v>
      </c>
      <c r="L249">
        <f>_xlfn.XLOOKUP(C249, dim_teams[team_name], dim_teams[team_id], "Not found", 0)</f>
        <v>8</v>
      </c>
    </row>
    <row r="250" spans="1:12" x14ac:dyDescent="0.3">
      <c r="A250" t="s">
        <v>92</v>
      </c>
      <c r="B250">
        <v>2020</v>
      </c>
      <c r="C250" t="s">
        <v>33</v>
      </c>
      <c r="D250">
        <v>32</v>
      </c>
      <c r="E250">
        <v>29</v>
      </c>
      <c r="F250">
        <v>0</v>
      </c>
      <c r="G250">
        <v>1</v>
      </c>
      <c r="H250">
        <v>2</v>
      </c>
      <c r="I250">
        <v>3</v>
      </c>
      <c r="J250">
        <v>110.34</v>
      </c>
      <c r="K250">
        <v>16</v>
      </c>
      <c r="L250">
        <f>_xlfn.XLOOKUP(C250, dim_teams[team_name], dim_teams[team_id], "Not found", 0)</f>
        <v>15</v>
      </c>
    </row>
    <row r="251" spans="1:12" x14ac:dyDescent="0.3">
      <c r="A251" t="s">
        <v>93</v>
      </c>
      <c r="B251">
        <v>2010</v>
      </c>
      <c r="C251" t="s">
        <v>23</v>
      </c>
      <c r="D251">
        <v>356</v>
      </c>
      <c r="E251">
        <v>244</v>
      </c>
      <c r="F251">
        <v>34</v>
      </c>
      <c r="G251">
        <v>13</v>
      </c>
      <c r="H251">
        <v>12</v>
      </c>
      <c r="I251">
        <v>14</v>
      </c>
      <c r="J251">
        <v>145.9</v>
      </c>
      <c r="K251">
        <v>29.67</v>
      </c>
      <c r="L251">
        <f>_xlfn.XLOOKUP(C251, dim_teams[team_name], dim_teams[team_id], "Not found", 0)</f>
        <v>7</v>
      </c>
    </row>
    <row r="252" spans="1:12" x14ac:dyDescent="0.3">
      <c r="A252" t="s">
        <v>93</v>
      </c>
      <c r="B252">
        <v>2011</v>
      </c>
      <c r="C252" t="s">
        <v>23</v>
      </c>
      <c r="D252">
        <v>395</v>
      </c>
      <c r="E252">
        <v>349</v>
      </c>
      <c r="F252">
        <v>44</v>
      </c>
      <c r="G252">
        <v>9</v>
      </c>
      <c r="H252">
        <v>14</v>
      </c>
      <c r="I252">
        <v>16</v>
      </c>
      <c r="J252">
        <v>113.18</v>
      </c>
      <c r="K252">
        <v>28.21</v>
      </c>
      <c r="L252">
        <f>_xlfn.XLOOKUP(C252, dim_teams[team_name], dim_teams[team_id], "Not found", 0)</f>
        <v>7</v>
      </c>
    </row>
    <row r="253" spans="1:12" x14ac:dyDescent="0.3">
      <c r="A253" t="s">
        <v>93</v>
      </c>
      <c r="B253">
        <v>2012</v>
      </c>
      <c r="C253" t="s">
        <v>23</v>
      </c>
      <c r="D253">
        <v>333</v>
      </c>
      <c r="E253">
        <v>252</v>
      </c>
      <c r="F253">
        <v>21</v>
      </c>
      <c r="G253">
        <v>14</v>
      </c>
      <c r="H253">
        <v>9</v>
      </c>
      <c r="I253">
        <v>15</v>
      </c>
      <c r="J253">
        <v>132.13999999999999</v>
      </c>
      <c r="K253">
        <v>37</v>
      </c>
      <c r="L253">
        <f>_xlfn.XLOOKUP(C253, dim_teams[team_name], dim_teams[team_id], "Not found", 0)</f>
        <v>7</v>
      </c>
    </row>
    <row r="254" spans="1:12" x14ac:dyDescent="0.3">
      <c r="A254" t="s">
        <v>93</v>
      </c>
      <c r="B254">
        <v>2013</v>
      </c>
      <c r="C254" t="s">
        <v>23</v>
      </c>
      <c r="D254">
        <v>265</v>
      </c>
      <c r="E254">
        <v>229</v>
      </c>
      <c r="F254">
        <v>22</v>
      </c>
      <c r="G254">
        <v>4</v>
      </c>
      <c r="H254">
        <v>13</v>
      </c>
      <c r="I254">
        <v>15</v>
      </c>
      <c r="J254">
        <v>115.72</v>
      </c>
      <c r="K254">
        <v>20.38</v>
      </c>
      <c r="L254">
        <f>_xlfn.XLOOKUP(C254, dim_teams[team_name], dim_teams[team_id], "Not found", 0)</f>
        <v>7</v>
      </c>
    </row>
    <row r="255" spans="1:12" x14ac:dyDescent="0.3">
      <c r="A255" t="s">
        <v>93</v>
      </c>
      <c r="B255">
        <v>2014</v>
      </c>
      <c r="C255" t="s">
        <v>23</v>
      </c>
      <c r="D255">
        <v>361</v>
      </c>
      <c r="E255">
        <v>286</v>
      </c>
      <c r="F255">
        <v>31</v>
      </c>
      <c r="G255">
        <v>8</v>
      </c>
      <c r="H255">
        <v>14</v>
      </c>
      <c r="I255">
        <v>14</v>
      </c>
      <c r="J255">
        <v>126.22</v>
      </c>
      <c r="K255">
        <v>25.79</v>
      </c>
      <c r="L255">
        <f>_xlfn.XLOOKUP(C255, dim_teams[team_name], dim_teams[team_id], "Not found", 0)</f>
        <v>7</v>
      </c>
    </row>
    <row r="256" spans="1:12" x14ac:dyDescent="0.3">
      <c r="A256" t="s">
        <v>93</v>
      </c>
      <c r="B256">
        <v>2015</v>
      </c>
      <c r="C256" t="s">
        <v>23</v>
      </c>
      <c r="D256">
        <v>281</v>
      </c>
      <c r="E256">
        <v>192</v>
      </c>
      <c r="F256">
        <v>18</v>
      </c>
      <c r="G256">
        <v>16</v>
      </c>
      <c r="H256">
        <v>9</v>
      </c>
      <c r="I256">
        <v>14</v>
      </c>
      <c r="J256">
        <v>146.35</v>
      </c>
      <c r="K256">
        <v>31.22</v>
      </c>
      <c r="L256">
        <f>_xlfn.XLOOKUP(C256, dim_teams[team_name], dim_teams[team_id], "Not found", 0)</f>
        <v>7</v>
      </c>
    </row>
    <row r="257" spans="1:12" x14ac:dyDescent="0.3">
      <c r="A257" t="s">
        <v>93</v>
      </c>
      <c r="B257">
        <v>2016</v>
      </c>
      <c r="C257" t="s">
        <v>23</v>
      </c>
      <c r="D257">
        <v>334</v>
      </c>
      <c r="E257">
        <v>277</v>
      </c>
      <c r="F257">
        <v>28</v>
      </c>
      <c r="G257">
        <v>12</v>
      </c>
      <c r="H257">
        <v>11</v>
      </c>
      <c r="I257">
        <v>12</v>
      </c>
      <c r="J257">
        <v>120.58</v>
      </c>
      <c r="K257">
        <v>30.36</v>
      </c>
      <c r="L257">
        <f>_xlfn.XLOOKUP(C257, dim_teams[team_name], dim_teams[team_id], "Not found", 0)</f>
        <v>7</v>
      </c>
    </row>
    <row r="258" spans="1:12" x14ac:dyDescent="0.3">
      <c r="A258" t="s">
        <v>93</v>
      </c>
      <c r="B258">
        <v>2017</v>
      </c>
      <c r="C258" t="s">
        <v>23</v>
      </c>
      <c r="D258">
        <v>91</v>
      </c>
      <c r="E258">
        <v>78</v>
      </c>
      <c r="F258">
        <v>7</v>
      </c>
      <c r="G258">
        <v>3</v>
      </c>
      <c r="H258">
        <v>6</v>
      </c>
      <c r="I258">
        <v>5</v>
      </c>
      <c r="J258">
        <v>116.67</v>
      </c>
      <c r="K258">
        <v>15.17</v>
      </c>
      <c r="L258">
        <f>_xlfn.XLOOKUP(C258, dim_teams[team_name], dim_teams[team_id], "Not found", 0)</f>
        <v>7</v>
      </c>
    </row>
    <row r="259" spans="1:12" x14ac:dyDescent="0.3">
      <c r="A259" t="s">
        <v>93</v>
      </c>
      <c r="B259">
        <v>2018</v>
      </c>
      <c r="C259" t="s">
        <v>25</v>
      </c>
      <c r="D259">
        <v>602</v>
      </c>
      <c r="E259">
        <v>401</v>
      </c>
      <c r="F259">
        <v>53</v>
      </c>
      <c r="G259">
        <v>34</v>
      </c>
      <c r="H259">
        <v>14</v>
      </c>
      <c r="I259">
        <v>16</v>
      </c>
      <c r="J259">
        <v>150.12</v>
      </c>
      <c r="K259">
        <v>43</v>
      </c>
      <c r="L259">
        <f>_xlfn.XLOOKUP(C259, dim_teams[team_name], dim_teams[team_id], "Not found", 0)</f>
        <v>3</v>
      </c>
    </row>
    <row r="260" spans="1:12" x14ac:dyDescent="0.3">
      <c r="A260" t="s">
        <v>93</v>
      </c>
      <c r="B260">
        <v>2019</v>
      </c>
      <c r="C260" t="s">
        <v>25</v>
      </c>
      <c r="D260">
        <v>282</v>
      </c>
      <c r="E260">
        <v>301</v>
      </c>
      <c r="F260">
        <v>20</v>
      </c>
      <c r="G260">
        <v>7</v>
      </c>
      <c r="H260">
        <v>12</v>
      </c>
      <c r="I260">
        <v>17</v>
      </c>
      <c r="J260">
        <v>93.69</v>
      </c>
      <c r="K260">
        <v>23.5</v>
      </c>
      <c r="L260">
        <f>_xlfn.XLOOKUP(C260, dim_teams[team_name], dim_teams[team_id], "Not found", 0)</f>
        <v>3</v>
      </c>
    </row>
    <row r="261" spans="1:12" x14ac:dyDescent="0.3">
      <c r="A261" t="s">
        <v>93</v>
      </c>
      <c r="B261">
        <v>2020</v>
      </c>
      <c r="C261" t="s">
        <v>25</v>
      </c>
      <c r="D261">
        <v>359</v>
      </c>
      <c r="E261">
        <v>279</v>
      </c>
      <c r="F261">
        <v>30</v>
      </c>
      <c r="G261">
        <v>12</v>
      </c>
      <c r="H261">
        <v>9</v>
      </c>
      <c r="I261">
        <v>11</v>
      </c>
      <c r="J261">
        <v>128.66999999999999</v>
      </c>
      <c r="K261">
        <v>39.89</v>
      </c>
      <c r="L261">
        <f>_xlfn.XLOOKUP(C261, dim_teams[team_name], dim_teams[team_id], "Not found", 0)</f>
        <v>3</v>
      </c>
    </row>
    <row r="262" spans="1:12" x14ac:dyDescent="0.3">
      <c r="A262" t="s">
        <v>93</v>
      </c>
      <c r="B262">
        <v>2021</v>
      </c>
      <c r="C262" t="s">
        <v>25</v>
      </c>
      <c r="D262">
        <v>257</v>
      </c>
      <c r="E262">
        <v>167</v>
      </c>
      <c r="F262">
        <v>16</v>
      </c>
      <c r="G262">
        <v>17</v>
      </c>
      <c r="H262">
        <v>9</v>
      </c>
      <c r="I262">
        <v>13</v>
      </c>
      <c r="J262">
        <v>153.88999999999999</v>
      </c>
      <c r="K262">
        <v>28.56</v>
      </c>
      <c r="L262">
        <f>_xlfn.XLOOKUP(C262, dim_teams[team_name], dim_teams[team_id], "Not found", 0)</f>
        <v>3</v>
      </c>
    </row>
    <row r="263" spans="1:12" x14ac:dyDescent="0.3">
      <c r="A263" t="s">
        <v>93</v>
      </c>
      <c r="B263">
        <v>2022</v>
      </c>
      <c r="C263" t="s">
        <v>25</v>
      </c>
      <c r="D263">
        <v>274</v>
      </c>
      <c r="E263">
        <v>223</v>
      </c>
      <c r="F263">
        <v>25</v>
      </c>
      <c r="G263">
        <v>15</v>
      </c>
      <c r="H263">
        <v>10</v>
      </c>
      <c r="I263">
        <v>11</v>
      </c>
      <c r="J263">
        <v>122.87</v>
      </c>
      <c r="K263">
        <v>27.4</v>
      </c>
      <c r="L263">
        <f>_xlfn.XLOOKUP(C263, dim_teams[team_name], dim_teams[team_id], "Not found", 0)</f>
        <v>3</v>
      </c>
    </row>
    <row r="264" spans="1:12" x14ac:dyDescent="0.3">
      <c r="A264" t="s">
        <v>93</v>
      </c>
      <c r="B264">
        <v>2023</v>
      </c>
      <c r="C264" t="s">
        <v>25</v>
      </c>
      <c r="D264">
        <v>158</v>
      </c>
      <c r="E264">
        <v>113</v>
      </c>
      <c r="F264">
        <v>10</v>
      </c>
      <c r="G264">
        <v>9</v>
      </c>
      <c r="H264">
        <v>10</v>
      </c>
      <c r="I264">
        <v>12</v>
      </c>
      <c r="J264">
        <v>139.82</v>
      </c>
      <c r="K264">
        <v>15.8</v>
      </c>
      <c r="L264">
        <f>_xlfn.XLOOKUP(C264, dim_teams[team_name], dim_teams[team_id], "Not found", 0)</f>
        <v>3</v>
      </c>
    </row>
    <row r="265" spans="1:12" x14ac:dyDescent="0.3">
      <c r="A265" t="s">
        <v>94</v>
      </c>
      <c r="B265">
        <v>2023</v>
      </c>
      <c r="C265" t="s">
        <v>13</v>
      </c>
      <c r="D265">
        <v>22</v>
      </c>
      <c r="E265">
        <v>15</v>
      </c>
      <c r="F265">
        <v>2</v>
      </c>
      <c r="G265">
        <v>1</v>
      </c>
      <c r="H265">
        <v>2</v>
      </c>
      <c r="I265">
        <v>2</v>
      </c>
      <c r="J265">
        <v>146.66999999999999</v>
      </c>
      <c r="K265">
        <v>11</v>
      </c>
      <c r="L265">
        <f>_xlfn.XLOOKUP(C265, dim_teams[team_name], dim_teams[team_id], "Not found", 0)</f>
        <v>11</v>
      </c>
    </row>
    <row r="266" spans="1:12" x14ac:dyDescent="0.3">
      <c r="A266" t="s">
        <v>95</v>
      </c>
      <c r="B266">
        <v>2011</v>
      </c>
      <c r="C266" t="s">
        <v>21</v>
      </c>
      <c r="D266">
        <v>33</v>
      </c>
      <c r="E266">
        <v>16</v>
      </c>
      <c r="F266">
        <v>5</v>
      </c>
      <c r="G266">
        <v>2</v>
      </c>
      <c r="H266">
        <v>4</v>
      </c>
      <c r="I266">
        <v>5</v>
      </c>
      <c r="J266">
        <v>206.25</v>
      </c>
      <c r="K266">
        <v>8.25</v>
      </c>
      <c r="L266">
        <f>_xlfn.XLOOKUP(C266, dim_teams[team_name], dim_teams[team_id], "Not found", 0)</f>
        <v>2</v>
      </c>
    </row>
    <row r="267" spans="1:12" x14ac:dyDescent="0.3">
      <c r="A267" t="s">
        <v>95</v>
      </c>
      <c r="B267">
        <v>2012</v>
      </c>
      <c r="C267" t="s">
        <v>21</v>
      </c>
      <c r="D267">
        <v>6</v>
      </c>
      <c r="E267">
        <v>7</v>
      </c>
      <c r="F267">
        <v>0</v>
      </c>
      <c r="G267">
        <v>0</v>
      </c>
      <c r="H267">
        <v>1</v>
      </c>
      <c r="I267">
        <v>2</v>
      </c>
      <c r="J267">
        <v>85.71</v>
      </c>
      <c r="K267">
        <v>6</v>
      </c>
      <c r="L267">
        <f>_xlfn.XLOOKUP(C267, dim_teams[team_name], dim_teams[team_id], "Not found", 0)</f>
        <v>2</v>
      </c>
    </row>
    <row r="268" spans="1:12" x14ac:dyDescent="0.3">
      <c r="A268" t="s">
        <v>96</v>
      </c>
      <c r="B268">
        <v>2023</v>
      </c>
      <c r="C268" t="s">
        <v>17</v>
      </c>
      <c r="D268">
        <v>1</v>
      </c>
      <c r="E268">
        <v>1</v>
      </c>
      <c r="F268">
        <v>0</v>
      </c>
      <c r="G268">
        <v>0</v>
      </c>
      <c r="H268">
        <v>0</v>
      </c>
      <c r="I268">
        <v>1</v>
      </c>
      <c r="J268">
        <v>100</v>
      </c>
      <c r="L268">
        <f>_xlfn.XLOOKUP(C268, dim_teams[team_name], dim_teams[team_id], "Not found", 0)</f>
        <v>5</v>
      </c>
    </row>
    <row r="269" spans="1:12" x14ac:dyDescent="0.3">
      <c r="A269" t="s">
        <v>97</v>
      </c>
      <c r="B269">
        <v>2020</v>
      </c>
      <c r="C269" t="s">
        <v>13</v>
      </c>
      <c r="D269">
        <v>113</v>
      </c>
      <c r="E269">
        <v>67</v>
      </c>
      <c r="F269">
        <v>8</v>
      </c>
      <c r="G269">
        <v>6</v>
      </c>
      <c r="H269">
        <v>6</v>
      </c>
      <c r="I269">
        <v>7</v>
      </c>
      <c r="J269">
        <v>168.66</v>
      </c>
      <c r="K269">
        <v>18.829999999999998</v>
      </c>
      <c r="L269">
        <f>_xlfn.XLOOKUP(C269, dim_teams[team_name], dim_teams[team_id], "Not found", 0)</f>
        <v>11</v>
      </c>
    </row>
    <row r="270" spans="1:12" x14ac:dyDescent="0.3">
      <c r="A270" t="s">
        <v>97</v>
      </c>
      <c r="B270">
        <v>2021</v>
      </c>
      <c r="C270" t="s">
        <v>13</v>
      </c>
      <c r="D270">
        <v>111</v>
      </c>
      <c r="E270">
        <v>87</v>
      </c>
      <c r="F270">
        <v>4</v>
      </c>
      <c r="G270">
        <v>8</v>
      </c>
      <c r="H270">
        <v>9</v>
      </c>
      <c r="I270">
        <v>10</v>
      </c>
      <c r="J270">
        <v>127.59</v>
      </c>
      <c r="K270">
        <v>12.33</v>
      </c>
      <c r="L270">
        <f>_xlfn.XLOOKUP(C270, dim_teams[team_name], dim_teams[team_id], "Not found", 0)</f>
        <v>11</v>
      </c>
    </row>
    <row r="271" spans="1:12" x14ac:dyDescent="0.3">
      <c r="A271" t="s">
        <v>97</v>
      </c>
      <c r="B271">
        <v>2022</v>
      </c>
      <c r="C271" t="s">
        <v>13</v>
      </c>
      <c r="D271">
        <v>4</v>
      </c>
      <c r="E271">
        <v>7</v>
      </c>
      <c r="F271">
        <v>0</v>
      </c>
      <c r="G271">
        <v>0</v>
      </c>
      <c r="H271">
        <v>2</v>
      </c>
      <c r="I271">
        <v>2</v>
      </c>
      <c r="J271">
        <v>57.14</v>
      </c>
      <c r="K271">
        <v>2</v>
      </c>
      <c r="L271">
        <f>_xlfn.XLOOKUP(C271, dim_teams[team_name], dim_teams[team_id], "Not found", 0)</f>
        <v>11</v>
      </c>
    </row>
    <row r="272" spans="1:12" x14ac:dyDescent="0.3">
      <c r="A272" t="s">
        <v>97</v>
      </c>
      <c r="B272">
        <v>2023</v>
      </c>
      <c r="C272" t="s">
        <v>13</v>
      </c>
      <c r="D272">
        <v>169</v>
      </c>
      <c r="E272">
        <v>125</v>
      </c>
      <c r="F272">
        <v>10</v>
      </c>
      <c r="G272">
        <v>11</v>
      </c>
      <c r="H272">
        <v>5</v>
      </c>
      <c r="I272">
        <v>8</v>
      </c>
      <c r="J272">
        <v>135.19999999999999</v>
      </c>
      <c r="K272">
        <v>33.799999999999997</v>
      </c>
      <c r="L272">
        <f>_xlfn.XLOOKUP(C272, dim_teams[team_name], dim_teams[team_id], "Not found", 0)</f>
        <v>11</v>
      </c>
    </row>
    <row r="273" spans="1:12" x14ac:dyDescent="0.3">
      <c r="A273" t="s">
        <v>97</v>
      </c>
      <c r="B273">
        <v>2024</v>
      </c>
      <c r="C273" t="s">
        <v>13</v>
      </c>
      <c r="D273">
        <v>182</v>
      </c>
      <c r="E273">
        <v>108</v>
      </c>
      <c r="F273">
        <v>15</v>
      </c>
      <c r="G273">
        <v>11</v>
      </c>
      <c r="H273">
        <v>10</v>
      </c>
      <c r="I273">
        <v>12</v>
      </c>
      <c r="J273">
        <v>168.52</v>
      </c>
      <c r="K273">
        <v>18.2</v>
      </c>
      <c r="L273">
        <f>_xlfn.XLOOKUP(C273, dim_teams[team_name], dim_teams[team_id], "Not found", 0)</f>
        <v>11</v>
      </c>
    </row>
    <row r="274" spans="1:12" x14ac:dyDescent="0.3">
      <c r="A274" t="s">
        <v>97</v>
      </c>
      <c r="B274">
        <v>2025</v>
      </c>
      <c r="C274" t="s">
        <v>15</v>
      </c>
      <c r="D274">
        <v>164</v>
      </c>
      <c r="E274">
        <v>93</v>
      </c>
      <c r="F274">
        <v>8</v>
      </c>
      <c r="G274">
        <v>14</v>
      </c>
      <c r="H274">
        <v>9</v>
      </c>
      <c r="I274">
        <v>12</v>
      </c>
      <c r="J274">
        <v>176.34</v>
      </c>
      <c r="K274">
        <v>18.22</v>
      </c>
      <c r="L274">
        <f>_xlfn.XLOOKUP(C274, dim_teams[team_name], dim_teams[team_id], "Not found", 0)</f>
        <v>17</v>
      </c>
    </row>
    <row r="275" spans="1:12" x14ac:dyDescent="0.3">
      <c r="A275" t="s">
        <v>98</v>
      </c>
      <c r="B275">
        <v>2008</v>
      </c>
      <c r="C275" t="s">
        <v>21</v>
      </c>
      <c r="D275">
        <v>0</v>
      </c>
      <c r="E275">
        <v>2</v>
      </c>
      <c r="F275">
        <v>0</v>
      </c>
      <c r="G275">
        <v>0</v>
      </c>
      <c r="H275">
        <v>0</v>
      </c>
      <c r="I275">
        <v>1</v>
      </c>
      <c r="J275">
        <v>0</v>
      </c>
      <c r="L275">
        <f>_xlfn.XLOOKUP(C275, dim_teams[team_name], dim_teams[team_id], "Not found", 0)</f>
        <v>2</v>
      </c>
    </row>
    <row r="276" spans="1:12" x14ac:dyDescent="0.3">
      <c r="A276" t="s">
        <v>99</v>
      </c>
      <c r="B276">
        <v>2018</v>
      </c>
      <c r="C276" t="s">
        <v>32</v>
      </c>
      <c r="D276">
        <v>63</v>
      </c>
      <c r="E276">
        <v>33</v>
      </c>
      <c r="F276">
        <v>3</v>
      </c>
      <c r="G276">
        <v>5</v>
      </c>
      <c r="H276">
        <v>1</v>
      </c>
      <c r="I276">
        <v>3</v>
      </c>
      <c r="J276">
        <v>190.91</v>
      </c>
      <c r="K276">
        <v>63</v>
      </c>
      <c r="L276">
        <f>_xlfn.XLOOKUP(C276, dim_teams[team_name], dim_teams[team_id], "Not found", 0)</f>
        <v>6</v>
      </c>
    </row>
    <row r="277" spans="1:12" x14ac:dyDescent="0.3">
      <c r="A277" t="s">
        <v>99</v>
      </c>
      <c r="B277">
        <v>2019</v>
      </c>
      <c r="C277" t="s">
        <v>13</v>
      </c>
      <c r="D277">
        <v>9</v>
      </c>
      <c r="E277">
        <v>9</v>
      </c>
      <c r="F277">
        <v>1</v>
      </c>
      <c r="G277">
        <v>0</v>
      </c>
      <c r="H277">
        <v>2</v>
      </c>
      <c r="I277">
        <v>3</v>
      </c>
      <c r="J277">
        <v>100</v>
      </c>
      <c r="K277">
        <v>4.5</v>
      </c>
      <c r="L277">
        <f>_xlfn.XLOOKUP(C277, dim_teams[team_name], dim_teams[team_id], "Not found", 0)</f>
        <v>11</v>
      </c>
    </row>
    <row r="278" spans="1:12" x14ac:dyDescent="0.3">
      <c r="A278" t="s">
        <v>99</v>
      </c>
      <c r="B278">
        <v>2020</v>
      </c>
      <c r="C278" t="s">
        <v>13</v>
      </c>
      <c r="D278">
        <v>71</v>
      </c>
      <c r="E278">
        <v>56</v>
      </c>
      <c r="F278">
        <v>6</v>
      </c>
      <c r="G278">
        <v>3</v>
      </c>
      <c r="H278">
        <v>5</v>
      </c>
      <c r="I278">
        <v>7</v>
      </c>
      <c r="J278">
        <v>126.79</v>
      </c>
      <c r="K278">
        <v>14.2</v>
      </c>
      <c r="L278">
        <f>_xlfn.XLOOKUP(C278, dim_teams[team_name], dim_teams[team_id], "Not found", 0)</f>
        <v>11</v>
      </c>
    </row>
    <row r="279" spans="1:12" x14ac:dyDescent="0.3">
      <c r="A279" t="s">
        <v>99</v>
      </c>
      <c r="B279">
        <v>2021</v>
      </c>
      <c r="C279" t="s">
        <v>13</v>
      </c>
      <c r="D279">
        <v>98</v>
      </c>
      <c r="E279">
        <v>75</v>
      </c>
      <c r="F279">
        <v>7</v>
      </c>
      <c r="G279">
        <v>4</v>
      </c>
      <c r="H279">
        <v>6</v>
      </c>
      <c r="I279">
        <v>7</v>
      </c>
      <c r="J279">
        <v>130.66999999999999</v>
      </c>
      <c r="K279">
        <v>16.329999999999998</v>
      </c>
      <c r="L279">
        <f>_xlfn.XLOOKUP(C279, dim_teams[team_name], dim_teams[team_id], "Not found", 0)</f>
        <v>11</v>
      </c>
    </row>
    <row r="280" spans="1:12" x14ac:dyDescent="0.3">
      <c r="A280" t="s">
        <v>99</v>
      </c>
      <c r="B280">
        <v>2022</v>
      </c>
      <c r="C280" t="s">
        <v>13</v>
      </c>
      <c r="D280">
        <v>426</v>
      </c>
      <c r="E280">
        <v>319</v>
      </c>
      <c r="F280">
        <v>47</v>
      </c>
      <c r="G280">
        <v>13</v>
      </c>
      <c r="H280">
        <v>15</v>
      </c>
      <c r="I280">
        <v>14</v>
      </c>
      <c r="J280">
        <v>133.54</v>
      </c>
      <c r="K280">
        <v>28.4</v>
      </c>
      <c r="L280">
        <f>_xlfn.XLOOKUP(C280, dim_teams[team_name], dim_teams[team_id], "Not found", 0)</f>
        <v>11</v>
      </c>
    </row>
    <row r="281" spans="1:12" x14ac:dyDescent="0.3">
      <c r="A281" t="s">
        <v>99</v>
      </c>
      <c r="B281">
        <v>2023</v>
      </c>
      <c r="C281" t="s">
        <v>13</v>
      </c>
      <c r="D281">
        <v>226</v>
      </c>
      <c r="E281">
        <v>156</v>
      </c>
      <c r="F281">
        <v>28</v>
      </c>
      <c r="G281">
        <v>6</v>
      </c>
      <c r="H281">
        <v>11</v>
      </c>
      <c r="I281">
        <v>11</v>
      </c>
      <c r="J281">
        <v>144.87</v>
      </c>
      <c r="K281">
        <v>20.55</v>
      </c>
      <c r="L281">
        <f>_xlfn.XLOOKUP(C281, dim_teams[team_name], dim_teams[team_id], "Not found", 0)</f>
        <v>11</v>
      </c>
    </row>
    <row r="282" spans="1:12" x14ac:dyDescent="0.3">
      <c r="A282" t="s">
        <v>99</v>
      </c>
      <c r="B282">
        <v>2024</v>
      </c>
      <c r="C282" t="s">
        <v>13</v>
      </c>
      <c r="D282">
        <v>484</v>
      </c>
      <c r="E282">
        <v>235</v>
      </c>
      <c r="F282">
        <v>36</v>
      </c>
      <c r="G282">
        <v>42</v>
      </c>
      <c r="H282">
        <v>15</v>
      </c>
      <c r="I282">
        <v>16</v>
      </c>
      <c r="J282">
        <v>205.96</v>
      </c>
      <c r="K282">
        <v>32.270000000000003</v>
      </c>
      <c r="L282">
        <f>_xlfn.XLOOKUP(C282, dim_teams[team_name], dim_teams[team_id], "Not found", 0)</f>
        <v>11</v>
      </c>
    </row>
    <row r="283" spans="1:12" x14ac:dyDescent="0.3">
      <c r="A283" t="s">
        <v>99</v>
      </c>
      <c r="B283">
        <v>2025</v>
      </c>
      <c r="C283" t="s">
        <v>13</v>
      </c>
      <c r="D283">
        <v>439</v>
      </c>
      <c r="E283">
        <v>225</v>
      </c>
      <c r="F283">
        <v>46</v>
      </c>
      <c r="G283">
        <v>28</v>
      </c>
      <c r="H283">
        <v>12</v>
      </c>
      <c r="I283">
        <v>13</v>
      </c>
      <c r="J283">
        <v>195.11</v>
      </c>
      <c r="K283">
        <v>36.58</v>
      </c>
      <c r="L283">
        <f>_xlfn.XLOOKUP(C283, dim_teams[team_name], dim_teams[team_id], "Not found", 0)</f>
        <v>11</v>
      </c>
    </row>
    <row r="284" spans="1:12" x14ac:dyDescent="0.3">
      <c r="A284" t="s">
        <v>100</v>
      </c>
      <c r="B284">
        <v>2023</v>
      </c>
      <c r="C284" t="s">
        <v>33</v>
      </c>
      <c r="D284">
        <v>33</v>
      </c>
      <c r="E284">
        <v>31</v>
      </c>
      <c r="F284">
        <v>1</v>
      </c>
      <c r="G284">
        <v>2</v>
      </c>
      <c r="H284">
        <v>4</v>
      </c>
      <c r="I284">
        <v>4</v>
      </c>
      <c r="J284">
        <v>106.45</v>
      </c>
      <c r="K284">
        <v>8.25</v>
      </c>
      <c r="L284">
        <f>_xlfn.XLOOKUP(C284, dim_teams[team_name], dim_teams[team_id], "Not found", 0)</f>
        <v>15</v>
      </c>
    </row>
    <row r="285" spans="1:12" x14ac:dyDescent="0.3">
      <c r="A285" t="s">
        <v>100</v>
      </c>
      <c r="B285">
        <v>2024</v>
      </c>
      <c r="C285" t="s">
        <v>33</v>
      </c>
      <c r="D285">
        <v>327</v>
      </c>
      <c r="E285">
        <v>204</v>
      </c>
      <c r="F285">
        <v>36</v>
      </c>
      <c r="G285">
        <v>13</v>
      </c>
      <c r="H285">
        <v>12</v>
      </c>
      <c r="I285">
        <v>12</v>
      </c>
      <c r="J285">
        <v>160.29</v>
      </c>
      <c r="K285">
        <v>27.25</v>
      </c>
      <c r="L285">
        <f>_xlfn.XLOOKUP(C285, dim_teams[team_name], dim_teams[team_id], "Not found", 0)</f>
        <v>15</v>
      </c>
    </row>
    <row r="286" spans="1:12" x14ac:dyDescent="0.3">
      <c r="A286" t="s">
        <v>100</v>
      </c>
      <c r="B286">
        <v>2025</v>
      </c>
      <c r="C286" t="s">
        <v>33</v>
      </c>
      <c r="D286">
        <v>301</v>
      </c>
      <c r="E286">
        <v>205</v>
      </c>
      <c r="F286">
        <v>28</v>
      </c>
      <c r="G286">
        <v>12</v>
      </c>
      <c r="H286">
        <v>13</v>
      </c>
      <c r="I286">
        <v>13</v>
      </c>
      <c r="J286">
        <v>146.83000000000001</v>
      </c>
      <c r="K286">
        <v>23.15</v>
      </c>
      <c r="L286">
        <f>_xlfn.XLOOKUP(C286, dim_teams[team_name], dim_teams[team_id], "Not found", 0)</f>
        <v>15</v>
      </c>
    </row>
    <row r="287" spans="1:12" x14ac:dyDescent="0.3">
      <c r="A287" t="s">
        <v>101</v>
      </c>
      <c r="B287">
        <v>2022</v>
      </c>
      <c r="C287" t="s">
        <v>21</v>
      </c>
      <c r="D287">
        <v>0</v>
      </c>
      <c r="E287">
        <v>2</v>
      </c>
      <c r="F287">
        <v>0</v>
      </c>
      <c r="G287">
        <v>0</v>
      </c>
      <c r="H287">
        <v>1</v>
      </c>
      <c r="I287">
        <v>1</v>
      </c>
      <c r="J287">
        <v>0</v>
      </c>
      <c r="K287">
        <v>0</v>
      </c>
      <c r="L287">
        <f>_xlfn.XLOOKUP(C287, dim_teams[team_name], dim_teams[team_id], "Not found", 0)</f>
        <v>2</v>
      </c>
    </row>
    <row r="288" spans="1:12" x14ac:dyDescent="0.3">
      <c r="A288" t="s">
        <v>101</v>
      </c>
      <c r="B288">
        <v>2023</v>
      </c>
      <c r="C288" t="s">
        <v>21</v>
      </c>
      <c r="D288">
        <v>17</v>
      </c>
      <c r="E288">
        <v>8</v>
      </c>
      <c r="F288">
        <v>2</v>
      </c>
      <c r="G288">
        <v>1</v>
      </c>
      <c r="H288">
        <v>1</v>
      </c>
      <c r="I288">
        <v>1</v>
      </c>
      <c r="J288">
        <v>212.5</v>
      </c>
      <c r="K288">
        <v>17</v>
      </c>
      <c r="L288">
        <f>_xlfn.XLOOKUP(C288, dim_teams[team_name], dim_teams[team_id], "Not found", 0)</f>
        <v>2</v>
      </c>
    </row>
    <row r="289" spans="1:12" x14ac:dyDescent="0.3">
      <c r="A289" t="s">
        <v>101</v>
      </c>
      <c r="B289">
        <v>2024</v>
      </c>
      <c r="C289" t="s">
        <v>102</v>
      </c>
      <c r="D289">
        <v>2</v>
      </c>
      <c r="E289">
        <v>2</v>
      </c>
      <c r="F289">
        <v>0</v>
      </c>
      <c r="G289">
        <v>0</v>
      </c>
      <c r="H289">
        <v>0</v>
      </c>
      <c r="I289">
        <v>1</v>
      </c>
      <c r="J289">
        <v>100</v>
      </c>
      <c r="L289">
        <f>_xlfn.XLOOKUP(C289, dim_teams[team_name], dim_teams[team_id], "Not found", 0)</f>
        <v>19</v>
      </c>
    </row>
    <row r="290" spans="1:12" x14ac:dyDescent="0.3">
      <c r="A290" t="s">
        <v>101</v>
      </c>
      <c r="B290">
        <v>2025</v>
      </c>
      <c r="C290" t="s">
        <v>15</v>
      </c>
      <c r="D290">
        <v>6</v>
      </c>
      <c r="E290">
        <v>2</v>
      </c>
      <c r="F290">
        <v>0</v>
      </c>
      <c r="G290">
        <v>1</v>
      </c>
      <c r="H290">
        <v>1</v>
      </c>
      <c r="I290">
        <v>2</v>
      </c>
      <c r="J290">
        <v>300</v>
      </c>
      <c r="K290">
        <v>6</v>
      </c>
      <c r="L290">
        <f>_xlfn.XLOOKUP(C290, dim_teams[team_name], dim_teams[team_id], "Not found", 0)</f>
        <v>17</v>
      </c>
    </row>
    <row r="291" spans="1:12" x14ac:dyDescent="0.3">
      <c r="A291" t="s">
        <v>103</v>
      </c>
      <c r="B291">
        <v>2024</v>
      </c>
      <c r="C291" t="s">
        <v>23</v>
      </c>
      <c r="D291">
        <v>4</v>
      </c>
      <c r="E291">
        <v>5</v>
      </c>
      <c r="F291">
        <v>0</v>
      </c>
      <c r="G291">
        <v>0</v>
      </c>
      <c r="H291">
        <v>0</v>
      </c>
      <c r="I291">
        <v>1</v>
      </c>
      <c r="J291">
        <v>80</v>
      </c>
      <c r="L291">
        <f>_xlfn.XLOOKUP(C291, dim_teams[team_name], dim_teams[team_id], "Not found", 0)</f>
        <v>7</v>
      </c>
    </row>
    <row r="292" spans="1:12" x14ac:dyDescent="0.3">
      <c r="A292" t="s">
        <v>103</v>
      </c>
      <c r="B292">
        <v>2025</v>
      </c>
      <c r="C292" t="s">
        <v>17</v>
      </c>
      <c r="D292">
        <v>4</v>
      </c>
      <c r="E292">
        <v>9</v>
      </c>
      <c r="F292">
        <v>0</v>
      </c>
      <c r="G292">
        <v>0</v>
      </c>
      <c r="H292">
        <v>0</v>
      </c>
      <c r="I292">
        <v>1</v>
      </c>
      <c r="J292">
        <v>44.44</v>
      </c>
      <c r="L292">
        <f>_xlfn.XLOOKUP(C292, dim_teams[team_name], dim_teams[team_id], "Not found", 0)</f>
        <v>5</v>
      </c>
    </row>
    <row r="293" spans="1:12" x14ac:dyDescent="0.3">
      <c r="A293" t="s">
        <v>104</v>
      </c>
      <c r="B293">
        <v>2022</v>
      </c>
      <c r="C293" t="s">
        <v>19</v>
      </c>
      <c r="D293">
        <v>5</v>
      </c>
      <c r="E293">
        <v>3</v>
      </c>
      <c r="F293">
        <v>1</v>
      </c>
      <c r="G293">
        <v>0</v>
      </c>
      <c r="H293">
        <v>1</v>
      </c>
      <c r="I293">
        <v>1</v>
      </c>
      <c r="J293">
        <v>166.67</v>
      </c>
      <c r="K293">
        <v>5</v>
      </c>
      <c r="L293">
        <f>_xlfn.XLOOKUP(C293, dim_teams[team_name], dim_teams[team_id], "Not found", 0)</f>
        <v>1</v>
      </c>
    </row>
    <row r="294" spans="1:12" x14ac:dyDescent="0.3">
      <c r="A294" t="s">
        <v>104</v>
      </c>
      <c r="B294">
        <v>2023</v>
      </c>
      <c r="C294" t="s">
        <v>33</v>
      </c>
      <c r="D294">
        <v>110</v>
      </c>
      <c r="E294">
        <v>101</v>
      </c>
      <c r="F294">
        <v>7</v>
      </c>
      <c r="G294">
        <v>6</v>
      </c>
      <c r="H294">
        <v>8</v>
      </c>
      <c r="I294">
        <v>9</v>
      </c>
      <c r="J294">
        <v>108.91</v>
      </c>
      <c r="K294">
        <v>13.75</v>
      </c>
      <c r="L294">
        <f>_xlfn.XLOOKUP(C294, dim_teams[team_name], dim_teams[team_id], "Not found", 0)</f>
        <v>15</v>
      </c>
    </row>
    <row r="295" spans="1:12" x14ac:dyDescent="0.3">
      <c r="A295" t="s">
        <v>105</v>
      </c>
      <c r="B295">
        <v>2025</v>
      </c>
      <c r="C295" t="s">
        <v>13</v>
      </c>
      <c r="D295">
        <v>236</v>
      </c>
      <c r="E295">
        <v>142</v>
      </c>
      <c r="F295">
        <v>12</v>
      </c>
      <c r="G295">
        <v>20</v>
      </c>
      <c r="H295">
        <v>9</v>
      </c>
      <c r="I295">
        <v>12</v>
      </c>
      <c r="J295">
        <v>166.2</v>
      </c>
      <c r="K295">
        <v>26.22</v>
      </c>
      <c r="L295">
        <f>_xlfn.XLOOKUP(C295, dim_teams[team_name], dim_teams[team_id], "Not found", 0)</f>
        <v>11</v>
      </c>
    </row>
    <row r="296" spans="1:12" x14ac:dyDescent="0.3">
      <c r="A296" t="s">
        <v>106</v>
      </c>
      <c r="B296">
        <v>2010</v>
      </c>
      <c r="C296" t="s">
        <v>12</v>
      </c>
      <c r="D296">
        <v>63</v>
      </c>
      <c r="E296">
        <v>66</v>
      </c>
      <c r="F296">
        <v>6</v>
      </c>
      <c r="G296">
        <v>1</v>
      </c>
      <c r="H296">
        <v>4</v>
      </c>
      <c r="I296">
        <v>4</v>
      </c>
      <c r="J296">
        <v>95.45</v>
      </c>
      <c r="K296">
        <v>15.75</v>
      </c>
      <c r="L296">
        <f>_xlfn.XLOOKUP(C296, dim_teams[team_name], dim_teams[team_id], "Not found", 0)</f>
        <v>8</v>
      </c>
    </row>
    <row r="297" spans="1:12" x14ac:dyDescent="0.3">
      <c r="A297" t="s">
        <v>107</v>
      </c>
      <c r="B297">
        <v>2012</v>
      </c>
      <c r="C297" t="s">
        <v>12</v>
      </c>
      <c r="D297">
        <v>18</v>
      </c>
      <c r="E297">
        <v>13</v>
      </c>
      <c r="F297">
        <v>0</v>
      </c>
      <c r="G297">
        <v>2</v>
      </c>
      <c r="H297">
        <v>3</v>
      </c>
      <c r="I297">
        <v>4</v>
      </c>
      <c r="J297">
        <v>138.46</v>
      </c>
      <c r="K297">
        <v>6</v>
      </c>
      <c r="L297">
        <f>_xlfn.XLOOKUP(C297, dim_teams[team_name], dim_teams[team_id], "Not found", 0)</f>
        <v>8</v>
      </c>
    </row>
    <row r="298" spans="1:12" x14ac:dyDescent="0.3">
      <c r="A298" t="s">
        <v>107</v>
      </c>
      <c r="B298">
        <v>2014</v>
      </c>
      <c r="C298" t="s">
        <v>17</v>
      </c>
      <c r="D298">
        <v>34</v>
      </c>
      <c r="E298">
        <v>30</v>
      </c>
      <c r="F298">
        <v>4</v>
      </c>
      <c r="G298">
        <v>1</v>
      </c>
      <c r="H298">
        <v>2</v>
      </c>
      <c r="I298">
        <v>2</v>
      </c>
      <c r="J298">
        <v>113.33</v>
      </c>
      <c r="K298">
        <v>17</v>
      </c>
      <c r="L298">
        <f>_xlfn.XLOOKUP(C298, dim_teams[team_name], dim_teams[team_id], "Not found", 0)</f>
        <v>5</v>
      </c>
    </row>
    <row r="299" spans="1:12" x14ac:dyDescent="0.3">
      <c r="A299" t="s">
        <v>107</v>
      </c>
      <c r="B299">
        <v>2015</v>
      </c>
      <c r="C299" t="s">
        <v>17</v>
      </c>
      <c r="D299">
        <v>7</v>
      </c>
      <c r="E299">
        <v>6</v>
      </c>
      <c r="F299">
        <v>1</v>
      </c>
      <c r="G299">
        <v>0</v>
      </c>
      <c r="H299">
        <v>1</v>
      </c>
      <c r="I299">
        <v>2</v>
      </c>
      <c r="J299">
        <v>116.67</v>
      </c>
      <c r="K299">
        <v>7</v>
      </c>
      <c r="L299">
        <f>_xlfn.XLOOKUP(C299, dim_teams[team_name], dim_teams[team_id], "Not found", 0)</f>
        <v>5</v>
      </c>
    </row>
    <row r="300" spans="1:12" x14ac:dyDescent="0.3">
      <c r="A300" t="s">
        <v>107</v>
      </c>
      <c r="B300">
        <v>2016</v>
      </c>
      <c r="C300" t="s">
        <v>45</v>
      </c>
      <c r="D300">
        <v>3</v>
      </c>
      <c r="E300">
        <v>3</v>
      </c>
      <c r="F300">
        <v>0</v>
      </c>
      <c r="G300">
        <v>0</v>
      </c>
      <c r="H300">
        <v>0</v>
      </c>
      <c r="I300">
        <v>1</v>
      </c>
      <c r="J300">
        <v>100</v>
      </c>
      <c r="L300">
        <f>_xlfn.XLOOKUP(C300, dim_teams[team_name], dim_teams[team_id], "Not found", 0)</f>
        <v>12</v>
      </c>
    </row>
    <row r="301" spans="1:12" x14ac:dyDescent="0.3">
      <c r="A301" t="s">
        <v>107</v>
      </c>
      <c r="B301">
        <v>2017</v>
      </c>
      <c r="C301" t="s">
        <v>46</v>
      </c>
      <c r="D301">
        <v>25</v>
      </c>
      <c r="E301">
        <v>15</v>
      </c>
      <c r="F301">
        <v>2</v>
      </c>
      <c r="G301">
        <v>1</v>
      </c>
      <c r="H301">
        <v>1</v>
      </c>
      <c r="I301">
        <v>1</v>
      </c>
      <c r="J301">
        <v>166.67</v>
      </c>
      <c r="K301">
        <v>25</v>
      </c>
      <c r="L301">
        <f>_xlfn.XLOOKUP(C301, dim_teams[team_name], dim_teams[team_id], "Not found", 0)</f>
        <v>14</v>
      </c>
    </row>
    <row r="302" spans="1:12" x14ac:dyDescent="0.3">
      <c r="A302" t="s">
        <v>108</v>
      </c>
      <c r="B302">
        <v>2017</v>
      </c>
      <c r="C302" t="s">
        <v>66</v>
      </c>
      <c r="D302">
        <v>7</v>
      </c>
      <c r="E302">
        <v>9</v>
      </c>
      <c r="F302">
        <v>0</v>
      </c>
      <c r="G302">
        <v>1</v>
      </c>
      <c r="H302">
        <v>2</v>
      </c>
      <c r="I302">
        <v>3</v>
      </c>
      <c r="J302">
        <v>77.78</v>
      </c>
      <c r="K302">
        <v>3.5</v>
      </c>
      <c r="L302">
        <f>_xlfn.XLOOKUP(C302, dim_teams[team_name], dim_teams[team_id], "Not found", 0)</f>
        <v>13</v>
      </c>
    </row>
    <row r="303" spans="1:12" x14ac:dyDescent="0.3">
      <c r="A303" t="s">
        <v>109</v>
      </c>
      <c r="B303">
        <v>2021</v>
      </c>
      <c r="C303" t="s">
        <v>23</v>
      </c>
      <c r="D303">
        <v>16</v>
      </c>
      <c r="E303">
        <v>14</v>
      </c>
      <c r="F303">
        <v>2</v>
      </c>
      <c r="G303">
        <v>1</v>
      </c>
      <c r="H303">
        <v>1</v>
      </c>
      <c r="I303">
        <v>1</v>
      </c>
      <c r="J303">
        <v>114.29</v>
      </c>
      <c r="K303">
        <v>16</v>
      </c>
      <c r="L303">
        <f>_xlfn.XLOOKUP(C303, dim_teams[team_name], dim_teams[team_id], "Not found", 0)</f>
        <v>7</v>
      </c>
    </row>
    <row r="304" spans="1:12" x14ac:dyDescent="0.3">
      <c r="A304" t="s">
        <v>109</v>
      </c>
      <c r="B304">
        <v>2022</v>
      </c>
      <c r="C304" t="s">
        <v>23</v>
      </c>
      <c r="D304">
        <v>13</v>
      </c>
      <c r="E304">
        <v>13</v>
      </c>
      <c r="F304">
        <v>1</v>
      </c>
      <c r="G304">
        <v>0</v>
      </c>
      <c r="H304">
        <v>2</v>
      </c>
      <c r="I304">
        <v>2</v>
      </c>
      <c r="J304">
        <v>100</v>
      </c>
      <c r="K304">
        <v>6.5</v>
      </c>
      <c r="L304">
        <f>_xlfn.XLOOKUP(C304, dim_teams[team_name], dim_teams[team_id], "Not found", 0)</f>
        <v>7</v>
      </c>
    </row>
    <row r="305" spans="1:12" x14ac:dyDescent="0.3">
      <c r="A305" t="s">
        <v>109</v>
      </c>
      <c r="B305">
        <v>2023</v>
      </c>
      <c r="C305" t="s">
        <v>13</v>
      </c>
      <c r="D305">
        <v>105</v>
      </c>
      <c r="E305">
        <v>82</v>
      </c>
      <c r="F305">
        <v>15</v>
      </c>
      <c r="G305">
        <v>2</v>
      </c>
      <c r="H305">
        <v>4</v>
      </c>
      <c r="I305">
        <v>4</v>
      </c>
      <c r="J305">
        <v>128.05000000000001</v>
      </c>
      <c r="K305">
        <v>26.25</v>
      </c>
      <c r="L305">
        <f>_xlfn.XLOOKUP(C305, dim_teams[team_name], dim_teams[team_id], "Not found", 0)</f>
        <v>11</v>
      </c>
    </row>
    <row r="306" spans="1:12" x14ac:dyDescent="0.3">
      <c r="A306" t="s">
        <v>109</v>
      </c>
      <c r="B306">
        <v>2024</v>
      </c>
      <c r="C306" t="s">
        <v>13</v>
      </c>
      <c r="D306">
        <v>5</v>
      </c>
      <c r="E306">
        <v>6</v>
      </c>
      <c r="F306">
        <v>1</v>
      </c>
      <c r="G306">
        <v>0</v>
      </c>
      <c r="H306">
        <v>2</v>
      </c>
      <c r="I306">
        <v>2</v>
      </c>
      <c r="J306">
        <v>83.33</v>
      </c>
      <c r="K306">
        <v>2.5</v>
      </c>
      <c r="L306">
        <f>_xlfn.XLOOKUP(C306, dim_teams[team_name], dim_teams[team_id], "Not found", 0)</f>
        <v>11</v>
      </c>
    </row>
    <row r="307" spans="1:12" x14ac:dyDescent="0.3">
      <c r="A307" t="s">
        <v>110</v>
      </c>
      <c r="B307">
        <v>2021</v>
      </c>
      <c r="C307" t="s">
        <v>17</v>
      </c>
      <c r="D307">
        <v>0</v>
      </c>
      <c r="E307">
        <v>1</v>
      </c>
      <c r="F307">
        <v>0</v>
      </c>
      <c r="G307">
        <v>0</v>
      </c>
      <c r="H307">
        <v>1</v>
      </c>
      <c r="I307">
        <v>1</v>
      </c>
      <c r="J307">
        <v>0</v>
      </c>
      <c r="K307">
        <v>0</v>
      </c>
      <c r="L307">
        <f>_xlfn.XLOOKUP(C307, dim_teams[team_name], dim_teams[team_id], "Not found", 0)</f>
        <v>5</v>
      </c>
    </row>
    <row r="308" spans="1:12" x14ac:dyDescent="0.3">
      <c r="A308" t="s">
        <v>110</v>
      </c>
      <c r="B308">
        <v>2022</v>
      </c>
      <c r="C308" t="s">
        <v>21</v>
      </c>
      <c r="D308">
        <v>129</v>
      </c>
      <c r="E308">
        <v>118</v>
      </c>
      <c r="F308">
        <v>10</v>
      </c>
      <c r="G308">
        <v>7</v>
      </c>
      <c r="H308">
        <v>7</v>
      </c>
      <c r="I308">
        <v>8</v>
      </c>
      <c r="J308">
        <v>109.32</v>
      </c>
      <c r="K308">
        <v>18.43</v>
      </c>
      <c r="L308">
        <f>_xlfn.XLOOKUP(C308, dim_teams[team_name], dim_teams[team_id], "Not found", 0)</f>
        <v>2</v>
      </c>
    </row>
    <row r="309" spans="1:12" x14ac:dyDescent="0.3">
      <c r="A309" t="s">
        <v>110</v>
      </c>
      <c r="B309">
        <v>2023</v>
      </c>
      <c r="C309" t="s">
        <v>21</v>
      </c>
      <c r="D309">
        <v>91</v>
      </c>
      <c r="E309">
        <v>71</v>
      </c>
      <c r="F309">
        <v>6</v>
      </c>
      <c r="G309">
        <v>4</v>
      </c>
      <c r="H309">
        <v>3</v>
      </c>
      <c r="I309">
        <v>7</v>
      </c>
      <c r="J309">
        <v>128.16999999999999</v>
      </c>
      <c r="K309">
        <v>30.33</v>
      </c>
      <c r="L309">
        <f>_xlfn.XLOOKUP(C309, dim_teams[team_name], dim_teams[team_id], "Not found", 0)</f>
        <v>2</v>
      </c>
    </row>
    <row r="310" spans="1:12" x14ac:dyDescent="0.3">
      <c r="A310" t="s">
        <v>110</v>
      </c>
      <c r="B310">
        <v>2024</v>
      </c>
      <c r="C310" t="s">
        <v>102</v>
      </c>
      <c r="D310">
        <v>98</v>
      </c>
      <c r="E310">
        <v>77</v>
      </c>
      <c r="F310">
        <v>10</v>
      </c>
      <c r="G310">
        <v>3</v>
      </c>
      <c r="H310">
        <v>3</v>
      </c>
      <c r="I310">
        <v>5</v>
      </c>
      <c r="J310">
        <v>127.27</v>
      </c>
      <c r="K310">
        <v>32.67</v>
      </c>
      <c r="L310">
        <f>_xlfn.XLOOKUP(C310, dim_teams[team_name], dim_teams[team_id], "Not found", 0)</f>
        <v>19</v>
      </c>
    </row>
    <row r="311" spans="1:12" x14ac:dyDescent="0.3">
      <c r="A311" t="s">
        <v>111</v>
      </c>
      <c r="B311">
        <v>2015</v>
      </c>
      <c r="C311" t="s">
        <v>54</v>
      </c>
      <c r="D311">
        <v>18</v>
      </c>
      <c r="E311">
        <v>31</v>
      </c>
      <c r="F311">
        <v>0</v>
      </c>
      <c r="G311">
        <v>1</v>
      </c>
      <c r="H311">
        <v>3</v>
      </c>
      <c r="I311">
        <v>6</v>
      </c>
      <c r="J311">
        <v>58.06</v>
      </c>
      <c r="K311">
        <v>6</v>
      </c>
      <c r="L311">
        <f>_xlfn.XLOOKUP(C311, dim_teams[team_name], dim_teams[team_id], "Not found", 0)</f>
        <v>4</v>
      </c>
    </row>
    <row r="312" spans="1:12" x14ac:dyDescent="0.3">
      <c r="A312" t="s">
        <v>111</v>
      </c>
      <c r="B312">
        <v>2017</v>
      </c>
      <c r="C312" t="s">
        <v>54</v>
      </c>
      <c r="D312">
        <v>15</v>
      </c>
      <c r="E312">
        <v>12</v>
      </c>
      <c r="F312">
        <v>2</v>
      </c>
      <c r="G312">
        <v>0</v>
      </c>
      <c r="H312">
        <v>1</v>
      </c>
      <c r="I312">
        <v>1</v>
      </c>
      <c r="J312">
        <v>125</v>
      </c>
      <c r="K312">
        <v>15</v>
      </c>
      <c r="L312">
        <f>_xlfn.XLOOKUP(C312, dim_teams[team_name], dim_teams[team_id], "Not found", 0)</f>
        <v>4</v>
      </c>
    </row>
    <row r="313" spans="1:12" x14ac:dyDescent="0.3">
      <c r="A313" t="s">
        <v>111</v>
      </c>
      <c r="B313">
        <v>2018</v>
      </c>
      <c r="C313" t="s">
        <v>17</v>
      </c>
      <c r="D313">
        <v>3</v>
      </c>
      <c r="E313">
        <v>4</v>
      </c>
      <c r="F313">
        <v>0</v>
      </c>
      <c r="G313">
        <v>0</v>
      </c>
      <c r="H313">
        <v>0</v>
      </c>
      <c r="I313">
        <v>1</v>
      </c>
      <c r="J313">
        <v>75</v>
      </c>
      <c r="L313">
        <f>_xlfn.XLOOKUP(C313, dim_teams[team_name], dim_teams[team_id], "Not found", 0)</f>
        <v>5</v>
      </c>
    </row>
    <row r="314" spans="1:12" x14ac:dyDescent="0.3">
      <c r="A314" t="s">
        <v>112</v>
      </c>
      <c r="B314">
        <v>2023</v>
      </c>
      <c r="C314" t="s">
        <v>23</v>
      </c>
      <c r="D314">
        <v>13</v>
      </c>
      <c r="E314">
        <v>9</v>
      </c>
      <c r="F314">
        <v>0</v>
      </c>
      <c r="G314">
        <v>1</v>
      </c>
      <c r="H314">
        <v>1</v>
      </c>
      <c r="I314">
        <v>1</v>
      </c>
      <c r="J314">
        <v>144.44</v>
      </c>
      <c r="K314">
        <v>13</v>
      </c>
      <c r="L314">
        <f>_xlfn.XLOOKUP(C314, dim_teams[team_name], dim_teams[team_id], "Not found", 0)</f>
        <v>7</v>
      </c>
    </row>
    <row r="315" spans="1:12" x14ac:dyDescent="0.3">
      <c r="A315" t="s">
        <v>113</v>
      </c>
      <c r="B315">
        <v>2023</v>
      </c>
      <c r="C315" t="s">
        <v>23</v>
      </c>
      <c r="D315">
        <v>18</v>
      </c>
      <c r="E315">
        <v>15</v>
      </c>
      <c r="F315">
        <v>0</v>
      </c>
      <c r="G315">
        <v>1</v>
      </c>
      <c r="H315">
        <v>2</v>
      </c>
      <c r="I315">
        <v>3</v>
      </c>
      <c r="J315">
        <v>120</v>
      </c>
      <c r="K315">
        <v>9</v>
      </c>
      <c r="L315">
        <f>_xlfn.XLOOKUP(C315, dim_teams[team_name], dim_teams[team_id], "Not found", 0)</f>
        <v>7</v>
      </c>
    </row>
    <row r="316" spans="1:12" x14ac:dyDescent="0.3">
      <c r="A316" t="s">
        <v>113</v>
      </c>
      <c r="B316">
        <v>2024</v>
      </c>
      <c r="C316" t="s">
        <v>15</v>
      </c>
      <c r="D316">
        <v>78</v>
      </c>
      <c r="E316">
        <v>50</v>
      </c>
      <c r="F316">
        <v>5</v>
      </c>
      <c r="G316">
        <v>5</v>
      </c>
      <c r="H316">
        <v>2</v>
      </c>
      <c r="I316">
        <v>3</v>
      </c>
      <c r="J316">
        <v>156</v>
      </c>
      <c r="K316">
        <v>39</v>
      </c>
      <c r="L316">
        <f>_xlfn.XLOOKUP(C316, dim_teams[team_name], dim_teams[team_id], "Not found", 0)</f>
        <v>17</v>
      </c>
    </row>
    <row r="317" spans="1:12" x14ac:dyDescent="0.3">
      <c r="A317" t="s">
        <v>113</v>
      </c>
      <c r="B317">
        <v>2025</v>
      </c>
      <c r="C317" t="s">
        <v>29</v>
      </c>
      <c r="D317">
        <v>23</v>
      </c>
      <c r="E317">
        <v>19</v>
      </c>
      <c r="F317">
        <v>0</v>
      </c>
      <c r="G317">
        <v>3</v>
      </c>
      <c r="H317">
        <v>2</v>
      </c>
      <c r="I317">
        <v>4</v>
      </c>
      <c r="J317">
        <v>121.05</v>
      </c>
      <c r="K317">
        <v>11.5</v>
      </c>
      <c r="L317">
        <f>_xlfn.XLOOKUP(C317, dim_teams[team_name], dim_teams[team_id], "Not found", 0)</f>
        <v>18</v>
      </c>
    </row>
    <row r="318" spans="1:12" x14ac:dyDescent="0.3">
      <c r="A318" t="s">
        <v>114</v>
      </c>
      <c r="B318">
        <v>2024</v>
      </c>
      <c r="C318" t="s">
        <v>15</v>
      </c>
      <c r="D318">
        <v>5</v>
      </c>
      <c r="E318">
        <v>4</v>
      </c>
      <c r="F318">
        <v>1</v>
      </c>
      <c r="G318">
        <v>0</v>
      </c>
      <c r="H318">
        <v>1</v>
      </c>
      <c r="I318">
        <v>1</v>
      </c>
      <c r="J318">
        <v>125</v>
      </c>
      <c r="K318">
        <v>5</v>
      </c>
      <c r="L318">
        <f>_xlfn.XLOOKUP(C318, dim_teams[team_name], dim_teams[team_id], "Not found", 0)</f>
        <v>17</v>
      </c>
    </row>
    <row r="319" spans="1:12" x14ac:dyDescent="0.3">
      <c r="A319" t="s">
        <v>115</v>
      </c>
      <c r="B319">
        <v>2020</v>
      </c>
      <c r="C319" t="s">
        <v>54</v>
      </c>
      <c r="D319">
        <v>0</v>
      </c>
      <c r="E319">
        <v>3</v>
      </c>
      <c r="F319">
        <v>0</v>
      </c>
      <c r="G319">
        <v>0</v>
      </c>
      <c r="H319">
        <v>1</v>
      </c>
      <c r="I319">
        <v>1</v>
      </c>
      <c r="J319">
        <v>0</v>
      </c>
      <c r="K319">
        <v>0</v>
      </c>
      <c r="L319">
        <f>_xlfn.XLOOKUP(C319, dim_teams[team_name], dim_teams[team_id], "Not found", 0)</f>
        <v>4</v>
      </c>
    </row>
    <row r="320" spans="1:12" x14ac:dyDescent="0.3">
      <c r="A320" t="s">
        <v>115</v>
      </c>
      <c r="B320">
        <v>2021</v>
      </c>
      <c r="C320" t="s">
        <v>76</v>
      </c>
      <c r="D320">
        <v>2</v>
      </c>
      <c r="E320">
        <v>3</v>
      </c>
      <c r="F320">
        <v>0</v>
      </c>
      <c r="G320">
        <v>0</v>
      </c>
      <c r="H320">
        <v>0</v>
      </c>
      <c r="I320">
        <v>2</v>
      </c>
      <c r="J320">
        <v>66.67</v>
      </c>
      <c r="L320">
        <f>_xlfn.XLOOKUP(C320, dim_teams[team_name], dim_teams[team_id], "Not found", 0)</f>
        <v>16</v>
      </c>
    </row>
    <row r="321" spans="1:12" x14ac:dyDescent="0.3">
      <c r="A321" t="s">
        <v>115</v>
      </c>
      <c r="B321">
        <v>2022</v>
      </c>
      <c r="C321" t="s">
        <v>76</v>
      </c>
      <c r="D321">
        <v>21</v>
      </c>
      <c r="E321">
        <v>29</v>
      </c>
      <c r="F321">
        <v>3</v>
      </c>
      <c r="G321">
        <v>0</v>
      </c>
      <c r="H321">
        <v>3</v>
      </c>
      <c r="I321">
        <v>6</v>
      </c>
      <c r="J321">
        <v>72.41</v>
      </c>
      <c r="K321">
        <v>7</v>
      </c>
      <c r="L321">
        <f>_xlfn.XLOOKUP(C321, dim_teams[team_name], dim_teams[team_id], "Not found", 0)</f>
        <v>16</v>
      </c>
    </row>
    <row r="322" spans="1:12" x14ac:dyDescent="0.3">
      <c r="A322" t="s">
        <v>115</v>
      </c>
      <c r="B322">
        <v>2023</v>
      </c>
      <c r="C322" t="s">
        <v>76</v>
      </c>
      <c r="D322">
        <v>2</v>
      </c>
      <c r="E322">
        <v>2</v>
      </c>
      <c r="F322">
        <v>0</v>
      </c>
      <c r="G322">
        <v>0</v>
      </c>
      <c r="H322">
        <v>0</v>
      </c>
      <c r="I322">
        <v>1</v>
      </c>
      <c r="J322">
        <v>100</v>
      </c>
      <c r="L322">
        <f>_xlfn.XLOOKUP(C322, dim_teams[team_name], dim_teams[team_id], "Not found", 0)</f>
        <v>16</v>
      </c>
    </row>
    <row r="323" spans="1:12" x14ac:dyDescent="0.3">
      <c r="A323" t="s">
        <v>115</v>
      </c>
      <c r="B323">
        <v>2024</v>
      </c>
      <c r="C323" t="s">
        <v>76</v>
      </c>
      <c r="D323">
        <v>4</v>
      </c>
      <c r="E323">
        <v>3</v>
      </c>
      <c r="F323">
        <v>1</v>
      </c>
      <c r="G323">
        <v>0</v>
      </c>
      <c r="H323">
        <v>1</v>
      </c>
      <c r="I323">
        <v>1</v>
      </c>
      <c r="J323">
        <v>133.33000000000001</v>
      </c>
      <c r="K323">
        <v>4</v>
      </c>
      <c r="L323">
        <f>_xlfn.XLOOKUP(C323, dim_teams[team_name], dim_teams[team_id], "Not found", 0)</f>
        <v>16</v>
      </c>
    </row>
    <row r="324" spans="1:12" x14ac:dyDescent="0.3">
      <c r="A324" t="s">
        <v>115</v>
      </c>
      <c r="B324">
        <v>2025</v>
      </c>
      <c r="C324" t="s">
        <v>76</v>
      </c>
      <c r="D324">
        <v>2</v>
      </c>
      <c r="E324">
        <v>6</v>
      </c>
      <c r="F324">
        <v>0</v>
      </c>
      <c r="G324">
        <v>0</v>
      </c>
      <c r="H324">
        <v>1</v>
      </c>
      <c r="I324">
        <v>2</v>
      </c>
      <c r="J324">
        <v>33.33</v>
      </c>
      <c r="K324">
        <v>2</v>
      </c>
      <c r="L324">
        <f>_xlfn.XLOOKUP(C324, dim_teams[team_name], dim_teams[team_id], "Not found", 0)</f>
        <v>16</v>
      </c>
    </row>
    <row r="325" spans="1:12" x14ac:dyDescent="0.3">
      <c r="A325" t="s">
        <v>116</v>
      </c>
      <c r="B325">
        <v>2024</v>
      </c>
      <c r="C325" t="s">
        <v>76</v>
      </c>
      <c r="D325">
        <v>189</v>
      </c>
      <c r="E325">
        <v>110</v>
      </c>
      <c r="F325">
        <v>10</v>
      </c>
      <c r="G325">
        <v>15</v>
      </c>
      <c r="H325">
        <v>8</v>
      </c>
      <c r="I325">
        <v>9</v>
      </c>
      <c r="J325">
        <v>171.82</v>
      </c>
      <c r="K325">
        <v>23.62</v>
      </c>
      <c r="L325">
        <f>_xlfn.XLOOKUP(C325, dim_teams[team_name], dim_teams[team_id], "Not found", 0)</f>
        <v>16</v>
      </c>
    </row>
    <row r="326" spans="1:12" x14ac:dyDescent="0.3">
      <c r="A326" t="s">
        <v>116</v>
      </c>
      <c r="B326">
        <v>2025</v>
      </c>
      <c r="C326" t="s">
        <v>33</v>
      </c>
      <c r="D326">
        <v>204</v>
      </c>
      <c r="E326">
        <v>126</v>
      </c>
      <c r="F326">
        <v>14</v>
      </c>
      <c r="G326">
        <v>13</v>
      </c>
      <c r="H326">
        <v>7</v>
      </c>
      <c r="I326">
        <v>9</v>
      </c>
      <c r="J326">
        <v>161.9</v>
      </c>
      <c r="K326">
        <v>29.14</v>
      </c>
      <c r="L326">
        <f>_xlfn.XLOOKUP(C326, dim_teams[team_name], dim_teams[team_id], "Not found", 0)</f>
        <v>15</v>
      </c>
    </row>
    <row r="327" spans="1:12" x14ac:dyDescent="0.3">
      <c r="A327" t="s">
        <v>117</v>
      </c>
      <c r="B327">
        <v>2023</v>
      </c>
      <c r="C327" t="s">
        <v>76</v>
      </c>
      <c r="D327">
        <v>186</v>
      </c>
      <c r="E327">
        <v>129</v>
      </c>
      <c r="F327">
        <v>20</v>
      </c>
      <c r="G327">
        <v>6</v>
      </c>
      <c r="H327">
        <v>6</v>
      </c>
      <c r="I327">
        <v>7</v>
      </c>
      <c r="J327">
        <v>144.19</v>
      </c>
      <c r="K327">
        <v>31</v>
      </c>
      <c r="L327">
        <f>_xlfn.XLOOKUP(C327, dim_teams[team_name], dim_teams[team_id], "Not found", 0)</f>
        <v>16</v>
      </c>
    </row>
    <row r="328" spans="1:12" x14ac:dyDescent="0.3">
      <c r="A328" t="s">
        <v>117</v>
      </c>
      <c r="B328">
        <v>2024</v>
      </c>
      <c r="C328" t="s">
        <v>76</v>
      </c>
      <c r="D328">
        <v>61</v>
      </c>
      <c r="E328">
        <v>39</v>
      </c>
      <c r="F328">
        <v>7</v>
      </c>
      <c r="G328">
        <v>2</v>
      </c>
      <c r="H328">
        <v>2</v>
      </c>
      <c r="I328">
        <v>2</v>
      </c>
      <c r="J328">
        <v>156.41</v>
      </c>
      <c r="K328">
        <v>30.5</v>
      </c>
      <c r="L328">
        <f>_xlfn.XLOOKUP(C328, dim_teams[team_name], dim_teams[team_id], "Not found", 0)</f>
        <v>16</v>
      </c>
    </row>
    <row r="329" spans="1:12" x14ac:dyDescent="0.3">
      <c r="A329" t="s">
        <v>117</v>
      </c>
      <c r="B329">
        <v>2025</v>
      </c>
      <c r="C329" t="s">
        <v>13</v>
      </c>
      <c r="D329">
        <v>13</v>
      </c>
      <c r="E329">
        <v>9</v>
      </c>
      <c r="F329">
        <v>3</v>
      </c>
      <c r="G329">
        <v>0</v>
      </c>
      <c r="H329">
        <v>1</v>
      </c>
      <c r="I329">
        <v>1</v>
      </c>
      <c r="J329">
        <v>144.44</v>
      </c>
      <c r="K329">
        <v>13</v>
      </c>
      <c r="L329">
        <f>_xlfn.XLOOKUP(C329, dim_teams[team_name], dim_teams[team_id], "Not found", 0)</f>
        <v>11</v>
      </c>
    </row>
    <row r="330" spans="1:12" x14ac:dyDescent="0.3">
      <c r="A330" t="s">
        <v>118</v>
      </c>
      <c r="B330">
        <v>2019</v>
      </c>
      <c r="C330" t="s">
        <v>33</v>
      </c>
      <c r="D330">
        <v>4</v>
      </c>
      <c r="E330">
        <v>3</v>
      </c>
      <c r="F330">
        <v>1</v>
      </c>
      <c r="G330">
        <v>0</v>
      </c>
      <c r="H330">
        <v>0</v>
      </c>
      <c r="I330">
        <v>1</v>
      </c>
      <c r="J330">
        <v>133.33000000000001</v>
      </c>
      <c r="L330">
        <f>_xlfn.XLOOKUP(C330, dim_teams[team_name], dim_teams[team_id], "Not found", 0)</f>
        <v>15</v>
      </c>
    </row>
    <row r="331" spans="1:12" x14ac:dyDescent="0.3">
      <c r="A331" t="s">
        <v>118</v>
      </c>
      <c r="B331">
        <v>2021</v>
      </c>
      <c r="C331" t="s">
        <v>33</v>
      </c>
      <c r="D331">
        <v>5</v>
      </c>
      <c r="E331">
        <v>3</v>
      </c>
      <c r="F331">
        <v>1</v>
      </c>
      <c r="G331">
        <v>0</v>
      </c>
      <c r="H331">
        <v>0</v>
      </c>
      <c r="I331">
        <v>1</v>
      </c>
      <c r="J331">
        <v>166.67</v>
      </c>
      <c r="L331">
        <f>_xlfn.XLOOKUP(C331, dim_teams[team_name], dim_teams[team_id], "Not found", 0)</f>
        <v>15</v>
      </c>
    </row>
    <row r="332" spans="1:12" x14ac:dyDescent="0.3">
      <c r="A332" t="s">
        <v>118</v>
      </c>
      <c r="B332">
        <v>2022</v>
      </c>
      <c r="C332" t="s">
        <v>15</v>
      </c>
      <c r="D332">
        <v>22</v>
      </c>
      <c r="E332">
        <v>13</v>
      </c>
      <c r="F332">
        <v>0</v>
      </c>
      <c r="G332">
        <v>3</v>
      </c>
      <c r="H332">
        <v>1</v>
      </c>
      <c r="I332">
        <v>4</v>
      </c>
      <c r="J332">
        <v>169.23</v>
      </c>
      <c r="K332">
        <v>22</v>
      </c>
      <c r="L332">
        <f>_xlfn.XLOOKUP(C332, dim_teams[team_name], dim_teams[team_id], "Not found", 0)</f>
        <v>17</v>
      </c>
    </row>
    <row r="333" spans="1:12" x14ac:dyDescent="0.3">
      <c r="A333" t="s">
        <v>118</v>
      </c>
      <c r="B333">
        <v>2023</v>
      </c>
      <c r="C333" t="s">
        <v>15</v>
      </c>
      <c r="D333">
        <v>0</v>
      </c>
      <c r="E333">
        <v>1</v>
      </c>
      <c r="F333">
        <v>0</v>
      </c>
      <c r="G333">
        <v>0</v>
      </c>
      <c r="H333">
        <v>0</v>
      </c>
      <c r="I333">
        <v>1</v>
      </c>
      <c r="J333">
        <v>0</v>
      </c>
      <c r="L333">
        <f>_xlfn.XLOOKUP(C333, dim_teams[team_name], dim_teams[team_id], "Not found", 0)</f>
        <v>17</v>
      </c>
    </row>
    <row r="334" spans="1:12" x14ac:dyDescent="0.3">
      <c r="A334" t="s">
        <v>118</v>
      </c>
      <c r="B334">
        <v>2024</v>
      </c>
      <c r="C334" t="s">
        <v>17</v>
      </c>
      <c r="D334">
        <v>10</v>
      </c>
      <c r="E334">
        <v>5</v>
      </c>
      <c r="F334">
        <v>1</v>
      </c>
      <c r="G334">
        <v>0</v>
      </c>
      <c r="H334">
        <v>0</v>
      </c>
      <c r="I334">
        <v>2</v>
      </c>
      <c r="J334">
        <v>200</v>
      </c>
      <c r="L334">
        <f>_xlfn.XLOOKUP(C334, dim_teams[team_name], dim_teams[team_id], "Not found", 0)</f>
        <v>5</v>
      </c>
    </row>
    <row r="335" spans="1:12" x14ac:dyDescent="0.3">
      <c r="A335" t="s">
        <v>118</v>
      </c>
      <c r="B335">
        <v>2025</v>
      </c>
      <c r="C335" t="s">
        <v>15</v>
      </c>
      <c r="D335">
        <v>21</v>
      </c>
      <c r="E335">
        <v>12</v>
      </c>
      <c r="F335">
        <v>3</v>
      </c>
      <c r="G335">
        <v>1</v>
      </c>
      <c r="H335">
        <v>1</v>
      </c>
      <c r="I335">
        <v>4</v>
      </c>
      <c r="J335">
        <v>175</v>
      </c>
      <c r="K335">
        <v>21</v>
      </c>
      <c r="L335">
        <f>_xlfn.XLOOKUP(C335, dim_teams[team_name], dim_teams[team_id], "Not found", 0)</f>
        <v>17</v>
      </c>
    </row>
    <row r="336" spans="1:12" x14ac:dyDescent="0.3">
      <c r="A336" t="s">
        <v>119</v>
      </c>
      <c r="B336">
        <v>2012</v>
      </c>
      <c r="C336" t="s">
        <v>54</v>
      </c>
      <c r="D336">
        <v>186</v>
      </c>
      <c r="E336">
        <v>142</v>
      </c>
      <c r="F336">
        <v>16</v>
      </c>
      <c r="G336">
        <v>8</v>
      </c>
      <c r="H336">
        <v>8</v>
      </c>
      <c r="I336">
        <v>10</v>
      </c>
      <c r="J336">
        <v>130.99</v>
      </c>
      <c r="K336">
        <v>23.25</v>
      </c>
      <c r="L336">
        <f>_xlfn.XLOOKUP(C336, dim_teams[team_name], dim_teams[team_id], "Not found", 0)</f>
        <v>4</v>
      </c>
    </row>
    <row r="337" spans="1:12" x14ac:dyDescent="0.3">
      <c r="A337" t="s">
        <v>119</v>
      </c>
      <c r="B337">
        <v>2013</v>
      </c>
      <c r="C337" t="s">
        <v>54</v>
      </c>
      <c r="D337">
        <v>196</v>
      </c>
      <c r="E337">
        <v>154</v>
      </c>
      <c r="F337">
        <v>22</v>
      </c>
      <c r="G337">
        <v>5</v>
      </c>
      <c r="H337">
        <v>10</v>
      </c>
      <c r="I337">
        <v>10</v>
      </c>
      <c r="J337">
        <v>127.27</v>
      </c>
      <c r="K337">
        <v>19.600000000000001</v>
      </c>
      <c r="L337">
        <f>_xlfn.XLOOKUP(C337, dim_teams[team_name], dim_teams[team_id], "Not found", 0)</f>
        <v>4</v>
      </c>
    </row>
    <row r="338" spans="1:12" x14ac:dyDescent="0.3">
      <c r="A338" t="s">
        <v>119</v>
      </c>
      <c r="B338">
        <v>2015</v>
      </c>
      <c r="C338" t="s">
        <v>19</v>
      </c>
      <c r="D338">
        <v>6</v>
      </c>
      <c r="E338">
        <v>7</v>
      </c>
      <c r="F338">
        <v>1</v>
      </c>
      <c r="G338">
        <v>0</v>
      </c>
      <c r="H338">
        <v>1</v>
      </c>
      <c r="I338">
        <v>1</v>
      </c>
      <c r="J338">
        <v>85.71</v>
      </c>
      <c r="K338">
        <v>6</v>
      </c>
      <c r="L338">
        <f>_xlfn.XLOOKUP(C338, dim_teams[team_name], dim_teams[team_id], "Not found", 0)</f>
        <v>1</v>
      </c>
    </row>
    <row r="339" spans="1:12" x14ac:dyDescent="0.3">
      <c r="A339" t="s">
        <v>120</v>
      </c>
      <c r="B339">
        <v>2024</v>
      </c>
      <c r="C339" t="s">
        <v>29</v>
      </c>
      <c r="D339">
        <v>42</v>
      </c>
      <c r="E339">
        <v>33</v>
      </c>
      <c r="F339">
        <v>2</v>
      </c>
      <c r="G339">
        <v>2</v>
      </c>
      <c r="H339">
        <v>4</v>
      </c>
      <c r="I339">
        <v>4</v>
      </c>
      <c r="J339">
        <v>127.27</v>
      </c>
      <c r="K339">
        <v>10.5</v>
      </c>
      <c r="L339">
        <f>_xlfn.XLOOKUP(C339, dim_teams[team_name], dim_teams[team_id], "Not found", 0)</f>
        <v>18</v>
      </c>
    </row>
    <row r="340" spans="1:12" x14ac:dyDescent="0.3">
      <c r="A340" t="s">
        <v>120</v>
      </c>
      <c r="B340">
        <v>2025</v>
      </c>
      <c r="C340" t="s">
        <v>76</v>
      </c>
      <c r="D340">
        <v>57</v>
      </c>
      <c r="E340">
        <v>41</v>
      </c>
      <c r="F340">
        <v>6</v>
      </c>
      <c r="G340">
        <v>3</v>
      </c>
      <c r="H340">
        <v>4</v>
      </c>
      <c r="I340">
        <v>5</v>
      </c>
      <c r="J340">
        <v>139.02000000000001</v>
      </c>
      <c r="K340">
        <v>14.25</v>
      </c>
      <c r="L340">
        <f>_xlfn.XLOOKUP(C340, dim_teams[team_name], dim_teams[team_id], "Not found", 0)</f>
        <v>16</v>
      </c>
    </row>
    <row r="341" spans="1:12" x14ac:dyDescent="0.3">
      <c r="A341" t="s">
        <v>121</v>
      </c>
      <c r="B341">
        <v>2008</v>
      </c>
      <c r="C341" t="s">
        <v>21</v>
      </c>
      <c r="D341">
        <v>46</v>
      </c>
      <c r="E341">
        <v>31</v>
      </c>
      <c r="F341">
        <v>4</v>
      </c>
      <c r="G341">
        <v>3</v>
      </c>
      <c r="H341">
        <v>3</v>
      </c>
      <c r="I341">
        <v>7</v>
      </c>
      <c r="J341">
        <v>148.38999999999999</v>
      </c>
      <c r="K341">
        <v>15.33</v>
      </c>
      <c r="L341">
        <f>_xlfn.XLOOKUP(C341, dim_teams[team_name], dim_teams[team_id], "Not found", 0)</f>
        <v>2</v>
      </c>
    </row>
    <row r="342" spans="1:12" x14ac:dyDescent="0.3">
      <c r="A342" t="s">
        <v>121</v>
      </c>
      <c r="B342">
        <v>2009</v>
      </c>
      <c r="C342" t="s">
        <v>21</v>
      </c>
      <c r="D342">
        <v>17</v>
      </c>
      <c r="E342">
        <v>15</v>
      </c>
      <c r="F342">
        <v>1</v>
      </c>
      <c r="G342">
        <v>1</v>
      </c>
      <c r="H342">
        <v>3</v>
      </c>
      <c r="I342">
        <v>3</v>
      </c>
      <c r="J342">
        <v>113.33</v>
      </c>
      <c r="K342">
        <v>5.67</v>
      </c>
      <c r="L342">
        <f>_xlfn.XLOOKUP(C342, dim_teams[team_name], dim_teams[team_id], "Not found", 0)</f>
        <v>2</v>
      </c>
    </row>
    <row r="343" spans="1:12" x14ac:dyDescent="0.3">
      <c r="A343" t="s">
        <v>121</v>
      </c>
      <c r="B343">
        <v>2011</v>
      </c>
      <c r="C343" t="s">
        <v>122</v>
      </c>
      <c r="D343">
        <v>13</v>
      </c>
      <c r="E343">
        <v>9</v>
      </c>
      <c r="F343">
        <v>0</v>
      </c>
      <c r="G343">
        <v>1</v>
      </c>
      <c r="H343">
        <v>1</v>
      </c>
      <c r="I343">
        <v>1</v>
      </c>
      <c r="J343">
        <v>144.44</v>
      </c>
      <c r="K343">
        <v>13</v>
      </c>
      <c r="L343">
        <f>_xlfn.XLOOKUP(C343, dim_teams[team_name], dim_teams[team_id], "Not found", 0)</f>
        <v>9</v>
      </c>
    </row>
    <row r="344" spans="1:12" x14ac:dyDescent="0.3">
      <c r="A344" t="s">
        <v>123</v>
      </c>
      <c r="B344">
        <v>2008</v>
      </c>
      <c r="C344" t="s">
        <v>21</v>
      </c>
      <c r="D344">
        <v>20</v>
      </c>
      <c r="E344">
        <v>28</v>
      </c>
      <c r="F344">
        <v>3</v>
      </c>
      <c r="G344">
        <v>0</v>
      </c>
      <c r="H344">
        <v>3</v>
      </c>
      <c r="I344">
        <v>3</v>
      </c>
      <c r="J344">
        <v>71.430000000000007</v>
      </c>
      <c r="K344">
        <v>6.67</v>
      </c>
      <c r="L344">
        <f>_xlfn.XLOOKUP(C344, dim_teams[team_name], dim_teams[team_id], "Not found", 0)</f>
        <v>2</v>
      </c>
    </row>
    <row r="345" spans="1:12" x14ac:dyDescent="0.3">
      <c r="A345" t="s">
        <v>123</v>
      </c>
      <c r="B345">
        <v>2011</v>
      </c>
      <c r="C345" t="s">
        <v>12</v>
      </c>
      <c r="D345">
        <v>207</v>
      </c>
      <c r="E345">
        <v>170</v>
      </c>
      <c r="F345">
        <v>21</v>
      </c>
      <c r="G345">
        <v>4</v>
      </c>
      <c r="H345">
        <v>9</v>
      </c>
      <c r="I345">
        <v>13</v>
      </c>
      <c r="J345">
        <v>121.76</v>
      </c>
      <c r="K345">
        <v>23</v>
      </c>
      <c r="L345">
        <f>_xlfn.XLOOKUP(C345, dim_teams[team_name], dim_teams[team_id], "Not found", 0)</f>
        <v>8</v>
      </c>
    </row>
    <row r="346" spans="1:12" x14ac:dyDescent="0.3">
      <c r="A346" t="s">
        <v>123</v>
      </c>
      <c r="B346">
        <v>2012</v>
      </c>
      <c r="C346" t="s">
        <v>12</v>
      </c>
      <c r="D346">
        <v>37</v>
      </c>
      <c r="E346">
        <v>35</v>
      </c>
      <c r="F346">
        <v>3</v>
      </c>
      <c r="G346">
        <v>2</v>
      </c>
      <c r="H346">
        <v>3</v>
      </c>
      <c r="I346">
        <v>4</v>
      </c>
      <c r="J346">
        <v>105.71</v>
      </c>
      <c r="K346">
        <v>12.33</v>
      </c>
      <c r="L346">
        <f>_xlfn.XLOOKUP(C346, dim_teams[team_name], dim_teams[team_id], "Not found", 0)</f>
        <v>8</v>
      </c>
    </row>
    <row r="347" spans="1:12" x14ac:dyDescent="0.3">
      <c r="A347" t="s">
        <v>123</v>
      </c>
      <c r="B347">
        <v>2013</v>
      </c>
      <c r="C347" t="s">
        <v>32</v>
      </c>
      <c r="D347">
        <v>16</v>
      </c>
      <c r="E347">
        <v>17</v>
      </c>
      <c r="F347">
        <v>1</v>
      </c>
      <c r="G347">
        <v>1</v>
      </c>
      <c r="H347">
        <v>1</v>
      </c>
      <c r="I347">
        <v>1</v>
      </c>
      <c r="J347">
        <v>94.12</v>
      </c>
      <c r="K347">
        <v>16</v>
      </c>
      <c r="L347">
        <f>_xlfn.XLOOKUP(C347, dim_teams[team_name], dim_teams[team_id], "Not found", 0)</f>
        <v>6</v>
      </c>
    </row>
    <row r="348" spans="1:12" x14ac:dyDescent="0.3">
      <c r="A348" t="s">
        <v>124</v>
      </c>
      <c r="B348">
        <v>2022</v>
      </c>
      <c r="C348" t="s">
        <v>19</v>
      </c>
      <c r="D348">
        <v>21</v>
      </c>
      <c r="E348">
        <v>30</v>
      </c>
      <c r="F348">
        <v>2</v>
      </c>
      <c r="G348">
        <v>0</v>
      </c>
      <c r="H348">
        <v>3</v>
      </c>
      <c r="I348">
        <v>3</v>
      </c>
      <c r="J348">
        <v>70</v>
      </c>
      <c r="K348">
        <v>7</v>
      </c>
      <c r="L348">
        <f>_xlfn.XLOOKUP(C348, dim_teams[team_name], dim_teams[team_id], "Not found", 0)</f>
        <v>1</v>
      </c>
    </row>
    <row r="349" spans="1:12" x14ac:dyDescent="0.3">
      <c r="A349" t="s">
        <v>125</v>
      </c>
      <c r="B349">
        <v>2011</v>
      </c>
      <c r="C349" t="s">
        <v>37</v>
      </c>
      <c r="D349">
        <v>1</v>
      </c>
      <c r="E349">
        <v>1</v>
      </c>
      <c r="F349">
        <v>0</v>
      </c>
      <c r="G349">
        <v>0</v>
      </c>
      <c r="H349">
        <v>0</v>
      </c>
      <c r="I349">
        <v>1</v>
      </c>
      <c r="J349">
        <v>100</v>
      </c>
      <c r="L349">
        <f>_xlfn.XLOOKUP(C349, dim_teams[team_name], dim_teams[team_id], "Not found", 0)</f>
        <v>10</v>
      </c>
    </row>
    <row r="350" spans="1:12" x14ac:dyDescent="0.3">
      <c r="A350" t="s">
        <v>125</v>
      </c>
      <c r="B350">
        <v>2012</v>
      </c>
      <c r="C350" t="s">
        <v>37</v>
      </c>
      <c r="D350">
        <v>40</v>
      </c>
      <c r="E350">
        <v>40</v>
      </c>
      <c r="F350">
        <v>4</v>
      </c>
      <c r="G350">
        <v>0</v>
      </c>
      <c r="H350">
        <v>3</v>
      </c>
      <c r="I350">
        <v>8</v>
      </c>
      <c r="J350">
        <v>100</v>
      </c>
      <c r="K350">
        <v>13.33</v>
      </c>
      <c r="L350">
        <f>_xlfn.XLOOKUP(C350, dim_teams[team_name], dim_teams[team_id], "Not found", 0)</f>
        <v>10</v>
      </c>
    </row>
    <row r="351" spans="1:12" x14ac:dyDescent="0.3">
      <c r="A351" t="s">
        <v>125</v>
      </c>
      <c r="B351">
        <v>2013</v>
      </c>
      <c r="C351" t="s">
        <v>37</v>
      </c>
      <c r="D351">
        <v>52</v>
      </c>
      <c r="E351">
        <v>71</v>
      </c>
      <c r="F351">
        <v>3</v>
      </c>
      <c r="G351">
        <v>1</v>
      </c>
      <c r="H351">
        <v>7</v>
      </c>
      <c r="I351">
        <v>9</v>
      </c>
      <c r="J351">
        <v>73.239999999999995</v>
      </c>
      <c r="K351">
        <v>7.43</v>
      </c>
      <c r="L351">
        <f>_xlfn.XLOOKUP(C351, dim_teams[team_name], dim_teams[team_id], "Not found", 0)</f>
        <v>10</v>
      </c>
    </row>
    <row r="352" spans="1:12" x14ac:dyDescent="0.3">
      <c r="A352" t="s">
        <v>125</v>
      </c>
      <c r="B352">
        <v>2014</v>
      </c>
      <c r="C352" t="s">
        <v>13</v>
      </c>
      <c r="D352">
        <v>1</v>
      </c>
      <c r="E352">
        <v>4</v>
      </c>
      <c r="F352">
        <v>0</v>
      </c>
      <c r="G352">
        <v>0</v>
      </c>
      <c r="H352">
        <v>1</v>
      </c>
      <c r="I352">
        <v>2</v>
      </c>
      <c r="J352">
        <v>25</v>
      </c>
      <c r="K352">
        <v>1</v>
      </c>
      <c r="L352">
        <f>_xlfn.XLOOKUP(C352, dim_teams[team_name], dim_teams[team_id], "Not found", 0)</f>
        <v>11</v>
      </c>
    </row>
    <row r="353" spans="1:12" x14ac:dyDescent="0.3">
      <c r="A353" t="s">
        <v>125</v>
      </c>
      <c r="B353">
        <v>2015</v>
      </c>
      <c r="C353" t="s">
        <v>13</v>
      </c>
      <c r="D353">
        <v>17</v>
      </c>
      <c r="E353">
        <v>10</v>
      </c>
      <c r="F353">
        <v>2</v>
      </c>
      <c r="G353">
        <v>1</v>
      </c>
      <c r="H353">
        <v>1</v>
      </c>
      <c r="I353">
        <v>3</v>
      </c>
      <c r="J353">
        <v>170</v>
      </c>
      <c r="K353">
        <v>17</v>
      </c>
      <c r="L353">
        <f>_xlfn.XLOOKUP(C353, dim_teams[team_name], dim_teams[team_id], "Not found", 0)</f>
        <v>11</v>
      </c>
    </row>
    <row r="354" spans="1:12" x14ac:dyDescent="0.3">
      <c r="A354" t="s">
        <v>125</v>
      </c>
      <c r="B354">
        <v>2016</v>
      </c>
      <c r="C354" t="s">
        <v>13</v>
      </c>
      <c r="D354">
        <v>43</v>
      </c>
      <c r="E354">
        <v>27</v>
      </c>
      <c r="F354">
        <v>6</v>
      </c>
      <c r="G354">
        <v>1</v>
      </c>
      <c r="H354">
        <v>5</v>
      </c>
      <c r="I354">
        <v>8</v>
      </c>
      <c r="J354">
        <v>159.26</v>
      </c>
      <c r="K354">
        <v>8.6</v>
      </c>
      <c r="L354">
        <f>_xlfn.XLOOKUP(C354, dim_teams[team_name], dim_teams[team_id], "Not found", 0)</f>
        <v>11</v>
      </c>
    </row>
    <row r="355" spans="1:12" x14ac:dyDescent="0.3">
      <c r="A355" t="s">
        <v>125</v>
      </c>
      <c r="B355">
        <v>2017</v>
      </c>
      <c r="C355" t="s">
        <v>13</v>
      </c>
      <c r="D355">
        <v>4</v>
      </c>
      <c r="E355">
        <v>4</v>
      </c>
      <c r="F355">
        <v>0</v>
      </c>
      <c r="G355">
        <v>0</v>
      </c>
      <c r="H355">
        <v>1</v>
      </c>
      <c r="I355">
        <v>2</v>
      </c>
      <c r="J355">
        <v>100</v>
      </c>
      <c r="K355">
        <v>4</v>
      </c>
      <c r="L355">
        <f>_xlfn.XLOOKUP(C355, dim_teams[team_name], dim_teams[team_id], "Not found", 0)</f>
        <v>11</v>
      </c>
    </row>
    <row r="356" spans="1:12" x14ac:dyDescent="0.3">
      <c r="A356" t="s">
        <v>125</v>
      </c>
      <c r="B356">
        <v>2018</v>
      </c>
      <c r="C356" t="s">
        <v>13</v>
      </c>
      <c r="D356">
        <v>13</v>
      </c>
      <c r="E356">
        <v>16</v>
      </c>
      <c r="F356">
        <v>1</v>
      </c>
      <c r="G356">
        <v>0</v>
      </c>
      <c r="H356">
        <v>2</v>
      </c>
      <c r="I356">
        <v>4</v>
      </c>
      <c r="J356">
        <v>81.25</v>
      </c>
      <c r="K356">
        <v>6.5</v>
      </c>
      <c r="L356">
        <f>_xlfn.XLOOKUP(C356, dim_teams[team_name], dim_teams[team_id], "Not found", 0)</f>
        <v>11</v>
      </c>
    </row>
    <row r="357" spans="1:12" x14ac:dyDescent="0.3">
      <c r="A357" t="s">
        <v>125</v>
      </c>
      <c r="B357">
        <v>2019</v>
      </c>
      <c r="C357" t="s">
        <v>13</v>
      </c>
      <c r="D357">
        <v>12</v>
      </c>
      <c r="E357">
        <v>19</v>
      </c>
      <c r="F357">
        <v>1</v>
      </c>
      <c r="G357">
        <v>0</v>
      </c>
      <c r="H357">
        <v>3</v>
      </c>
      <c r="I357">
        <v>4</v>
      </c>
      <c r="J357">
        <v>63.16</v>
      </c>
      <c r="K357">
        <v>4</v>
      </c>
      <c r="L357">
        <f>_xlfn.XLOOKUP(C357, dim_teams[team_name], dim_teams[team_id], "Not found", 0)</f>
        <v>11</v>
      </c>
    </row>
    <row r="358" spans="1:12" x14ac:dyDescent="0.3">
      <c r="A358" t="s">
        <v>125</v>
      </c>
      <c r="B358">
        <v>2020</v>
      </c>
      <c r="C358" t="s">
        <v>13</v>
      </c>
      <c r="D358">
        <v>0</v>
      </c>
      <c r="E358">
        <v>2</v>
      </c>
      <c r="F358">
        <v>0</v>
      </c>
      <c r="G358">
        <v>0</v>
      </c>
      <c r="H358">
        <v>1</v>
      </c>
      <c r="I358">
        <v>1</v>
      </c>
      <c r="J358">
        <v>0</v>
      </c>
      <c r="K358">
        <v>0</v>
      </c>
      <c r="L358">
        <f>_xlfn.XLOOKUP(C358, dim_teams[team_name], dim_teams[team_id], "Not found", 0)</f>
        <v>11</v>
      </c>
    </row>
    <row r="359" spans="1:12" x14ac:dyDescent="0.3">
      <c r="A359" t="s">
        <v>125</v>
      </c>
      <c r="B359">
        <v>2021</v>
      </c>
      <c r="C359" t="s">
        <v>13</v>
      </c>
      <c r="D359">
        <v>34</v>
      </c>
      <c r="E359">
        <v>30</v>
      </c>
      <c r="F359">
        <v>3</v>
      </c>
      <c r="G359">
        <v>0</v>
      </c>
      <c r="H359">
        <v>2</v>
      </c>
      <c r="I359">
        <v>7</v>
      </c>
      <c r="J359">
        <v>113.33</v>
      </c>
      <c r="K359">
        <v>17</v>
      </c>
      <c r="L359">
        <f>_xlfn.XLOOKUP(C359, dim_teams[team_name], dim_teams[team_id], "Not found", 0)</f>
        <v>11</v>
      </c>
    </row>
    <row r="360" spans="1:12" x14ac:dyDescent="0.3">
      <c r="A360" t="s">
        <v>125</v>
      </c>
      <c r="B360">
        <v>2022</v>
      </c>
      <c r="C360" t="s">
        <v>13</v>
      </c>
      <c r="D360">
        <v>24</v>
      </c>
      <c r="E360">
        <v>25</v>
      </c>
      <c r="F360">
        <v>3</v>
      </c>
      <c r="G360">
        <v>0</v>
      </c>
      <c r="H360">
        <v>2</v>
      </c>
      <c r="I360">
        <v>6</v>
      </c>
      <c r="J360">
        <v>96</v>
      </c>
      <c r="K360">
        <v>12</v>
      </c>
      <c r="L360">
        <f>_xlfn.XLOOKUP(C360, dim_teams[team_name], dim_teams[team_id], "Not found", 0)</f>
        <v>11</v>
      </c>
    </row>
    <row r="361" spans="1:12" x14ac:dyDescent="0.3">
      <c r="A361" t="s">
        <v>125</v>
      </c>
      <c r="B361">
        <v>2023</v>
      </c>
      <c r="C361" t="s">
        <v>13</v>
      </c>
      <c r="D361">
        <v>42</v>
      </c>
      <c r="E361">
        <v>47</v>
      </c>
      <c r="F361">
        <v>4</v>
      </c>
      <c r="G361">
        <v>0</v>
      </c>
      <c r="H361">
        <v>3</v>
      </c>
      <c r="I361">
        <v>5</v>
      </c>
      <c r="J361">
        <v>89.36</v>
      </c>
      <c r="K361">
        <v>14</v>
      </c>
      <c r="L361">
        <f>_xlfn.XLOOKUP(C361, dim_teams[team_name], dim_teams[team_id], "Not found", 0)</f>
        <v>11</v>
      </c>
    </row>
    <row r="362" spans="1:12" x14ac:dyDescent="0.3">
      <c r="A362" t="s">
        <v>125</v>
      </c>
      <c r="B362">
        <v>2024</v>
      </c>
      <c r="C362" t="s">
        <v>13</v>
      </c>
      <c r="D362">
        <v>23</v>
      </c>
      <c r="E362">
        <v>29</v>
      </c>
      <c r="F362">
        <v>3</v>
      </c>
      <c r="G362">
        <v>0</v>
      </c>
      <c r="H362">
        <v>3</v>
      </c>
      <c r="I362">
        <v>5</v>
      </c>
      <c r="J362">
        <v>79.31</v>
      </c>
      <c r="K362">
        <v>7.67</v>
      </c>
      <c r="L362">
        <f>_xlfn.XLOOKUP(C362, dim_teams[team_name], dim_teams[team_id], "Not found", 0)</f>
        <v>11</v>
      </c>
    </row>
    <row r="363" spans="1:12" x14ac:dyDescent="0.3">
      <c r="A363" t="s">
        <v>125</v>
      </c>
      <c r="B363">
        <v>2025</v>
      </c>
      <c r="C363" t="s">
        <v>102</v>
      </c>
      <c r="D363">
        <v>14</v>
      </c>
      <c r="E363">
        <v>25</v>
      </c>
      <c r="F363">
        <v>1</v>
      </c>
      <c r="G363">
        <v>0</v>
      </c>
      <c r="H363">
        <v>3</v>
      </c>
      <c r="I363">
        <v>6</v>
      </c>
      <c r="J363">
        <v>56</v>
      </c>
      <c r="K363">
        <v>4.67</v>
      </c>
      <c r="L363">
        <f>_xlfn.XLOOKUP(C363, dim_teams[team_name], dim_teams[team_id], "Not found", 0)</f>
        <v>19</v>
      </c>
    </row>
    <row r="364" spans="1:12" x14ac:dyDescent="0.3">
      <c r="A364" t="s">
        <v>126</v>
      </c>
      <c r="B364">
        <v>2013</v>
      </c>
      <c r="C364" t="s">
        <v>25</v>
      </c>
      <c r="D364">
        <v>4</v>
      </c>
      <c r="E364">
        <v>9</v>
      </c>
      <c r="F364">
        <v>0</v>
      </c>
      <c r="G364">
        <v>0</v>
      </c>
      <c r="H364">
        <v>1</v>
      </c>
      <c r="I364">
        <v>2</v>
      </c>
      <c r="J364">
        <v>44.44</v>
      </c>
      <c r="K364">
        <v>4</v>
      </c>
      <c r="L364">
        <f>_xlfn.XLOOKUP(C364, dim_teams[team_name], dim_teams[team_id], "Not found", 0)</f>
        <v>3</v>
      </c>
    </row>
    <row r="365" spans="1:12" x14ac:dyDescent="0.3">
      <c r="A365" t="s">
        <v>126</v>
      </c>
      <c r="B365">
        <v>2018</v>
      </c>
      <c r="C365" t="s">
        <v>17</v>
      </c>
      <c r="D365">
        <v>1</v>
      </c>
      <c r="E365">
        <v>4</v>
      </c>
      <c r="F365">
        <v>0</v>
      </c>
      <c r="G365">
        <v>0</v>
      </c>
      <c r="H365">
        <v>1</v>
      </c>
      <c r="I365">
        <v>2</v>
      </c>
      <c r="J365">
        <v>25</v>
      </c>
      <c r="K365">
        <v>1</v>
      </c>
      <c r="L365">
        <f>_xlfn.XLOOKUP(C365, dim_teams[team_name], dim_teams[team_id], "Not found", 0)</f>
        <v>5</v>
      </c>
    </row>
    <row r="366" spans="1:12" x14ac:dyDescent="0.3">
      <c r="A366" t="s">
        <v>127</v>
      </c>
      <c r="B366">
        <v>2008</v>
      </c>
      <c r="C366" t="s">
        <v>54</v>
      </c>
      <c r="D366">
        <v>17</v>
      </c>
      <c r="E366">
        <v>12</v>
      </c>
      <c r="F366">
        <v>2</v>
      </c>
      <c r="G366">
        <v>1</v>
      </c>
      <c r="H366">
        <v>2</v>
      </c>
      <c r="I366">
        <v>3</v>
      </c>
      <c r="J366">
        <v>141.66999999999999</v>
      </c>
      <c r="K366">
        <v>8.5</v>
      </c>
      <c r="L366">
        <f>_xlfn.XLOOKUP(C366, dim_teams[team_name], dim_teams[team_id], "Not found", 0)</f>
        <v>4</v>
      </c>
    </row>
    <row r="367" spans="1:12" x14ac:dyDescent="0.3">
      <c r="A367" t="s">
        <v>127</v>
      </c>
      <c r="B367">
        <v>2009</v>
      </c>
      <c r="C367" t="s">
        <v>54</v>
      </c>
      <c r="D367">
        <v>28</v>
      </c>
      <c r="E367">
        <v>34</v>
      </c>
      <c r="F367">
        <v>2</v>
      </c>
      <c r="G367">
        <v>1</v>
      </c>
      <c r="H367">
        <v>2</v>
      </c>
      <c r="I367">
        <v>4</v>
      </c>
      <c r="J367">
        <v>82.35</v>
      </c>
      <c r="K367">
        <v>14</v>
      </c>
      <c r="L367">
        <f>_xlfn.XLOOKUP(C367, dim_teams[team_name], dim_teams[team_id], "Not found", 0)</f>
        <v>4</v>
      </c>
    </row>
    <row r="368" spans="1:12" x14ac:dyDescent="0.3">
      <c r="A368" t="s">
        <v>127</v>
      </c>
      <c r="B368">
        <v>2010</v>
      </c>
      <c r="C368" t="s">
        <v>54</v>
      </c>
      <c r="D368">
        <v>11</v>
      </c>
      <c r="E368">
        <v>9</v>
      </c>
      <c r="F368">
        <v>1</v>
      </c>
      <c r="G368">
        <v>0</v>
      </c>
      <c r="H368">
        <v>1</v>
      </c>
      <c r="I368">
        <v>3</v>
      </c>
      <c r="J368">
        <v>122.22</v>
      </c>
      <c r="K368">
        <v>11</v>
      </c>
      <c r="L368">
        <f>_xlfn.XLOOKUP(C368, dim_teams[team_name], dim_teams[team_id], "Not found", 0)</f>
        <v>4</v>
      </c>
    </row>
    <row r="369" spans="1:12" x14ac:dyDescent="0.3">
      <c r="A369" t="s">
        <v>127</v>
      </c>
      <c r="B369">
        <v>2011</v>
      </c>
      <c r="C369" t="s">
        <v>19</v>
      </c>
      <c r="D369">
        <v>5</v>
      </c>
      <c r="E369">
        <v>9</v>
      </c>
      <c r="F369">
        <v>0</v>
      </c>
      <c r="G369">
        <v>0</v>
      </c>
      <c r="H369">
        <v>2</v>
      </c>
      <c r="I369">
        <v>4</v>
      </c>
      <c r="J369">
        <v>55.56</v>
      </c>
      <c r="K369">
        <v>2.5</v>
      </c>
      <c r="L369">
        <f>_xlfn.XLOOKUP(C369, dim_teams[team_name], dim_teams[team_id], "Not found", 0)</f>
        <v>1</v>
      </c>
    </row>
    <row r="370" spans="1:12" x14ac:dyDescent="0.3">
      <c r="A370" t="s">
        <v>127</v>
      </c>
      <c r="B370">
        <v>2012</v>
      </c>
      <c r="C370" t="s">
        <v>19</v>
      </c>
      <c r="D370">
        <v>42</v>
      </c>
      <c r="E370">
        <v>20</v>
      </c>
      <c r="F370">
        <v>2</v>
      </c>
      <c r="G370">
        <v>4</v>
      </c>
      <c r="H370">
        <v>2</v>
      </c>
      <c r="I370">
        <v>3</v>
      </c>
      <c r="J370">
        <v>210</v>
      </c>
      <c r="K370">
        <v>21</v>
      </c>
      <c r="L370">
        <f>_xlfn.XLOOKUP(C370, dim_teams[team_name], dim_teams[team_id], "Not found", 0)</f>
        <v>1</v>
      </c>
    </row>
    <row r="371" spans="1:12" x14ac:dyDescent="0.3">
      <c r="A371" t="s">
        <v>127</v>
      </c>
      <c r="B371">
        <v>2013</v>
      </c>
      <c r="C371" t="s">
        <v>19</v>
      </c>
      <c r="D371">
        <v>21</v>
      </c>
      <c r="E371">
        <v>12</v>
      </c>
      <c r="F371">
        <v>1</v>
      </c>
      <c r="G371">
        <v>2</v>
      </c>
      <c r="H371">
        <v>1</v>
      </c>
      <c r="I371">
        <v>2</v>
      </c>
      <c r="J371">
        <v>175</v>
      </c>
      <c r="K371">
        <v>21</v>
      </c>
      <c r="L371">
        <f>_xlfn.XLOOKUP(C371, dim_teams[team_name], dim_teams[team_id], "Not found", 0)</f>
        <v>1</v>
      </c>
    </row>
    <row r="372" spans="1:12" x14ac:dyDescent="0.3">
      <c r="A372" t="s">
        <v>128</v>
      </c>
      <c r="B372">
        <v>2022</v>
      </c>
      <c r="C372" t="s">
        <v>29</v>
      </c>
      <c r="D372">
        <v>145</v>
      </c>
      <c r="E372">
        <v>113</v>
      </c>
      <c r="F372">
        <v>14</v>
      </c>
      <c r="G372">
        <v>3</v>
      </c>
      <c r="H372">
        <v>4</v>
      </c>
      <c r="I372">
        <v>5</v>
      </c>
      <c r="J372">
        <v>128.32</v>
      </c>
      <c r="K372">
        <v>36.25</v>
      </c>
      <c r="L372">
        <f>_xlfn.XLOOKUP(C372, dim_teams[team_name], dim_teams[team_id], "Not found", 0)</f>
        <v>18</v>
      </c>
    </row>
    <row r="373" spans="1:12" x14ac:dyDescent="0.3">
      <c r="A373" t="s">
        <v>128</v>
      </c>
      <c r="B373">
        <v>2023</v>
      </c>
      <c r="C373" t="s">
        <v>29</v>
      </c>
      <c r="D373">
        <v>362</v>
      </c>
      <c r="E373">
        <v>253</v>
      </c>
      <c r="F373">
        <v>33</v>
      </c>
      <c r="G373">
        <v>12</v>
      </c>
      <c r="H373">
        <v>6</v>
      </c>
      <c r="I373">
        <v>8</v>
      </c>
      <c r="J373">
        <v>143.08000000000001</v>
      </c>
      <c r="K373">
        <v>60.33</v>
      </c>
      <c r="L373">
        <f>_xlfn.XLOOKUP(C373, dim_teams[team_name], dim_teams[team_id], "Not found", 0)</f>
        <v>18</v>
      </c>
    </row>
    <row r="374" spans="1:12" x14ac:dyDescent="0.3">
      <c r="A374" t="s">
        <v>128</v>
      </c>
      <c r="B374">
        <v>2024</v>
      </c>
      <c r="C374" t="s">
        <v>29</v>
      </c>
      <c r="D374">
        <v>527</v>
      </c>
      <c r="E374">
        <v>368</v>
      </c>
      <c r="F374">
        <v>48</v>
      </c>
      <c r="G374">
        <v>17</v>
      </c>
      <c r="H374">
        <v>11</v>
      </c>
      <c r="I374">
        <v>12</v>
      </c>
      <c r="J374">
        <v>143.21</v>
      </c>
      <c r="K374">
        <v>47.91</v>
      </c>
      <c r="L374">
        <f>_xlfn.XLOOKUP(C374, dim_teams[team_name], dim_teams[team_id], "Not found", 0)</f>
        <v>18</v>
      </c>
    </row>
    <row r="375" spans="1:12" x14ac:dyDescent="0.3">
      <c r="A375" t="s">
        <v>128</v>
      </c>
      <c r="B375">
        <v>2025</v>
      </c>
      <c r="C375" t="s">
        <v>29</v>
      </c>
      <c r="D375">
        <v>759</v>
      </c>
      <c r="E375">
        <v>486</v>
      </c>
      <c r="F375">
        <v>88</v>
      </c>
      <c r="G375">
        <v>21</v>
      </c>
      <c r="H375">
        <v>14</v>
      </c>
      <c r="I375">
        <v>15</v>
      </c>
      <c r="J375">
        <v>156.16999999999999</v>
      </c>
      <c r="K375">
        <v>54.21</v>
      </c>
      <c r="L375">
        <f>_xlfn.XLOOKUP(C375, dim_teams[team_name], dim_teams[team_id], "Not found", 0)</f>
        <v>18</v>
      </c>
    </row>
    <row r="376" spans="1:12" x14ac:dyDescent="0.3">
      <c r="A376" t="s">
        <v>129</v>
      </c>
      <c r="B376">
        <v>2018</v>
      </c>
      <c r="C376" t="s">
        <v>13</v>
      </c>
      <c r="D376">
        <v>5</v>
      </c>
      <c r="E376">
        <v>2</v>
      </c>
      <c r="F376">
        <v>1</v>
      </c>
      <c r="G376">
        <v>0</v>
      </c>
      <c r="H376">
        <v>0</v>
      </c>
      <c r="I376">
        <v>1</v>
      </c>
      <c r="J376">
        <v>250</v>
      </c>
      <c r="L376">
        <f>_xlfn.XLOOKUP(C376, dim_teams[team_name], dim_teams[team_id], "Not found", 0)</f>
        <v>11</v>
      </c>
    </row>
    <row r="377" spans="1:12" x14ac:dyDescent="0.3">
      <c r="A377" t="s">
        <v>130</v>
      </c>
      <c r="B377">
        <v>2010</v>
      </c>
      <c r="C377" t="s">
        <v>12</v>
      </c>
      <c r="D377">
        <v>35</v>
      </c>
      <c r="E377">
        <v>37</v>
      </c>
      <c r="F377">
        <v>3</v>
      </c>
      <c r="G377">
        <v>0</v>
      </c>
      <c r="H377">
        <v>1</v>
      </c>
      <c r="I377">
        <v>4</v>
      </c>
      <c r="J377">
        <v>94.59</v>
      </c>
      <c r="K377">
        <v>35</v>
      </c>
      <c r="L377">
        <f>_xlfn.XLOOKUP(C377, dim_teams[team_name], dim_teams[team_id], "Not found", 0)</f>
        <v>8</v>
      </c>
    </row>
    <row r="378" spans="1:12" x14ac:dyDescent="0.3">
      <c r="A378" t="s">
        <v>131</v>
      </c>
      <c r="B378">
        <v>2011</v>
      </c>
      <c r="C378" t="s">
        <v>54</v>
      </c>
      <c r="D378">
        <v>0</v>
      </c>
      <c r="E378">
        <v>5</v>
      </c>
      <c r="F378">
        <v>0</v>
      </c>
      <c r="G378">
        <v>0</v>
      </c>
      <c r="H378">
        <v>0</v>
      </c>
      <c r="I378">
        <v>1</v>
      </c>
      <c r="J378">
        <v>0</v>
      </c>
      <c r="L378">
        <f>_xlfn.XLOOKUP(C378, dim_teams[team_name], dim_teams[team_id], "Not found", 0)</f>
        <v>4</v>
      </c>
    </row>
    <row r="379" spans="1:12" x14ac:dyDescent="0.3">
      <c r="A379" t="s">
        <v>131</v>
      </c>
      <c r="B379">
        <v>2012</v>
      </c>
      <c r="C379" t="s">
        <v>54</v>
      </c>
      <c r="D379">
        <v>6</v>
      </c>
      <c r="E379">
        <v>2</v>
      </c>
      <c r="F379">
        <v>0</v>
      </c>
      <c r="G379">
        <v>1</v>
      </c>
      <c r="H379">
        <v>0</v>
      </c>
      <c r="I379">
        <v>1</v>
      </c>
      <c r="J379">
        <v>300</v>
      </c>
      <c r="L379">
        <f>_xlfn.XLOOKUP(C379, dim_teams[team_name], dim_teams[team_id], "Not found", 0)</f>
        <v>4</v>
      </c>
    </row>
    <row r="380" spans="1:12" x14ac:dyDescent="0.3">
      <c r="A380" t="s">
        <v>132</v>
      </c>
      <c r="B380">
        <v>2017</v>
      </c>
      <c r="C380" t="s">
        <v>46</v>
      </c>
      <c r="D380">
        <v>316</v>
      </c>
      <c r="E380">
        <v>221</v>
      </c>
      <c r="F380">
        <v>22</v>
      </c>
      <c r="G380">
        <v>15</v>
      </c>
      <c r="H380">
        <v>11</v>
      </c>
      <c r="I380">
        <v>11</v>
      </c>
      <c r="J380">
        <v>142.99</v>
      </c>
      <c r="K380">
        <v>28.73</v>
      </c>
      <c r="L380">
        <f>_xlfn.XLOOKUP(C380, dim_teams[team_name], dim_teams[team_id], "Not found", 0)</f>
        <v>14</v>
      </c>
    </row>
    <row r="381" spans="1:12" x14ac:dyDescent="0.3">
      <c r="A381" t="s">
        <v>132</v>
      </c>
      <c r="B381">
        <v>2018</v>
      </c>
      <c r="C381" t="s">
        <v>17</v>
      </c>
      <c r="D381">
        <v>196</v>
      </c>
      <c r="E381">
        <v>160</v>
      </c>
      <c r="F381">
        <v>13</v>
      </c>
      <c r="G381">
        <v>6</v>
      </c>
      <c r="H381">
        <v>13</v>
      </c>
      <c r="I381">
        <v>12</v>
      </c>
      <c r="J381">
        <v>122.5</v>
      </c>
      <c r="K381">
        <v>15.08</v>
      </c>
      <c r="L381">
        <f>_xlfn.XLOOKUP(C381, dim_teams[team_name], dim_teams[team_id], "Not found", 0)</f>
        <v>5</v>
      </c>
    </row>
    <row r="382" spans="1:12" x14ac:dyDescent="0.3">
      <c r="A382" t="s">
        <v>132</v>
      </c>
      <c r="B382">
        <v>2019</v>
      </c>
      <c r="C382" t="s">
        <v>17</v>
      </c>
      <c r="D382">
        <v>123</v>
      </c>
      <c r="E382">
        <v>97</v>
      </c>
      <c r="F382">
        <v>8</v>
      </c>
      <c r="G382">
        <v>4</v>
      </c>
      <c r="H382">
        <v>6</v>
      </c>
      <c r="I382">
        <v>9</v>
      </c>
      <c r="J382">
        <v>126.8</v>
      </c>
      <c r="K382">
        <v>20.5</v>
      </c>
      <c r="L382">
        <f>_xlfn.XLOOKUP(C382, dim_teams[team_name], dim_teams[team_id], "Not found", 0)</f>
        <v>5</v>
      </c>
    </row>
    <row r="383" spans="1:12" x14ac:dyDescent="0.3">
      <c r="A383" t="s">
        <v>132</v>
      </c>
      <c r="B383">
        <v>2020</v>
      </c>
      <c r="C383" t="s">
        <v>17</v>
      </c>
      <c r="D383">
        <v>285</v>
      </c>
      <c r="E383">
        <v>200</v>
      </c>
      <c r="F383">
        <v>36</v>
      </c>
      <c r="G383">
        <v>7</v>
      </c>
      <c r="H383">
        <v>8</v>
      </c>
      <c r="I383">
        <v>8</v>
      </c>
      <c r="J383">
        <v>142.5</v>
      </c>
      <c r="K383">
        <v>35.619999999999997</v>
      </c>
      <c r="L383">
        <f>_xlfn.XLOOKUP(C383, dim_teams[team_name], dim_teams[team_id], "Not found", 0)</f>
        <v>5</v>
      </c>
    </row>
    <row r="384" spans="1:12" x14ac:dyDescent="0.3">
      <c r="A384" t="s">
        <v>132</v>
      </c>
      <c r="B384">
        <v>2021</v>
      </c>
      <c r="C384" t="s">
        <v>17</v>
      </c>
      <c r="D384">
        <v>0</v>
      </c>
      <c r="E384">
        <v>3</v>
      </c>
      <c r="F384">
        <v>0</v>
      </c>
      <c r="G384">
        <v>0</v>
      </c>
      <c r="H384">
        <v>1</v>
      </c>
      <c r="I384">
        <v>1</v>
      </c>
      <c r="J384">
        <v>0</v>
      </c>
      <c r="K384">
        <v>0</v>
      </c>
      <c r="L384">
        <f>_xlfn.XLOOKUP(C384, dim_teams[team_name], dim_teams[team_id], "Not found", 0)</f>
        <v>5</v>
      </c>
    </row>
    <row r="385" spans="1:12" x14ac:dyDescent="0.3">
      <c r="A385" t="s">
        <v>132</v>
      </c>
      <c r="B385">
        <v>2023</v>
      </c>
      <c r="C385" t="s">
        <v>25</v>
      </c>
      <c r="D385">
        <v>15</v>
      </c>
      <c r="E385">
        <v>14</v>
      </c>
      <c r="F385">
        <v>2</v>
      </c>
      <c r="G385">
        <v>0</v>
      </c>
      <c r="H385">
        <v>2</v>
      </c>
      <c r="I385">
        <v>2</v>
      </c>
      <c r="J385">
        <v>107.14</v>
      </c>
      <c r="K385">
        <v>7.5</v>
      </c>
      <c r="L385">
        <f>_xlfn.XLOOKUP(C385, dim_teams[team_name], dim_teams[team_id], "Not found", 0)</f>
        <v>3</v>
      </c>
    </row>
    <row r="386" spans="1:12" x14ac:dyDescent="0.3">
      <c r="A386" t="s">
        <v>133</v>
      </c>
      <c r="B386">
        <v>2009</v>
      </c>
      <c r="C386" t="s">
        <v>19</v>
      </c>
      <c r="D386">
        <v>0</v>
      </c>
      <c r="E386">
        <v>1</v>
      </c>
      <c r="F386">
        <v>0</v>
      </c>
      <c r="G386">
        <v>0</v>
      </c>
      <c r="H386">
        <v>1</v>
      </c>
      <c r="I386">
        <v>1</v>
      </c>
      <c r="J386">
        <v>0</v>
      </c>
      <c r="K386">
        <v>0</v>
      </c>
      <c r="L386">
        <f>_xlfn.XLOOKUP(C386, dim_teams[team_name], dim_teams[team_id], "Not found", 0)</f>
        <v>1</v>
      </c>
    </row>
    <row r="387" spans="1:12" x14ac:dyDescent="0.3">
      <c r="A387" t="s">
        <v>133</v>
      </c>
      <c r="B387">
        <v>2010</v>
      </c>
      <c r="C387" t="s">
        <v>19</v>
      </c>
      <c r="D387">
        <v>1</v>
      </c>
      <c r="E387">
        <v>1</v>
      </c>
      <c r="F387">
        <v>0</v>
      </c>
      <c r="G387">
        <v>0</v>
      </c>
      <c r="H387">
        <v>0</v>
      </c>
      <c r="I387">
        <v>1</v>
      </c>
      <c r="J387">
        <v>100</v>
      </c>
      <c r="L387">
        <f>_xlfn.XLOOKUP(C387, dim_teams[team_name], dim_teams[team_id], "Not found", 0)</f>
        <v>1</v>
      </c>
    </row>
    <row r="388" spans="1:12" x14ac:dyDescent="0.3">
      <c r="A388" t="s">
        <v>133</v>
      </c>
      <c r="B388">
        <v>2013</v>
      </c>
      <c r="C388" t="s">
        <v>37</v>
      </c>
      <c r="D388">
        <v>2</v>
      </c>
      <c r="E388">
        <v>4</v>
      </c>
      <c r="F388">
        <v>0</v>
      </c>
      <c r="G388">
        <v>0</v>
      </c>
      <c r="H388">
        <v>1</v>
      </c>
      <c r="I388">
        <v>1</v>
      </c>
      <c r="J388">
        <v>50</v>
      </c>
      <c r="K388">
        <v>2</v>
      </c>
      <c r="L388">
        <f>_xlfn.XLOOKUP(C388, dim_teams[team_name], dim_teams[team_id], "Not found", 0)</f>
        <v>10</v>
      </c>
    </row>
    <row r="389" spans="1:12" x14ac:dyDescent="0.3">
      <c r="A389" t="s">
        <v>134</v>
      </c>
      <c r="B389">
        <v>2008</v>
      </c>
      <c r="C389" t="s">
        <v>19</v>
      </c>
      <c r="D389">
        <v>188</v>
      </c>
      <c r="E389">
        <v>91</v>
      </c>
      <c r="F389">
        <v>13</v>
      </c>
      <c r="G389">
        <v>15</v>
      </c>
      <c r="H389">
        <v>3</v>
      </c>
      <c r="I389">
        <v>4</v>
      </c>
      <c r="J389">
        <v>206.59</v>
      </c>
      <c r="K389">
        <v>62.67</v>
      </c>
      <c r="L389">
        <f>_xlfn.XLOOKUP(C389, dim_teams[team_name], dim_teams[team_id], "Not found", 0)</f>
        <v>1</v>
      </c>
    </row>
    <row r="390" spans="1:12" x14ac:dyDescent="0.3">
      <c r="A390" t="s">
        <v>134</v>
      </c>
      <c r="B390">
        <v>2009</v>
      </c>
      <c r="C390" t="s">
        <v>19</v>
      </c>
      <c r="D390">
        <v>286</v>
      </c>
      <c r="E390">
        <v>236</v>
      </c>
      <c r="F390">
        <v>27</v>
      </c>
      <c r="G390">
        <v>12</v>
      </c>
      <c r="H390">
        <v>12</v>
      </c>
      <c r="I390">
        <v>13</v>
      </c>
      <c r="J390">
        <v>121.19</v>
      </c>
      <c r="K390">
        <v>23.83</v>
      </c>
      <c r="L390">
        <f>_xlfn.XLOOKUP(C390, dim_teams[team_name], dim_teams[team_id], "Not found", 0)</f>
        <v>1</v>
      </c>
    </row>
    <row r="391" spans="1:12" x14ac:dyDescent="0.3">
      <c r="A391" t="s">
        <v>134</v>
      </c>
      <c r="B391">
        <v>2010</v>
      </c>
      <c r="C391" t="s">
        <v>19</v>
      </c>
      <c r="D391">
        <v>114</v>
      </c>
      <c r="E391">
        <v>109</v>
      </c>
      <c r="F391">
        <v>14</v>
      </c>
      <c r="G391">
        <v>2</v>
      </c>
      <c r="H391">
        <v>3</v>
      </c>
      <c r="I391">
        <v>5</v>
      </c>
      <c r="J391">
        <v>104.59</v>
      </c>
      <c r="K391">
        <v>38</v>
      </c>
      <c r="L391">
        <f>_xlfn.XLOOKUP(C391, dim_teams[team_name], dim_teams[team_id], "Not found", 0)</f>
        <v>1</v>
      </c>
    </row>
    <row r="392" spans="1:12" x14ac:dyDescent="0.3">
      <c r="A392" t="s">
        <v>134</v>
      </c>
      <c r="B392">
        <v>2011</v>
      </c>
      <c r="C392" t="s">
        <v>122</v>
      </c>
      <c r="D392">
        <v>357</v>
      </c>
      <c r="E392">
        <v>272</v>
      </c>
      <c r="F392">
        <v>35</v>
      </c>
      <c r="G392">
        <v>16</v>
      </c>
      <c r="H392">
        <v>13</v>
      </c>
      <c r="I392">
        <v>13</v>
      </c>
      <c r="J392">
        <v>131.25</v>
      </c>
      <c r="K392">
        <v>27.46</v>
      </c>
      <c r="L392">
        <f>_xlfn.XLOOKUP(C392, dim_teams[team_name], dim_teams[team_id], "Not found", 0)</f>
        <v>9</v>
      </c>
    </row>
    <row r="393" spans="1:12" x14ac:dyDescent="0.3">
      <c r="A393" t="s">
        <v>134</v>
      </c>
      <c r="B393">
        <v>2012</v>
      </c>
      <c r="C393" t="s">
        <v>19</v>
      </c>
      <c r="D393">
        <v>289</v>
      </c>
      <c r="E393">
        <v>283</v>
      </c>
      <c r="F393">
        <v>37</v>
      </c>
      <c r="G393">
        <v>3</v>
      </c>
      <c r="H393">
        <v>13</v>
      </c>
      <c r="I393">
        <v>12</v>
      </c>
      <c r="J393">
        <v>102.12</v>
      </c>
      <c r="K393">
        <v>22.23</v>
      </c>
      <c r="L393">
        <f>_xlfn.XLOOKUP(C393, dim_teams[team_name], dim_teams[team_id], "Not found", 0)</f>
        <v>1</v>
      </c>
    </row>
    <row r="394" spans="1:12" x14ac:dyDescent="0.3">
      <c r="A394" t="s">
        <v>134</v>
      </c>
      <c r="B394">
        <v>2013</v>
      </c>
      <c r="C394" t="s">
        <v>19</v>
      </c>
      <c r="D394">
        <v>6</v>
      </c>
      <c r="E394">
        <v>7</v>
      </c>
      <c r="F394">
        <v>1</v>
      </c>
      <c r="G394">
        <v>0</v>
      </c>
      <c r="H394">
        <v>1</v>
      </c>
      <c r="I394">
        <v>1</v>
      </c>
      <c r="J394">
        <v>85.71</v>
      </c>
      <c r="K394">
        <v>6</v>
      </c>
      <c r="L394">
        <f>_xlfn.XLOOKUP(C394, dim_teams[team_name], dim_teams[team_id], "Not found", 0)</f>
        <v>1</v>
      </c>
    </row>
    <row r="395" spans="1:12" x14ac:dyDescent="0.3">
      <c r="A395" t="s">
        <v>134</v>
      </c>
      <c r="B395">
        <v>2014</v>
      </c>
      <c r="C395" t="s">
        <v>25</v>
      </c>
      <c r="D395">
        <v>405</v>
      </c>
      <c r="E395">
        <v>333</v>
      </c>
      <c r="F395">
        <v>32</v>
      </c>
      <c r="G395">
        <v>19</v>
      </c>
      <c r="H395">
        <v>13</v>
      </c>
      <c r="I395">
        <v>14</v>
      </c>
      <c r="J395">
        <v>121.62</v>
      </c>
      <c r="K395">
        <v>31.15</v>
      </c>
      <c r="L395">
        <f>_xlfn.XLOOKUP(C395, dim_teams[team_name], dim_teams[team_id], "Not found", 0)</f>
        <v>3</v>
      </c>
    </row>
    <row r="396" spans="1:12" x14ac:dyDescent="0.3">
      <c r="A396" t="s">
        <v>134</v>
      </c>
      <c r="B396">
        <v>2015</v>
      </c>
      <c r="C396" t="s">
        <v>25</v>
      </c>
      <c r="D396">
        <v>436</v>
      </c>
      <c r="E396">
        <v>276</v>
      </c>
      <c r="F396">
        <v>51</v>
      </c>
      <c r="G396">
        <v>23</v>
      </c>
      <c r="H396">
        <v>15</v>
      </c>
      <c r="I396">
        <v>14</v>
      </c>
      <c r="J396">
        <v>157.97</v>
      </c>
      <c r="K396">
        <v>29.07</v>
      </c>
      <c r="L396">
        <f>_xlfn.XLOOKUP(C396, dim_teams[team_name], dim_teams[team_id], "Not found", 0)</f>
        <v>3</v>
      </c>
    </row>
    <row r="397" spans="1:12" x14ac:dyDescent="0.3">
      <c r="A397" t="s">
        <v>134</v>
      </c>
      <c r="B397">
        <v>2016</v>
      </c>
      <c r="C397" t="s">
        <v>66</v>
      </c>
      <c r="D397">
        <v>354</v>
      </c>
      <c r="E397">
        <v>262</v>
      </c>
      <c r="F397">
        <v>38</v>
      </c>
      <c r="G397">
        <v>16</v>
      </c>
      <c r="H397">
        <v>16</v>
      </c>
      <c r="I397">
        <v>16</v>
      </c>
      <c r="J397">
        <v>135.11000000000001</v>
      </c>
      <c r="K397">
        <v>22.12</v>
      </c>
      <c r="L397">
        <f>_xlfn.XLOOKUP(C397, dim_teams[team_name], dim_teams[team_id], "Not found", 0)</f>
        <v>13</v>
      </c>
    </row>
    <row r="398" spans="1:12" x14ac:dyDescent="0.3">
      <c r="A398" t="s">
        <v>134</v>
      </c>
      <c r="B398">
        <v>2017</v>
      </c>
      <c r="C398" t="s">
        <v>66</v>
      </c>
      <c r="D398">
        <v>320</v>
      </c>
      <c r="E398">
        <v>220</v>
      </c>
      <c r="F398">
        <v>29</v>
      </c>
      <c r="G398">
        <v>18</v>
      </c>
      <c r="H398">
        <v>11</v>
      </c>
      <c r="I398">
        <v>11</v>
      </c>
      <c r="J398">
        <v>145.44999999999999</v>
      </c>
      <c r="K398">
        <v>29.09</v>
      </c>
      <c r="L398">
        <f>_xlfn.XLOOKUP(C398, dim_teams[team_name], dim_teams[team_id], "Not found", 0)</f>
        <v>13</v>
      </c>
    </row>
    <row r="399" spans="1:12" x14ac:dyDescent="0.3">
      <c r="A399" t="s">
        <v>134</v>
      </c>
      <c r="B399">
        <v>2018</v>
      </c>
      <c r="C399" t="s">
        <v>21</v>
      </c>
      <c r="D399">
        <v>127</v>
      </c>
      <c r="E399">
        <v>87</v>
      </c>
      <c r="F399">
        <v>16</v>
      </c>
      <c r="G399">
        <v>6</v>
      </c>
      <c r="H399">
        <v>6</v>
      </c>
      <c r="I399">
        <v>6</v>
      </c>
      <c r="J399">
        <v>145.97999999999999</v>
      </c>
      <c r="K399">
        <v>21.17</v>
      </c>
      <c r="L399">
        <f>_xlfn.XLOOKUP(C399, dim_teams[team_name], dim_teams[team_id], "Not found", 0)</f>
        <v>2</v>
      </c>
    </row>
    <row r="400" spans="1:12" x14ac:dyDescent="0.3">
      <c r="A400" t="s">
        <v>135</v>
      </c>
      <c r="B400">
        <v>2012</v>
      </c>
      <c r="C400" t="s">
        <v>12</v>
      </c>
      <c r="D400">
        <v>2</v>
      </c>
      <c r="E400">
        <v>2</v>
      </c>
      <c r="F400">
        <v>0</v>
      </c>
      <c r="G400">
        <v>0</v>
      </c>
      <c r="H400">
        <v>0</v>
      </c>
      <c r="I400">
        <v>1</v>
      </c>
      <c r="J400">
        <v>100</v>
      </c>
      <c r="L400">
        <f>_xlfn.XLOOKUP(C400, dim_teams[team_name], dim_teams[team_id], "Not found", 0)</f>
        <v>8</v>
      </c>
    </row>
    <row r="401" spans="1:12" x14ac:dyDescent="0.3">
      <c r="A401" t="s">
        <v>135</v>
      </c>
      <c r="B401">
        <v>2013</v>
      </c>
      <c r="C401" t="s">
        <v>13</v>
      </c>
      <c r="D401">
        <v>123</v>
      </c>
      <c r="E401">
        <v>111</v>
      </c>
      <c r="F401">
        <v>13</v>
      </c>
      <c r="G401">
        <v>2</v>
      </c>
      <c r="H401">
        <v>5</v>
      </c>
      <c r="I401">
        <v>7</v>
      </c>
      <c r="J401">
        <v>110.81</v>
      </c>
      <c r="K401">
        <v>24.6</v>
      </c>
      <c r="L401">
        <f>_xlfn.XLOOKUP(C401, dim_teams[team_name], dim_teams[team_id], "Not found", 0)</f>
        <v>11</v>
      </c>
    </row>
    <row r="402" spans="1:12" x14ac:dyDescent="0.3">
      <c r="A402" t="s">
        <v>136</v>
      </c>
      <c r="B402">
        <v>2016</v>
      </c>
      <c r="C402" t="s">
        <v>13</v>
      </c>
      <c r="D402">
        <v>4</v>
      </c>
      <c r="E402">
        <v>3</v>
      </c>
      <c r="F402">
        <v>0</v>
      </c>
      <c r="G402">
        <v>0</v>
      </c>
      <c r="H402">
        <v>0</v>
      </c>
      <c r="I402">
        <v>3</v>
      </c>
      <c r="J402">
        <v>133.33000000000001</v>
      </c>
      <c r="L402">
        <f>_xlfn.XLOOKUP(C402, dim_teams[team_name], dim_teams[team_id], "Not found", 0)</f>
        <v>11</v>
      </c>
    </row>
    <row r="403" spans="1:12" x14ac:dyDescent="0.3">
      <c r="A403" t="s">
        <v>136</v>
      </c>
      <c r="B403">
        <v>2018</v>
      </c>
      <c r="C403" t="s">
        <v>54</v>
      </c>
      <c r="D403">
        <v>3</v>
      </c>
      <c r="E403">
        <v>7</v>
      </c>
      <c r="F403">
        <v>0</v>
      </c>
      <c r="G403">
        <v>0</v>
      </c>
      <c r="H403">
        <v>1</v>
      </c>
      <c r="I403">
        <v>3</v>
      </c>
      <c r="J403">
        <v>42.86</v>
      </c>
      <c r="K403">
        <v>3</v>
      </c>
      <c r="L403">
        <f>_xlfn.XLOOKUP(C403, dim_teams[team_name], dim_teams[team_id], "Not found", 0)</f>
        <v>4</v>
      </c>
    </row>
    <row r="404" spans="1:12" x14ac:dyDescent="0.3">
      <c r="A404" t="s">
        <v>136</v>
      </c>
      <c r="B404">
        <v>2019</v>
      </c>
      <c r="C404" t="s">
        <v>23</v>
      </c>
      <c r="D404">
        <v>3</v>
      </c>
      <c r="E404">
        <v>3</v>
      </c>
      <c r="F404">
        <v>0</v>
      </c>
      <c r="G404">
        <v>0</v>
      </c>
      <c r="H404">
        <v>0</v>
      </c>
      <c r="I404">
        <v>1</v>
      </c>
      <c r="J404">
        <v>100</v>
      </c>
      <c r="L404">
        <f>_xlfn.XLOOKUP(C404, dim_teams[team_name], dim_teams[team_id], "Not found", 0)</f>
        <v>7</v>
      </c>
    </row>
    <row r="405" spans="1:12" x14ac:dyDescent="0.3">
      <c r="A405" t="s">
        <v>137</v>
      </c>
      <c r="B405">
        <v>2014</v>
      </c>
      <c r="C405" t="s">
        <v>17</v>
      </c>
      <c r="D405">
        <v>8</v>
      </c>
      <c r="E405">
        <v>6</v>
      </c>
      <c r="F405">
        <v>0</v>
      </c>
      <c r="G405">
        <v>1</v>
      </c>
      <c r="H405">
        <v>0</v>
      </c>
      <c r="I405">
        <v>1</v>
      </c>
      <c r="J405">
        <v>133.33000000000001</v>
      </c>
      <c r="L405">
        <f>_xlfn.XLOOKUP(C405, dim_teams[team_name], dim_teams[team_id], "Not found", 0)</f>
        <v>5</v>
      </c>
    </row>
    <row r="406" spans="1:12" x14ac:dyDescent="0.3">
      <c r="A406" t="s">
        <v>137</v>
      </c>
      <c r="B406">
        <v>2016</v>
      </c>
      <c r="C406" t="s">
        <v>13</v>
      </c>
      <c r="D406">
        <v>65</v>
      </c>
      <c r="E406">
        <v>34</v>
      </c>
      <c r="F406">
        <v>4</v>
      </c>
      <c r="G406">
        <v>6</v>
      </c>
      <c r="H406">
        <v>3</v>
      </c>
      <c r="I406">
        <v>4</v>
      </c>
      <c r="J406">
        <v>191.18</v>
      </c>
      <c r="K406">
        <v>21.67</v>
      </c>
      <c r="L406">
        <f>_xlfn.XLOOKUP(C406, dim_teams[team_name], dim_teams[team_id], "Not found", 0)</f>
        <v>11</v>
      </c>
    </row>
    <row r="407" spans="1:12" x14ac:dyDescent="0.3">
      <c r="A407" t="s">
        <v>137</v>
      </c>
      <c r="B407">
        <v>2017</v>
      </c>
      <c r="C407" t="s">
        <v>13</v>
      </c>
      <c r="D407">
        <v>51</v>
      </c>
      <c r="E407">
        <v>26</v>
      </c>
      <c r="F407">
        <v>5</v>
      </c>
      <c r="G407">
        <v>3</v>
      </c>
      <c r="H407">
        <v>2</v>
      </c>
      <c r="I407">
        <v>3</v>
      </c>
      <c r="J407">
        <v>196.15</v>
      </c>
      <c r="K407">
        <v>25.5</v>
      </c>
      <c r="L407">
        <f>_xlfn.XLOOKUP(C407, dim_teams[team_name], dim_teams[team_id], "Not found", 0)</f>
        <v>11</v>
      </c>
    </row>
    <row r="408" spans="1:12" x14ac:dyDescent="0.3">
      <c r="A408" t="s">
        <v>137</v>
      </c>
      <c r="B408">
        <v>2018</v>
      </c>
      <c r="C408" t="s">
        <v>23</v>
      </c>
      <c r="D408">
        <v>96</v>
      </c>
      <c r="E408">
        <v>58</v>
      </c>
      <c r="F408">
        <v>5</v>
      </c>
      <c r="G408">
        <v>8</v>
      </c>
      <c r="H408">
        <v>4</v>
      </c>
      <c r="I408">
        <v>6</v>
      </c>
      <c r="J408">
        <v>165.52</v>
      </c>
      <c r="K408">
        <v>24</v>
      </c>
      <c r="L408">
        <f>_xlfn.XLOOKUP(C408, dim_teams[team_name], dim_teams[team_id], "Not found", 0)</f>
        <v>7</v>
      </c>
    </row>
    <row r="409" spans="1:12" x14ac:dyDescent="0.3">
      <c r="A409" t="s">
        <v>137</v>
      </c>
      <c r="B409">
        <v>2019</v>
      </c>
      <c r="C409" t="s">
        <v>23</v>
      </c>
      <c r="D409">
        <v>18</v>
      </c>
      <c r="E409">
        <v>17</v>
      </c>
      <c r="F409">
        <v>1</v>
      </c>
      <c r="G409">
        <v>1</v>
      </c>
      <c r="H409">
        <v>2</v>
      </c>
      <c r="I409">
        <v>3</v>
      </c>
      <c r="J409">
        <v>105.88</v>
      </c>
      <c r="K409">
        <v>9</v>
      </c>
      <c r="L409">
        <f>_xlfn.XLOOKUP(C409, dim_teams[team_name], dim_teams[team_id], "Not found", 0)</f>
        <v>7</v>
      </c>
    </row>
    <row r="410" spans="1:12" x14ac:dyDescent="0.3">
      <c r="A410" t="s">
        <v>138</v>
      </c>
      <c r="B410">
        <v>2014</v>
      </c>
      <c r="C410" t="s">
        <v>54</v>
      </c>
      <c r="D410">
        <v>0</v>
      </c>
      <c r="E410">
        <v>1</v>
      </c>
      <c r="F410">
        <v>0</v>
      </c>
      <c r="G410">
        <v>0</v>
      </c>
      <c r="H410">
        <v>1</v>
      </c>
      <c r="I410">
        <v>1</v>
      </c>
      <c r="J410">
        <v>0</v>
      </c>
      <c r="K410">
        <v>0</v>
      </c>
      <c r="L410">
        <f>_xlfn.XLOOKUP(C410, dim_teams[team_name], dim_teams[team_id], "Not found", 0)</f>
        <v>4</v>
      </c>
    </row>
    <row r="411" spans="1:12" x14ac:dyDescent="0.3">
      <c r="A411" t="s">
        <v>138</v>
      </c>
      <c r="B411">
        <v>2015</v>
      </c>
      <c r="C411" t="s">
        <v>54</v>
      </c>
      <c r="D411">
        <v>1</v>
      </c>
      <c r="E411">
        <v>2</v>
      </c>
      <c r="F411">
        <v>0</v>
      </c>
      <c r="G411">
        <v>0</v>
      </c>
      <c r="H411">
        <v>0</v>
      </c>
      <c r="I411">
        <v>1</v>
      </c>
      <c r="J411">
        <v>50</v>
      </c>
      <c r="L411">
        <f>_xlfn.XLOOKUP(C411, dim_teams[team_name], dim_teams[team_id], "Not found", 0)</f>
        <v>4</v>
      </c>
    </row>
    <row r="412" spans="1:12" x14ac:dyDescent="0.3">
      <c r="A412" t="s">
        <v>139</v>
      </c>
      <c r="B412">
        <v>2011</v>
      </c>
      <c r="C412" t="s">
        <v>19</v>
      </c>
      <c r="D412">
        <v>18</v>
      </c>
      <c r="E412">
        <v>11</v>
      </c>
      <c r="F412">
        <v>2</v>
      </c>
      <c r="G412">
        <v>1</v>
      </c>
      <c r="H412">
        <v>1</v>
      </c>
      <c r="I412">
        <v>1</v>
      </c>
      <c r="J412">
        <v>163.63999999999999</v>
      </c>
      <c r="K412">
        <v>18</v>
      </c>
      <c r="L412">
        <f>_xlfn.XLOOKUP(C412, dim_teams[team_name], dim_teams[team_id], "Not found", 0)</f>
        <v>1</v>
      </c>
    </row>
    <row r="413" spans="1:12" x14ac:dyDescent="0.3">
      <c r="A413" t="s">
        <v>140</v>
      </c>
      <c r="B413">
        <v>2008</v>
      </c>
      <c r="C413" t="s">
        <v>19</v>
      </c>
      <c r="D413">
        <v>12</v>
      </c>
      <c r="E413">
        <v>17</v>
      </c>
      <c r="F413">
        <v>2</v>
      </c>
      <c r="G413">
        <v>0</v>
      </c>
      <c r="H413">
        <v>2</v>
      </c>
      <c r="I413">
        <v>3</v>
      </c>
      <c r="J413">
        <v>70.59</v>
      </c>
      <c r="K413">
        <v>6</v>
      </c>
      <c r="L413">
        <f>_xlfn.XLOOKUP(C413, dim_teams[team_name], dim_teams[team_id], "Not found", 0)</f>
        <v>1</v>
      </c>
    </row>
    <row r="414" spans="1:12" x14ac:dyDescent="0.3">
      <c r="A414" t="s">
        <v>140</v>
      </c>
      <c r="B414">
        <v>2009</v>
      </c>
      <c r="C414" t="s">
        <v>19</v>
      </c>
      <c r="D414">
        <v>365</v>
      </c>
      <c r="E414">
        <v>309</v>
      </c>
      <c r="F414">
        <v>34</v>
      </c>
      <c r="G414">
        <v>9</v>
      </c>
      <c r="H414">
        <v>10</v>
      </c>
      <c r="I414">
        <v>12</v>
      </c>
      <c r="J414">
        <v>118.12</v>
      </c>
      <c r="K414">
        <v>36.5</v>
      </c>
      <c r="L414">
        <f>_xlfn.XLOOKUP(C414, dim_teams[team_name], dim_teams[team_id], "Not found", 0)</f>
        <v>1</v>
      </c>
    </row>
    <row r="415" spans="1:12" x14ac:dyDescent="0.3">
      <c r="A415" t="s">
        <v>140</v>
      </c>
      <c r="B415">
        <v>2010</v>
      </c>
      <c r="C415" t="s">
        <v>19</v>
      </c>
      <c r="D415">
        <v>99</v>
      </c>
      <c r="E415">
        <v>90</v>
      </c>
      <c r="F415">
        <v>11</v>
      </c>
      <c r="G415">
        <v>1</v>
      </c>
      <c r="H415">
        <v>4</v>
      </c>
      <c r="I415">
        <v>4</v>
      </c>
      <c r="J415">
        <v>110</v>
      </c>
      <c r="K415">
        <v>24.75</v>
      </c>
      <c r="L415">
        <f>_xlfn.XLOOKUP(C415, dim_teams[team_name], dim_teams[team_id], "Not found", 0)</f>
        <v>1</v>
      </c>
    </row>
    <row r="416" spans="1:12" x14ac:dyDescent="0.3">
      <c r="A416" t="s">
        <v>140</v>
      </c>
      <c r="B416">
        <v>2011</v>
      </c>
      <c r="C416" t="s">
        <v>122</v>
      </c>
      <c r="D416">
        <v>285</v>
      </c>
      <c r="E416">
        <v>234</v>
      </c>
      <c r="F416">
        <v>26</v>
      </c>
      <c r="G416">
        <v>9</v>
      </c>
      <c r="H416">
        <v>11</v>
      </c>
      <c r="I416">
        <v>14</v>
      </c>
      <c r="J416">
        <v>121.79</v>
      </c>
      <c r="K416">
        <v>25.91</v>
      </c>
      <c r="L416">
        <f>_xlfn.XLOOKUP(C416, dim_teams[team_name], dim_teams[team_id], "Not found", 0)</f>
        <v>9</v>
      </c>
    </row>
    <row r="417" spans="1:12" x14ac:dyDescent="0.3">
      <c r="A417" t="s">
        <v>140</v>
      </c>
      <c r="B417">
        <v>2012</v>
      </c>
      <c r="C417" t="s">
        <v>17</v>
      </c>
      <c r="D417">
        <v>245</v>
      </c>
      <c r="E417">
        <v>173</v>
      </c>
      <c r="F417">
        <v>18</v>
      </c>
      <c r="G417">
        <v>9</v>
      </c>
      <c r="H417">
        <v>8</v>
      </c>
      <c r="I417">
        <v>12</v>
      </c>
      <c r="J417">
        <v>141.62</v>
      </c>
      <c r="K417">
        <v>30.62</v>
      </c>
      <c r="L417">
        <f>_xlfn.XLOOKUP(C417, dim_teams[team_name], dim_teams[team_id], "Not found", 0)</f>
        <v>5</v>
      </c>
    </row>
    <row r="418" spans="1:12" x14ac:dyDescent="0.3">
      <c r="A418" t="s">
        <v>140</v>
      </c>
      <c r="B418">
        <v>2013</v>
      </c>
      <c r="C418" t="s">
        <v>17</v>
      </c>
      <c r="D418">
        <v>293</v>
      </c>
      <c r="E418">
        <v>217</v>
      </c>
      <c r="F418">
        <v>27</v>
      </c>
      <c r="G418">
        <v>9</v>
      </c>
      <c r="H418">
        <v>8</v>
      </c>
      <c r="I418">
        <v>14</v>
      </c>
      <c r="J418">
        <v>135.02000000000001</v>
      </c>
      <c r="K418">
        <v>36.619999999999997</v>
      </c>
      <c r="L418">
        <f>_xlfn.XLOOKUP(C418, dim_teams[team_name], dim_teams[team_id], "Not found", 0)</f>
        <v>5</v>
      </c>
    </row>
    <row r="419" spans="1:12" x14ac:dyDescent="0.3">
      <c r="A419" t="s">
        <v>140</v>
      </c>
      <c r="B419">
        <v>2014</v>
      </c>
      <c r="C419" t="s">
        <v>17</v>
      </c>
      <c r="D419">
        <v>101</v>
      </c>
      <c r="E419">
        <v>72</v>
      </c>
      <c r="F419">
        <v>4</v>
      </c>
      <c r="G419">
        <v>6</v>
      </c>
      <c r="H419">
        <v>3</v>
      </c>
      <c r="I419">
        <v>4</v>
      </c>
      <c r="J419">
        <v>140.28</v>
      </c>
      <c r="K419">
        <v>33.67</v>
      </c>
      <c r="L419">
        <f>_xlfn.XLOOKUP(C419, dim_teams[team_name], dim_teams[team_id], "Not found", 0)</f>
        <v>5</v>
      </c>
    </row>
    <row r="420" spans="1:12" x14ac:dyDescent="0.3">
      <c r="A420" t="s">
        <v>141</v>
      </c>
      <c r="B420">
        <v>2013</v>
      </c>
      <c r="C420" t="s">
        <v>32</v>
      </c>
      <c r="D420">
        <v>193</v>
      </c>
      <c r="E420">
        <v>141</v>
      </c>
      <c r="F420">
        <v>21</v>
      </c>
      <c r="G420">
        <v>5</v>
      </c>
      <c r="H420">
        <v>7</v>
      </c>
      <c r="I420">
        <v>8</v>
      </c>
      <c r="J420">
        <v>136.88</v>
      </c>
      <c r="K420">
        <v>27.57</v>
      </c>
      <c r="L420">
        <f>_xlfn.XLOOKUP(C420, dim_teams[team_name], dim_teams[team_id], "Not found", 0)</f>
        <v>6</v>
      </c>
    </row>
    <row r="421" spans="1:12" x14ac:dyDescent="0.3">
      <c r="A421" t="s">
        <v>142</v>
      </c>
      <c r="B421">
        <v>2025</v>
      </c>
      <c r="C421" t="s">
        <v>29</v>
      </c>
      <c r="D421">
        <v>20</v>
      </c>
      <c r="E421">
        <v>10</v>
      </c>
      <c r="F421">
        <v>1</v>
      </c>
      <c r="G421">
        <v>2</v>
      </c>
      <c r="H421">
        <v>1</v>
      </c>
      <c r="I421">
        <v>1</v>
      </c>
      <c r="J421">
        <v>200</v>
      </c>
      <c r="K421">
        <v>20</v>
      </c>
      <c r="L421">
        <f>_xlfn.XLOOKUP(C421, dim_teams[team_name], dim_teams[team_id], "Not found", 0)</f>
        <v>18</v>
      </c>
    </row>
    <row r="422" spans="1:12" x14ac:dyDescent="0.3">
      <c r="A422" t="s">
        <v>143</v>
      </c>
      <c r="B422">
        <v>2013</v>
      </c>
      <c r="C422" t="s">
        <v>32</v>
      </c>
      <c r="D422">
        <v>23</v>
      </c>
      <c r="E422">
        <v>27</v>
      </c>
      <c r="F422">
        <v>0</v>
      </c>
      <c r="G422">
        <v>0</v>
      </c>
      <c r="H422">
        <v>3</v>
      </c>
      <c r="I422">
        <v>3</v>
      </c>
      <c r="J422">
        <v>85.19</v>
      </c>
      <c r="K422">
        <v>7.67</v>
      </c>
      <c r="L422">
        <f>_xlfn.XLOOKUP(C422, dim_teams[team_name], dim_teams[team_id], "Not found", 0)</f>
        <v>6</v>
      </c>
    </row>
    <row r="423" spans="1:12" x14ac:dyDescent="0.3">
      <c r="A423" t="s">
        <v>144</v>
      </c>
      <c r="B423">
        <v>2014</v>
      </c>
      <c r="C423" t="s">
        <v>23</v>
      </c>
      <c r="D423">
        <v>40</v>
      </c>
      <c r="E423">
        <v>35</v>
      </c>
      <c r="F423">
        <v>7</v>
      </c>
      <c r="G423">
        <v>0</v>
      </c>
      <c r="H423">
        <v>3</v>
      </c>
      <c r="I423">
        <v>3</v>
      </c>
      <c r="J423">
        <v>114.29</v>
      </c>
      <c r="K423">
        <v>13.33</v>
      </c>
      <c r="L423">
        <f>_xlfn.XLOOKUP(C423, dim_teams[team_name], dim_teams[team_id], "Not found", 0)</f>
        <v>7</v>
      </c>
    </row>
    <row r="424" spans="1:12" x14ac:dyDescent="0.3">
      <c r="A424" t="s">
        <v>145</v>
      </c>
      <c r="B424">
        <v>2024</v>
      </c>
      <c r="C424" t="s">
        <v>29</v>
      </c>
      <c r="D424">
        <v>2</v>
      </c>
      <c r="E424">
        <v>5</v>
      </c>
      <c r="F424">
        <v>0</v>
      </c>
      <c r="G424">
        <v>0</v>
      </c>
      <c r="H424">
        <v>1</v>
      </c>
      <c r="I424">
        <v>1</v>
      </c>
      <c r="J424">
        <v>40</v>
      </c>
      <c r="K424">
        <v>2</v>
      </c>
      <c r="L424">
        <f>_xlfn.XLOOKUP(C424, dim_teams[team_name], dim_teams[team_id], "Not found", 0)</f>
        <v>18</v>
      </c>
    </row>
    <row r="425" spans="1:12" x14ac:dyDescent="0.3">
      <c r="A425" t="s">
        <v>146</v>
      </c>
      <c r="B425">
        <v>2017</v>
      </c>
      <c r="C425" t="s">
        <v>66</v>
      </c>
      <c r="D425">
        <v>28</v>
      </c>
      <c r="E425">
        <v>28</v>
      </c>
      <c r="F425">
        <v>1</v>
      </c>
      <c r="G425">
        <v>1</v>
      </c>
      <c r="H425">
        <v>1</v>
      </c>
      <c r="I425">
        <v>5</v>
      </c>
      <c r="J425">
        <v>100</v>
      </c>
      <c r="K425">
        <v>28</v>
      </c>
      <c r="L425">
        <f>_xlfn.XLOOKUP(C425, dim_teams[team_name], dim_teams[team_id], "Not found", 0)</f>
        <v>13</v>
      </c>
    </row>
    <row r="426" spans="1:12" x14ac:dyDescent="0.3">
      <c r="A426" t="s">
        <v>146</v>
      </c>
      <c r="B426">
        <v>2018</v>
      </c>
      <c r="C426" t="s">
        <v>13</v>
      </c>
      <c r="D426">
        <v>3</v>
      </c>
      <c r="E426">
        <v>6</v>
      </c>
      <c r="F426">
        <v>0</v>
      </c>
      <c r="G426">
        <v>0</v>
      </c>
      <c r="H426">
        <v>1</v>
      </c>
      <c r="I426">
        <v>1</v>
      </c>
      <c r="J426">
        <v>50</v>
      </c>
      <c r="K426">
        <v>3</v>
      </c>
      <c r="L426">
        <f>_xlfn.XLOOKUP(C426, dim_teams[team_name], dim_teams[team_id], "Not found", 0)</f>
        <v>11</v>
      </c>
    </row>
    <row r="427" spans="1:12" x14ac:dyDescent="0.3">
      <c r="A427" t="s">
        <v>146</v>
      </c>
      <c r="B427">
        <v>2019</v>
      </c>
      <c r="C427" t="s">
        <v>13</v>
      </c>
      <c r="D427">
        <v>1</v>
      </c>
      <c r="E427">
        <v>1</v>
      </c>
      <c r="F427">
        <v>0</v>
      </c>
      <c r="G427">
        <v>0</v>
      </c>
      <c r="H427">
        <v>0</v>
      </c>
      <c r="I427">
        <v>1</v>
      </c>
      <c r="J427">
        <v>100</v>
      </c>
      <c r="L427">
        <f>_xlfn.XLOOKUP(C427, dim_teams[team_name], dim_teams[team_id], "Not found", 0)</f>
        <v>11</v>
      </c>
    </row>
    <row r="428" spans="1:12" x14ac:dyDescent="0.3">
      <c r="A428" t="s">
        <v>147</v>
      </c>
      <c r="B428">
        <v>2010</v>
      </c>
      <c r="C428" t="s">
        <v>54</v>
      </c>
      <c r="D428">
        <v>9</v>
      </c>
      <c r="E428">
        <v>7</v>
      </c>
      <c r="F428">
        <v>1</v>
      </c>
      <c r="G428">
        <v>0</v>
      </c>
      <c r="H428">
        <v>0</v>
      </c>
      <c r="I428">
        <v>2</v>
      </c>
      <c r="J428">
        <v>128.57</v>
      </c>
      <c r="L428">
        <f>_xlfn.XLOOKUP(C428, dim_teams[team_name], dim_teams[team_id], "Not found", 0)</f>
        <v>4</v>
      </c>
    </row>
    <row r="429" spans="1:12" x14ac:dyDescent="0.3">
      <c r="A429" t="s">
        <v>147</v>
      </c>
      <c r="B429">
        <v>2011</v>
      </c>
      <c r="C429" t="s">
        <v>54</v>
      </c>
      <c r="D429">
        <v>23</v>
      </c>
      <c r="E429">
        <v>18</v>
      </c>
      <c r="F429">
        <v>1</v>
      </c>
      <c r="G429">
        <v>0</v>
      </c>
      <c r="H429">
        <v>1</v>
      </c>
      <c r="I429">
        <v>3</v>
      </c>
      <c r="J429">
        <v>127.78</v>
      </c>
      <c r="K429">
        <v>23</v>
      </c>
      <c r="L429">
        <f>_xlfn.XLOOKUP(C429, dim_teams[team_name], dim_teams[team_id], "Not found", 0)</f>
        <v>4</v>
      </c>
    </row>
    <row r="430" spans="1:12" x14ac:dyDescent="0.3">
      <c r="A430" t="s">
        <v>147</v>
      </c>
      <c r="B430">
        <v>2012</v>
      </c>
      <c r="C430" t="s">
        <v>54</v>
      </c>
      <c r="D430">
        <v>72</v>
      </c>
      <c r="E430">
        <v>47</v>
      </c>
      <c r="F430">
        <v>6</v>
      </c>
      <c r="G430">
        <v>3</v>
      </c>
      <c r="H430">
        <v>2</v>
      </c>
      <c r="I430">
        <v>4</v>
      </c>
      <c r="J430">
        <v>153.19</v>
      </c>
      <c r="K430">
        <v>36</v>
      </c>
      <c r="L430">
        <f>_xlfn.XLOOKUP(C430, dim_teams[team_name], dim_teams[team_id], "Not found", 0)</f>
        <v>4</v>
      </c>
    </row>
    <row r="431" spans="1:12" x14ac:dyDescent="0.3">
      <c r="A431" t="s">
        <v>147</v>
      </c>
      <c r="B431">
        <v>2015</v>
      </c>
      <c r="C431" t="s">
        <v>13</v>
      </c>
      <c r="D431">
        <v>1</v>
      </c>
      <c r="E431">
        <v>2</v>
      </c>
      <c r="F431">
        <v>0</v>
      </c>
      <c r="G431">
        <v>0</v>
      </c>
      <c r="H431">
        <v>1</v>
      </c>
      <c r="I431">
        <v>1</v>
      </c>
      <c r="J431">
        <v>50</v>
      </c>
      <c r="K431">
        <v>1</v>
      </c>
      <c r="L431">
        <f>_xlfn.XLOOKUP(C431, dim_teams[team_name], dim_teams[team_id], "Not found", 0)</f>
        <v>11</v>
      </c>
    </row>
    <row r="432" spans="1:12" x14ac:dyDescent="0.3">
      <c r="A432" t="s">
        <v>147</v>
      </c>
      <c r="B432">
        <v>2016</v>
      </c>
      <c r="C432" t="s">
        <v>13</v>
      </c>
      <c r="D432">
        <v>51</v>
      </c>
      <c r="E432">
        <v>25</v>
      </c>
      <c r="F432">
        <v>1</v>
      </c>
      <c r="G432">
        <v>5</v>
      </c>
      <c r="H432">
        <v>1</v>
      </c>
      <c r="I432">
        <v>4</v>
      </c>
      <c r="J432">
        <v>204</v>
      </c>
      <c r="K432">
        <v>51</v>
      </c>
      <c r="L432">
        <f>_xlfn.XLOOKUP(C432, dim_teams[team_name], dim_teams[team_id], "Not found", 0)</f>
        <v>11</v>
      </c>
    </row>
    <row r="433" spans="1:12" x14ac:dyDescent="0.3">
      <c r="A433" t="s">
        <v>147</v>
      </c>
      <c r="B433">
        <v>2017</v>
      </c>
      <c r="C433" t="s">
        <v>13</v>
      </c>
      <c r="D433">
        <v>31</v>
      </c>
      <c r="E433">
        <v>24</v>
      </c>
      <c r="F433">
        <v>2</v>
      </c>
      <c r="G433">
        <v>1</v>
      </c>
      <c r="H433">
        <v>1</v>
      </c>
      <c r="I433">
        <v>3</v>
      </c>
      <c r="J433">
        <v>129.16999999999999</v>
      </c>
      <c r="K433">
        <v>31</v>
      </c>
      <c r="L433">
        <f>_xlfn.XLOOKUP(C433, dim_teams[team_name], dim_teams[team_id], "Not found", 0)</f>
        <v>11</v>
      </c>
    </row>
    <row r="434" spans="1:12" x14ac:dyDescent="0.3">
      <c r="A434" t="s">
        <v>148</v>
      </c>
      <c r="B434">
        <v>2025</v>
      </c>
      <c r="C434" t="s">
        <v>23</v>
      </c>
      <c r="D434">
        <v>47</v>
      </c>
      <c r="E434">
        <v>32</v>
      </c>
      <c r="F434">
        <v>3</v>
      </c>
      <c r="G434">
        <v>3</v>
      </c>
      <c r="H434">
        <v>2</v>
      </c>
      <c r="I434">
        <v>2</v>
      </c>
      <c r="J434">
        <v>146.88</v>
      </c>
      <c r="K434">
        <v>23.5</v>
      </c>
      <c r="L434">
        <f>_xlfn.XLOOKUP(C434, dim_teams[team_name], dim_teams[team_id], "Not found", 0)</f>
        <v>7</v>
      </c>
    </row>
    <row r="435" spans="1:12" x14ac:dyDescent="0.3">
      <c r="A435" t="s">
        <v>149</v>
      </c>
      <c r="B435">
        <v>2023</v>
      </c>
      <c r="C435" t="s">
        <v>23</v>
      </c>
      <c r="D435">
        <v>452</v>
      </c>
      <c r="E435">
        <v>279</v>
      </c>
      <c r="F435">
        <v>40</v>
      </c>
      <c r="G435">
        <v>22</v>
      </c>
      <c r="H435">
        <v>10</v>
      </c>
      <c r="I435">
        <v>16</v>
      </c>
      <c r="J435">
        <v>162.01</v>
      </c>
      <c r="K435">
        <v>45.2</v>
      </c>
      <c r="L435">
        <f>_xlfn.XLOOKUP(C435, dim_teams[team_name], dim_teams[team_id], "Not found", 0)</f>
        <v>7</v>
      </c>
    </row>
    <row r="436" spans="1:12" x14ac:dyDescent="0.3">
      <c r="A436" t="s">
        <v>149</v>
      </c>
      <c r="B436">
        <v>2024</v>
      </c>
      <c r="C436" t="s">
        <v>102</v>
      </c>
      <c r="D436">
        <v>255</v>
      </c>
      <c r="E436">
        <v>178</v>
      </c>
      <c r="F436">
        <v>22</v>
      </c>
      <c r="G436">
        <v>10</v>
      </c>
      <c r="H436">
        <v>10</v>
      </c>
      <c r="I436">
        <v>12</v>
      </c>
      <c r="J436">
        <v>143.26</v>
      </c>
      <c r="K436">
        <v>25.5</v>
      </c>
      <c r="L436">
        <f>_xlfn.XLOOKUP(C436, dim_teams[team_name], dim_teams[team_id], "Not found", 0)</f>
        <v>19</v>
      </c>
    </row>
    <row r="437" spans="1:12" x14ac:dyDescent="0.3">
      <c r="A437" t="s">
        <v>150</v>
      </c>
      <c r="B437">
        <v>2010</v>
      </c>
      <c r="C437" t="s">
        <v>23</v>
      </c>
      <c r="D437">
        <v>15</v>
      </c>
      <c r="E437">
        <v>18</v>
      </c>
      <c r="F437">
        <v>3</v>
      </c>
      <c r="G437">
        <v>0</v>
      </c>
      <c r="H437">
        <v>1</v>
      </c>
      <c r="I437">
        <v>1</v>
      </c>
      <c r="J437">
        <v>83.33</v>
      </c>
      <c r="K437">
        <v>15</v>
      </c>
      <c r="L437">
        <f>_xlfn.XLOOKUP(C437, dim_teams[team_name], dim_teams[team_id], "Not found", 0)</f>
        <v>7</v>
      </c>
    </row>
    <row r="438" spans="1:12" x14ac:dyDescent="0.3">
      <c r="A438" t="s">
        <v>151</v>
      </c>
      <c r="B438">
        <v>2016</v>
      </c>
      <c r="C438" t="s">
        <v>19</v>
      </c>
      <c r="D438">
        <v>30</v>
      </c>
      <c r="E438">
        <v>30</v>
      </c>
      <c r="F438">
        <v>3</v>
      </c>
      <c r="G438">
        <v>0</v>
      </c>
      <c r="H438">
        <v>1</v>
      </c>
      <c r="I438">
        <v>3</v>
      </c>
      <c r="J438">
        <v>100</v>
      </c>
      <c r="K438">
        <v>30</v>
      </c>
      <c r="L438">
        <f>_xlfn.XLOOKUP(C438, dim_teams[team_name], dim_teams[team_id], "Not found", 0)</f>
        <v>1</v>
      </c>
    </row>
    <row r="439" spans="1:12" x14ac:dyDescent="0.3">
      <c r="A439" t="s">
        <v>151</v>
      </c>
      <c r="B439">
        <v>2018</v>
      </c>
      <c r="C439" t="s">
        <v>32</v>
      </c>
      <c r="D439">
        <v>63</v>
      </c>
      <c r="E439">
        <v>41</v>
      </c>
      <c r="F439">
        <v>7</v>
      </c>
      <c r="G439">
        <v>4</v>
      </c>
      <c r="H439">
        <v>4</v>
      </c>
      <c r="I439">
        <v>4</v>
      </c>
      <c r="J439">
        <v>153.66</v>
      </c>
      <c r="K439">
        <v>15.75</v>
      </c>
      <c r="L439">
        <f>_xlfn.XLOOKUP(C439, dim_teams[team_name], dim_teams[team_id], "Not found", 0)</f>
        <v>6</v>
      </c>
    </row>
    <row r="440" spans="1:12" x14ac:dyDescent="0.3">
      <c r="A440" t="s">
        <v>151</v>
      </c>
      <c r="B440">
        <v>2019</v>
      </c>
      <c r="C440" t="s">
        <v>33</v>
      </c>
      <c r="D440">
        <v>84</v>
      </c>
      <c r="E440">
        <v>70</v>
      </c>
      <c r="F440">
        <v>9</v>
      </c>
      <c r="G440">
        <v>4</v>
      </c>
      <c r="H440">
        <v>4</v>
      </c>
      <c r="I440">
        <v>4</v>
      </c>
      <c r="J440">
        <v>120</v>
      </c>
      <c r="K440">
        <v>21</v>
      </c>
      <c r="L440">
        <f>_xlfn.XLOOKUP(C440, dim_teams[team_name], dim_teams[team_id], "Not found", 0)</f>
        <v>15</v>
      </c>
    </row>
    <row r="441" spans="1:12" x14ac:dyDescent="0.3">
      <c r="A441" t="s">
        <v>152</v>
      </c>
      <c r="B441">
        <v>2009</v>
      </c>
      <c r="C441" t="s">
        <v>23</v>
      </c>
      <c r="D441">
        <v>0</v>
      </c>
      <c r="E441">
        <v>1</v>
      </c>
      <c r="F441">
        <v>0</v>
      </c>
      <c r="G441">
        <v>0</v>
      </c>
      <c r="H441">
        <v>1</v>
      </c>
      <c r="I441">
        <v>1</v>
      </c>
      <c r="J441">
        <v>0</v>
      </c>
      <c r="K441">
        <v>0</v>
      </c>
      <c r="L441">
        <f>_xlfn.XLOOKUP(C441, dim_teams[team_name], dim_teams[team_id], "Not found", 0)</f>
        <v>7</v>
      </c>
    </row>
    <row r="442" spans="1:12" x14ac:dyDescent="0.3">
      <c r="A442" t="s">
        <v>153</v>
      </c>
      <c r="B442">
        <v>2021</v>
      </c>
      <c r="C442" t="s">
        <v>17</v>
      </c>
      <c r="D442">
        <v>16</v>
      </c>
      <c r="E442">
        <v>24</v>
      </c>
      <c r="F442">
        <v>2</v>
      </c>
      <c r="G442">
        <v>0</v>
      </c>
      <c r="H442">
        <v>4</v>
      </c>
      <c r="I442">
        <v>5</v>
      </c>
      <c r="J442">
        <v>66.67</v>
      </c>
      <c r="K442">
        <v>4</v>
      </c>
      <c r="L442">
        <f>_xlfn.XLOOKUP(C442, dim_teams[team_name], dim_teams[team_id], "Not found", 0)</f>
        <v>5</v>
      </c>
    </row>
    <row r="443" spans="1:12" x14ac:dyDescent="0.3">
      <c r="A443" t="s">
        <v>153</v>
      </c>
      <c r="B443">
        <v>2023</v>
      </c>
      <c r="C443" t="s">
        <v>33</v>
      </c>
      <c r="D443">
        <v>4</v>
      </c>
      <c r="E443">
        <v>6</v>
      </c>
      <c r="F443">
        <v>1</v>
      </c>
      <c r="G443">
        <v>0</v>
      </c>
      <c r="H443">
        <v>1</v>
      </c>
      <c r="I443">
        <v>2</v>
      </c>
      <c r="J443">
        <v>66.67</v>
      </c>
      <c r="K443">
        <v>4</v>
      </c>
      <c r="L443">
        <f>_xlfn.XLOOKUP(C443, dim_teams[team_name], dim_teams[team_id], "Not found", 0)</f>
        <v>15</v>
      </c>
    </row>
    <row r="444" spans="1:12" x14ac:dyDescent="0.3">
      <c r="A444" t="s">
        <v>154</v>
      </c>
      <c r="B444">
        <v>2017</v>
      </c>
      <c r="C444" t="s">
        <v>19</v>
      </c>
      <c r="D444">
        <v>126</v>
      </c>
      <c r="E444">
        <v>92</v>
      </c>
      <c r="F444">
        <v>10</v>
      </c>
      <c r="G444">
        <v>6</v>
      </c>
      <c r="H444">
        <v>8</v>
      </c>
      <c r="I444">
        <v>9</v>
      </c>
      <c r="J444">
        <v>136.96</v>
      </c>
      <c r="K444">
        <v>15.75</v>
      </c>
      <c r="L444">
        <f>_xlfn.XLOOKUP(C444, dim_teams[team_name], dim_teams[team_id], "Not found", 0)</f>
        <v>1</v>
      </c>
    </row>
    <row r="445" spans="1:12" x14ac:dyDescent="0.3">
      <c r="A445" t="s">
        <v>154</v>
      </c>
      <c r="B445">
        <v>2018</v>
      </c>
      <c r="C445" t="s">
        <v>21</v>
      </c>
      <c r="D445">
        <v>131</v>
      </c>
      <c r="E445">
        <v>83</v>
      </c>
      <c r="F445">
        <v>4</v>
      </c>
      <c r="G445">
        <v>10</v>
      </c>
      <c r="H445">
        <v>4</v>
      </c>
      <c r="I445">
        <v>8</v>
      </c>
      <c r="J445">
        <v>157.83000000000001</v>
      </c>
      <c r="K445">
        <v>32.75</v>
      </c>
      <c r="L445">
        <f>_xlfn.XLOOKUP(C445, dim_teams[team_name], dim_teams[team_id], "Not found", 0)</f>
        <v>2</v>
      </c>
    </row>
    <row r="446" spans="1:12" x14ac:dyDescent="0.3">
      <c r="A446" t="s">
        <v>154</v>
      </c>
      <c r="B446">
        <v>2019</v>
      </c>
      <c r="C446" t="s">
        <v>21</v>
      </c>
      <c r="D446">
        <v>46</v>
      </c>
      <c r="E446">
        <v>49</v>
      </c>
      <c r="F446">
        <v>4</v>
      </c>
      <c r="G446">
        <v>2</v>
      </c>
      <c r="H446">
        <v>3</v>
      </c>
      <c r="I446">
        <v>4</v>
      </c>
      <c r="J446">
        <v>93.88</v>
      </c>
      <c r="K446">
        <v>15.33</v>
      </c>
      <c r="L446">
        <f>_xlfn.XLOOKUP(C446, dim_teams[team_name], dim_teams[team_id], "Not found", 0)</f>
        <v>2</v>
      </c>
    </row>
    <row r="447" spans="1:12" x14ac:dyDescent="0.3">
      <c r="A447" t="s">
        <v>155</v>
      </c>
      <c r="B447">
        <v>2011</v>
      </c>
      <c r="C447" t="s">
        <v>32</v>
      </c>
      <c r="D447">
        <v>21</v>
      </c>
      <c r="E447">
        <v>25</v>
      </c>
      <c r="F447">
        <v>2</v>
      </c>
      <c r="G447">
        <v>0</v>
      </c>
      <c r="H447">
        <v>2</v>
      </c>
      <c r="I447">
        <v>3</v>
      </c>
      <c r="J447">
        <v>84</v>
      </c>
      <c r="K447">
        <v>10.5</v>
      </c>
      <c r="L447">
        <f>_xlfn.XLOOKUP(C447, dim_teams[team_name], dim_teams[team_id], "Not found", 0)</f>
        <v>6</v>
      </c>
    </row>
    <row r="448" spans="1:12" x14ac:dyDescent="0.3">
      <c r="A448" t="s">
        <v>155</v>
      </c>
      <c r="B448">
        <v>2019</v>
      </c>
      <c r="C448" t="s">
        <v>33</v>
      </c>
      <c r="D448">
        <v>184</v>
      </c>
      <c r="E448">
        <v>154</v>
      </c>
      <c r="F448">
        <v>20</v>
      </c>
      <c r="G448">
        <v>5</v>
      </c>
      <c r="H448">
        <v>10</v>
      </c>
      <c r="I448">
        <v>12</v>
      </c>
      <c r="J448">
        <v>119.48</v>
      </c>
      <c r="K448">
        <v>18.399999999999999</v>
      </c>
      <c r="L448">
        <f>_xlfn.XLOOKUP(C448, dim_teams[team_name], dim_teams[team_id], "Not found", 0)</f>
        <v>15</v>
      </c>
    </row>
    <row r="449" spans="1:12" x14ac:dyDescent="0.3">
      <c r="A449" t="s">
        <v>156</v>
      </c>
      <c r="B449">
        <v>2012</v>
      </c>
      <c r="C449" t="s">
        <v>12</v>
      </c>
      <c r="D449">
        <v>6</v>
      </c>
      <c r="E449">
        <v>9</v>
      </c>
      <c r="F449">
        <v>1</v>
      </c>
      <c r="G449">
        <v>0</v>
      </c>
      <c r="H449">
        <v>1</v>
      </c>
      <c r="I449">
        <v>1</v>
      </c>
      <c r="J449">
        <v>66.67</v>
      </c>
      <c r="K449">
        <v>6</v>
      </c>
      <c r="L449">
        <f>_xlfn.XLOOKUP(C449, dim_teams[team_name], dim_teams[team_id], "Not found", 0)</f>
        <v>8</v>
      </c>
    </row>
    <row r="450" spans="1:12" x14ac:dyDescent="0.3">
      <c r="A450" t="s">
        <v>156</v>
      </c>
      <c r="B450">
        <v>2014</v>
      </c>
      <c r="C450" t="s">
        <v>19</v>
      </c>
      <c r="D450">
        <v>58</v>
      </c>
      <c r="E450">
        <v>49</v>
      </c>
      <c r="F450">
        <v>5</v>
      </c>
      <c r="G450">
        <v>3</v>
      </c>
      <c r="H450">
        <v>2</v>
      </c>
      <c r="I450">
        <v>2</v>
      </c>
      <c r="J450">
        <v>118.37</v>
      </c>
      <c r="K450">
        <v>29</v>
      </c>
      <c r="L450">
        <f>_xlfn.XLOOKUP(C450, dim_teams[team_name], dim_teams[team_id], "Not found", 0)</f>
        <v>1</v>
      </c>
    </row>
    <row r="451" spans="1:12" x14ac:dyDescent="0.3">
      <c r="A451" t="s">
        <v>156</v>
      </c>
      <c r="B451">
        <v>2016</v>
      </c>
      <c r="C451" t="s">
        <v>19</v>
      </c>
      <c r="D451">
        <v>25</v>
      </c>
      <c r="E451">
        <v>22</v>
      </c>
      <c r="F451">
        <v>0</v>
      </c>
      <c r="G451">
        <v>1</v>
      </c>
      <c r="H451">
        <v>1</v>
      </c>
      <c r="I451">
        <v>2</v>
      </c>
      <c r="J451">
        <v>113.64</v>
      </c>
      <c r="K451">
        <v>25</v>
      </c>
      <c r="L451">
        <f>_xlfn.XLOOKUP(C451, dim_teams[team_name], dim_teams[team_id], "Not found", 0)</f>
        <v>1</v>
      </c>
    </row>
    <row r="452" spans="1:12" x14ac:dyDescent="0.3">
      <c r="A452" t="s">
        <v>156</v>
      </c>
      <c r="B452">
        <v>2017</v>
      </c>
      <c r="C452" t="s">
        <v>19</v>
      </c>
      <c r="D452">
        <v>295</v>
      </c>
      <c r="E452">
        <v>161</v>
      </c>
      <c r="F452">
        <v>25</v>
      </c>
      <c r="G452">
        <v>19</v>
      </c>
      <c r="H452">
        <v>6</v>
      </c>
      <c r="I452">
        <v>7</v>
      </c>
      <c r="J452">
        <v>183.23</v>
      </c>
      <c r="K452">
        <v>49.17</v>
      </c>
      <c r="L452">
        <f>_xlfn.XLOOKUP(C452, dim_teams[team_name], dim_teams[team_id], "Not found", 0)</f>
        <v>1</v>
      </c>
    </row>
    <row r="453" spans="1:12" x14ac:dyDescent="0.3">
      <c r="A453" t="s">
        <v>156</v>
      </c>
      <c r="B453">
        <v>2018</v>
      </c>
      <c r="C453" t="s">
        <v>19</v>
      </c>
      <c r="D453">
        <v>491</v>
      </c>
      <c r="E453">
        <v>377</v>
      </c>
      <c r="F453">
        <v>56</v>
      </c>
      <c r="G453">
        <v>18</v>
      </c>
      <c r="H453">
        <v>14</v>
      </c>
      <c r="I453">
        <v>16</v>
      </c>
      <c r="J453">
        <v>130.24</v>
      </c>
      <c r="K453">
        <v>35.07</v>
      </c>
      <c r="L453">
        <f>_xlfn.XLOOKUP(C453, dim_teams[team_name], dim_teams[team_id], "Not found", 0)</f>
        <v>1</v>
      </c>
    </row>
    <row r="454" spans="1:12" x14ac:dyDescent="0.3">
      <c r="A454" t="s">
        <v>156</v>
      </c>
      <c r="B454">
        <v>2019</v>
      </c>
      <c r="C454" t="s">
        <v>19</v>
      </c>
      <c r="D454">
        <v>405</v>
      </c>
      <c r="E454">
        <v>288</v>
      </c>
      <c r="F454">
        <v>41</v>
      </c>
      <c r="G454">
        <v>22</v>
      </c>
      <c r="H454">
        <v>13</v>
      </c>
      <c r="I454">
        <v>13</v>
      </c>
      <c r="J454">
        <v>140.62</v>
      </c>
      <c r="K454">
        <v>31.15</v>
      </c>
      <c r="L454">
        <f>_xlfn.XLOOKUP(C454, dim_teams[team_name], dim_teams[team_id], "Not found", 0)</f>
        <v>1</v>
      </c>
    </row>
    <row r="455" spans="1:12" x14ac:dyDescent="0.3">
      <c r="A455" t="s">
        <v>156</v>
      </c>
      <c r="B455">
        <v>2021</v>
      </c>
      <c r="C455" t="s">
        <v>23</v>
      </c>
      <c r="D455">
        <v>49</v>
      </c>
      <c r="E455">
        <v>35</v>
      </c>
      <c r="F455">
        <v>4</v>
      </c>
      <c r="G455">
        <v>3</v>
      </c>
      <c r="H455">
        <v>2</v>
      </c>
      <c r="I455">
        <v>1</v>
      </c>
      <c r="J455">
        <v>140</v>
      </c>
      <c r="K455">
        <v>24.5</v>
      </c>
      <c r="L455">
        <f>_xlfn.XLOOKUP(C455, dim_teams[team_name], dim_teams[team_id], "Not found", 0)</f>
        <v>7</v>
      </c>
    </row>
    <row r="456" spans="1:12" x14ac:dyDescent="0.3">
      <c r="A456" t="s">
        <v>157</v>
      </c>
      <c r="B456">
        <v>2010</v>
      </c>
      <c r="C456" t="s">
        <v>19</v>
      </c>
      <c r="D456">
        <v>122</v>
      </c>
      <c r="E456">
        <v>115</v>
      </c>
      <c r="F456">
        <v>14</v>
      </c>
      <c r="G456">
        <v>3</v>
      </c>
      <c r="H456">
        <v>4</v>
      </c>
      <c r="I456">
        <v>6</v>
      </c>
      <c r="J456">
        <v>106.09</v>
      </c>
      <c r="K456">
        <v>30.5</v>
      </c>
      <c r="L456">
        <f>_xlfn.XLOOKUP(C456, dim_teams[team_name], dim_teams[team_id], "Not found", 0)</f>
        <v>1</v>
      </c>
    </row>
    <row r="457" spans="1:12" x14ac:dyDescent="0.3">
      <c r="A457" t="s">
        <v>157</v>
      </c>
      <c r="B457">
        <v>2011</v>
      </c>
      <c r="C457" t="s">
        <v>21</v>
      </c>
      <c r="D457">
        <v>34</v>
      </c>
      <c r="E457">
        <v>31</v>
      </c>
      <c r="F457">
        <v>4</v>
      </c>
      <c r="G457">
        <v>0</v>
      </c>
      <c r="H457">
        <v>3</v>
      </c>
      <c r="I457">
        <v>3</v>
      </c>
      <c r="J457">
        <v>109.68</v>
      </c>
      <c r="K457">
        <v>11.33</v>
      </c>
      <c r="L457">
        <f>_xlfn.XLOOKUP(C457, dim_teams[team_name], dim_teams[team_id], "Not found", 0)</f>
        <v>2</v>
      </c>
    </row>
    <row r="458" spans="1:12" x14ac:dyDescent="0.3">
      <c r="A458" t="s">
        <v>157</v>
      </c>
      <c r="B458">
        <v>2012</v>
      </c>
      <c r="C458" t="s">
        <v>21</v>
      </c>
      <c r="D458">
        <v>17</v>
      </c>
      <c r="E458">
        <v>22</v>
      </c>
      <c r="F458">
        <v>1</v>
      </c>
      <c r="G458">
        <v>1</v>
      </c>
      <c r="H458">
        <v>3</v>
      </c>
      <c r="I458">
        <v>3</v>
      </c>
      <c r="J458">
        <v>77.27</v>
      </c>
      <c r="K458">
        <v>5.67</v>
      </c>
      <c r="L458">
        <f>_xlfn.XLOOKUP(C458, dim_teams[team_name], dim_teams[team_id], "Not found", 0)</f>
        <v>2</v>
      </c>
    </row>
    <row r="459" spans="1:12" x14ac:dyDescent="0.3">
      <c r="A459" t="s">
        <v>157</v>
      </c>
      <c r="B459">
        <v>2013</v>
      </c>
      <c r="C459" t="s">
        <v>21</v>
      </c>
      <c r="D459">
        <v>92</v>
      </c>
      <c r="E459">
        <v>99</v>
      </c>
      <c r="F459">
        <v>14</v>
      </c>
      <c r="G459">
        <v>0</v>
      </c>
      <c r="H459">
        <v>4</v>
      </c>
      <c r="I459">
        <v>4</v>
      </c>
      <c r="J459">
        <v>92.93</v>
      </c>
      <c r="K459">
        <v>23</v>
      </c>
      <c r="L459">
        <f>_xlfn.XLOOKUP(C459, dim_teams[team_name], dim_teams[team_id], "Not found", 0)</f>
        <v>2</v>
      </c>
    </row>
    <row r="460" spans="1:12" x14ac:dyDescent="0.3">
      <c r="A460" t="s">
        <v>157</v>
      </c>
      <c r="B460">
        <v>2014</v>
      </c>
      <c r="C460" t="s">
        <v>54</v>
      </c>
      <c r="D460">
        <v>125</v>
      </c>
      <c r="E460">
        <v>123</v>
      </c>
      <c r="F460">
        <v>17</v>
      </c>
      <c r="G460">
        <v>0</v>
      </c>
      <c r="H460">
        <v>4</v>
      </c>
      <c r="I460">
        <v>6</v>
      </c>
      <c r="J460">
        <v>101.63</v>
      </c>
      <c r="K460">
        <v>31.25</v>
      </c>
      <c r="L460">
        <f>_xlfn.XLOOKUP(C460, dim_teams[team_name], dim_teams[team_id], "Not found", 0)</f>
        <v>4</v>
      </c>
    </row>
    <row r="461" spans="1:12" x14ac:dyDescent="0.3">
      <c r="A461" t="s">
        <v>158</v>
      </c>
      <c r="B461">
        <v>2009</v>
      </c>
      <c r="C461" t="s">
        <v>19</v>
      </c>
      <c r="D461">
        <v>184</v>
      </c>
      <c r="E461">
        <v>148</v>
      </c>
      <c r="F461">
        <v>18</v>
      </c>
      <c r="G461">
        <v>10</v>
      </c>
      <c r="H461">
        <v>7</v>
      </c>
      <c r="I461">
        <v>7</v>
      </c>
      <c r="J461">
        <v>124.32</v>
      </c>
      <c r="K461">
        <v>26.29</v>
      </c>
      <c r="L461">
        <f>_xlfn.XLOOKUP(C461, dim_teams[team_name], dim_teams[team_id], "Not found", 0)</f>
        <v>1</v>
      </c>
    </row>
    <row r="462" spans="1:12" x14ac:dyDescent="0.3">
      <c r="A462" t="s">
        <v>158</v>
      </c>
      <c r="B462">
        <v>2010</v>
      </c>
      <c r="C462" t="s">
        <v>19</v>
      </c>
      <c r="D462">
        <v>292</v>
      </c>
      <c r="E462">
        <v>183</v>
      </c>
      <c r="F462">
        <v>30</v>
      </c>
      <c r="G462">
        <v>16</v>
      </c>
      <c r="H462">
        <v>9</v>
      </c>
      <c r="I462">
        <v>9</v>
      </c>
      <c r="J462">
        <v>159.56</v>
      </c>
      <c r="K462">
        <v>32.44</v>
      </c>
      <c r="L462">
        <f>_xlfn.XLOOKUP(C462, dim_teams[team_name], dim_teams[team_id], "Not found", 0)</f>
        <v>1</v>
      </c>
    </row>
    <row r="463" spans="1:12" x14ac:dyDescent="0.3">
      <c r="A463" t="s">
        <v>158</v>
      </c>
      <c r="B463">
        <v>2011</v>
      </c>
      <c r="C463" t="s">
        <v>21</v>
      </c>
      <c r="D463">
        <v>608</v>
      </c>
      <c r="E463">
        <v>331</v>
      </c>
      <c r="F463">
        <v>57</v>
      </c>
      <c r="G463">
        <v>44</v>
      </c>
      <c r="H463">
        <v>9</v>
      </c>
      <c r="I463">
        <v>12</v>
      </c>
      <c r="J463">
        <v>183.69</v>
      </c>
      <c r="K463">
        <v>67.56</v>
      </c>
      <c r="L463">
        <f>_xlfn.XLOOKUP(C463, dim_teams[team_name], dim_teams[team_id], "Not found", 0)</f>
        <v>2</v>
      </c>
    </row>
    <row r="464" spans="1:12" x14ac:dyDescent="0.3">
      <c r="A464" t="s">
        <v>158</v>
      </c>
      <c r="B464">
        <v>2012</v>
      </c>
      <c r="C464" t="s">
        <v>21</v>
      </c>
      <c r="D464">
        <v>733</v>
      </c>
      <c r="E464">
        <v>451</v>
      </c>
      <c r="F464">
        <v>46</v>
      </c>
      <c r="G464">
        <v>59</v>
      </c>
      <c r="H464">
        <v>12</v>
      </c>
      <c r="I464">
        <v>14</v>
      </c>
      <c r="J464">
        <v>162.53</v>
      </c>
      <c r="K464">
        <v>61.08</v>
      </c>
      <c r="L464">
        <f>_xlfn.XLOOKUP(C464, dim_teams[team_name], dim_teams[team_id], "Not found", 0)</f>
        <v>2</v>
      </c>
    </row>
    <row r="465" spans="1:12" x14ac:dyDescent="0.3">
      <c r="A465" t="s">
        <v>158</v>
      </c>
      <c r="B465">
        <v>2013</v>
      </c>
      <c r="C465" t="s">
        <v>21</v>
      </c>
      <c r="D465">
        <v>720</v>
      </c>
      <c r="E465">
        <v>454</v>
      </c>
      <c r="F465">
        <v>57</v>
      </c>
      <c r="G465">
        <v>52</v>
      </c>
      <c r="H465">
        <v>12</v>
      </c>
      <c r="I465">
        <v>16</v>
      </c>
      <c r="J465">
        <v>158.59</v>
      </c>
      <c r="K465">
        <v>60</v>
      </c>
      <c r="L465">
        <f>_xlfn.XLOOKUP(C465, dim_teams[team_name], dim_teams[team_id], "Not found", 0)</f>
        <v>2</v>
      </c>
    </row>
    <row r="466" spans="1:12" x14ac:dyDescent="0.3">
      <c r="A466" t="s">
        <v>158</v>
      </c>
      <c r="B466">
        <v>2014</v>
      </c>
      <c r="C466" t="s">
        <v>21</v>
      </c>
      <c r="D466">
        <v>196</v>
      </c>
      <c r="E466">
        <v>184</v>
      </c>
      <c r="F466">
        <v>18</v>
      </c>
      <c r="G466">
        <v>12</v>
      </c>
      <c r="H466">
        <v>9</v>
      </c>
      <c r="I466">
        <v>9</v>
      </c>
      <c r="J466">
        <v>106.52</v>
      </c>
      <c r="K466">
        <v>21.78</v>
      </c>
      <c r="L466">
        <f>_xlfn.XLOOKUP(C466, dim_teams[team_name], dim_teams[team_id], "Not found", 0)</f>
        <v>2</v>
      </c>
    </row>
    <row r="467" spans="1:12" x14ac:dyDescent="0.3">
      <c r="A467" t="s">
        <v>158</v>
      </c>
      <c r="B467">
        <v>2015</v>
      </c>
      <c r="C467" t="s">
        <v>21</v>
      </c>
      <c r="D467">
        <v>491</v>
      </c>
      <c r="E467">
        <v>331</v>
      </c>
      <c r="F467">
        <v>39</v>
      </c>
      <c r="G467">
        <v>38</v>
      </c>
      <c r="H467">
        <v>13</v>
      </c>
      <c r="I467">
        <v>14</v>
      </c>
      <c r="J467">
        <v>148.34</v>
      </c>
      <c r="K467">
        <v>37.770000000000003</v>
      </c>
      <c r="L467">
        <f>_xlfn.XLOOKUP(C467, dim_teams[team_name], dim_teams[team_id], "Not found", 0)</f>
        <v>2</v>
      </c>
    </row>
    <row r="468" spans="1:12" x14ac:dyDescent="0.3">
      <c r="A468" t="s">
        <v>158</v>
      </c>
      <c r="B468">
        <v>2016</v>
      </c>
      <c r="C468" t="s">
        <v>21</v>
      </c>
      <c r="D468">
        <v>227</v>
      </c>
      <c r="E468">
        <v>150</v>
      </c>
      <c r="F468">
        <v>17</v>
      </c>
      <c r="G468">
        <v>21</v>
      </c>
      <c r="H468">
        <v>10</v>
      </c>
      <c r="I468">
        <v>10</v>
      </c>
      <c r="J468">
        <v>151.33000000000001</v>
      </c>
      <c r="K468">
        <v>22.7</v>
      </c>
      <c r="L468">
        <f>_xlfn.XLOOKUP(C468, dim_teams[team_name], dim_teams[team_id], "Not found", 0)</f>
        <v>2</v>
      </c>
    </row>
    <row r="469" spans="1:12" x14ac:dyDescent="0.3">
      <c r="A469" t="s">
        <v>158</v>
      </c>
      <c r="B469">
        <v>2017</v>
      </c>
      <c r="C469" t="s">
        <v>21</v>
      </c>
      <c r="D469">
        <v>200</v>
      </c>
      <c r="E469">
        <v>162</v>
      </c>
      <c r="F469">
        <v>15</v>
      </c>
      <c r="G469">
        <v>14</v>
      </c>
      <c r="H469">
        <v>9</v>
      </c>
      <c r="I469">
        <v>9</v>
      </c>
      <c r="J469">
        <v>123.46</v>
      </c>
      <c r="K469">
        <v>22.22</v>
      </c>
      <c r="L469">
        <f>_xlfn.XLOOKUP(C469, dim_teams[team_name], dim_teams[team_id], "Not found", 0)</f>
        <v>2</v>
      </c>
    </row>
    <row r="470" spans="1:12" x14ac:dyDescent="0.3">
      <c r="A470" t="s">
        <v>158</v>
      </c>
      <c r="B470">
        <v>2018</v>
      </c>
      <c r="C470" t="s">
        <v>54</v>
      </c>
      <c r="D470">
        <v>368</v>
      </c>
      <c r="E470">
        <v>252</v>
      </c>
      <c r="F470">
        <v>30</v>
      </c>
      <c r="G470">
        <v>27</v>
      </c>
      <c r="H470">
        <v>9</v>
      </c>
      <c r="I470">
        <v>11</v>
      </c>
      <c r="J470">
        <v>146.03</v>
      </c>
      <c r="K470">
        <v>40.89</v>
      </c>
      <c r="L470">
        <f>_xlfn.XLOOKUP(C470, dim_teams[team_name], dim_teams[team_id], "Not found", 0)</f>
        <v>4</v>
      </c>
    </row>
    <row r="471" spans="1:12" x14ac:dyDescent="0.3">
      <c r="A471" t="s">
        <v>158</v>
      </c>
      <c r="B471">
        <v>2019</v>
      </c>
      <c r="C471" t="s">
        <v>54</v>
      </c>
      <c r="D471">
        <v>490</v>
      </c>
      <c r="E471">
        <v>319</v>
      </c>
      <c r="F471">
        <v>45</v>
      </c>
      <c r="G471">
        <v>34</v>
      </c>
      <c r="H471">
        <v>12</v>
      </c>
      <c r="I471">
        <v>13</v>
      </c>
      <c r="J471">
        <v>153.61000000000001</v>
      </c>
      <c r="K471">
        <v>40.83</v>
      </c>
      <c r="L471">
        <f>_xlfn.XLOOKUP(C471, dim_teams[team_name], dim_teams[team_id], "Not found", 0)</f>
        <v>4</v>
      </c>
    </row>
    <row r="472" spans="1:12" x14ac:dyDescent="0.3">
      <c r="A472" t="s">
        <v>158</v>
      </c>
      <c r="B472">
        <v>2020</v>
      </c>
      <c r="C472" t="s">
        <v>54</v>
      </c>
      <c r="D472">
        <v>295</v>
      </c>
      <c r="E472">
        <v>212</v>
      </c>
      <c r="F472">
        <v>15</v>
      </c>
      <c r="G472">
        <v>24</v>
      </c>
      <c r="H472">
        <v>6</v>
      </c>
      <c r="I472">
        <v>7</v>
      </c>
      <c r="J472">
        <v>139.15</v>
      </c>
      <c r="K472">
        <v>49.17</v>
      </c>
      <c r="L472">
        <f>_xlfn.XLOOKUP(C472, dim_teams[team_name], dim_teams[team_id], "Not found", 0)</f>
        <v>4</v>
      </c>
    </row>
    <row r="473" spans="1:12" x14ac:dyDescent="0.3">
      <c r="A473" t="s">
        <v>158</v>
      </c>
      <c r="B473">
        <v>2021</v>
      </c>
      <c r="C473" t="s">
        <v>76</v>
      </c>
      <c r="D473">
        <v>193</v>
      </c>
      <c r="E473">
        <v>154</v>
      </c>
      <c r="F473">
        <v>21</v>
      </c>
      <c r="G473">
        <v>8</v>
      </c>
      <c r="H473">
        <v>11</v>
      </c>
      <c r="I473">
        <v>10</v>
      </c>
      <c r="J473">
        <v>125.32</v>
      </c>
      <c r="K473">
        <v>17.55</v>
      </c>
      <c r="L473">
        <f>_xlfn.XLOOKUP(C473, dim_teams[team_name], dim_teams[team_id], "Not found", 0)</f>
        <v>16</v>
      </c>
    </row>
    <row r="474" spans="1:12" x14ac:dyDescent="0.3">
      <c r="A474" t="s">
        <v>159</v>
      </c>
      <c r="B474">
        <v>2013</v>
      </c>
      <c r="C474" t="s">
        <v>25</v>
      </c>
      <c r="D474">
        <v>14</v>
      </c>
      <c r="E474">
        <v>16</v>
      </c>
      <c r="F474">
        <v>0</v>
      </c>
      <c r="G474">
        <v>0</v>
      </c>
      <c r="H474">
        <v>2</v>
      </c>
      <c r="I474">
        <v>6</v>
      </c>
      <c r="J474">
        <v>87.5</v>
      </c>
      <c r="K474">
        <v>7</v>
      </c>
      <c r="L474">
        <f>_xlfn.XLOOKUP(C474, dim_teams[team_name], dim_teams[team_id], "Not found", 0)</f>
        <v>3</v>
      </c>
    </row>
    <row r="475" spans="1:12" x14ac:dyDescent="0.3">
      <c r="A475" t="s">
        <v>159</v>
      </c>
      <c r="B475">
        <v>2015</v>
      </c>
      <c r="C475" t="s">
        <v>17</v>
      </c>
      <c r="D475">
        <v>76</v>
      </c>
      <c r="E475">
        <v>45</v>
      </c>
      <c r="F475">
        <v>3</v>
      </c>
      <c r="G475">
        <v>5</v>
      </c>
      <c r="H475">
        <v>2</v>
      </c>
      <c r="I475">
        <v>7</v>
      </c>
      <c r="J475">
        <v>168.89</v>
      </c>
      <c r="K475">
        <v>38</v>
      </c>
      <c r="L475">
        <f>_xlfn.XLOOKUP(C475, dim_teams[team_name], dim_teams[team_id], "Not found", 0)</f>
        <v>5</v>
      </c>
    </row>
    <row r="476" spans="1:12" x14ac:dyDescent="0.3">
      <c r="A476" t="s">
        <v>159</v>
      </c>
      <c r="B476">
        <v>2016</v>
      </c>
      <c r="C476" t="s">
        <v>32</v>
      </c>
      <c r="D476">
        <v>195</v>
      </c>
      <c r="E476">
        <v>109</v>
      </c>
      <c r="F476">
        <v>15</v>
      </c>
      <c r="G476">
        <v>12</v>
      </c>
      <c r="H476">
        <v>4</v>
      </c>
      <c r="I476">
        <v>7</v>
      </c>
      <c r="J476">
        <v>178.9</v>
      </c>
      <c r="K476">
        <v>48.75</v>
      </c>
      <c r="L476">
        <f>_xlfn.XLOOKUP(C476, dim_teams[team_name], dim_teams[team_id], "Not found", 0)</f>
        <v>6</v>
      </c>
    </row>
    <row r="477" spans="1:12" x14ac:dyDescent="0.3">
      <c r="A477" t="s">
        <v>159</v>
      </c>
      <c r="B477">
        <v>2017</v>
      </c>
      <c r="C477" t="s">
        <v>32</v>
      </c>
      <c r="D477">
        <v>154</v>
      </c>
      <c r="E477">
        <v>94</v>
      </c>
      <c r="F477">
        <v>15</v>
      </c>
      <c r="G477">
        <v>6</v>
      </c>
      <c r="H477">
        <v>5</v>
      </c>
      <c r="I477">
        <v>8</v>
      </c>
      <c r="J477">
        <v>163.83000000000001</v>
      </c>
      <c r="K477">
        <v>30.8</v>
      </c>
      <c r="L477">
        <f>_xlfn.XLOOKUP(C477, dim_teams[team_name], dim_teams[team_id], "Not found", 0)</f>
        <v>6</v>
      </c>
    </row>
    <row r="478" spans="1:12" x14ac:dyDescent="0.3">
      <c r="A478" t="s">
        <v>159</v>
      </c>
      <c r="B478">
        <v>2018</v>
      </c>
      <c r="C478" t="s">
        <v>32</v>
      </c>
      <c r="D478">
        <v>46</v>
      </c>
      <c r="E478">
        <v>26</v>
      </c>
      <c r="F478">
        <v>3</v>
      </c>
      <c r="G478">
        <v>2</v>
      </c>
      <c r="H478">
        <v>1</v>
      </c>
      <c r="I478">
        <v>3</v>
      </c>
      <c r="J478">
        <v>176.92</v>
      </c>
      <c r="K478">
        <v>46</v>
      </c>
      <c r="L478">
        <f>_xlfn.XLOOKUP(C478, dim_teams[team_name], dim_teams[team_id], "Not found", 0)</f>
        <v>6</v>
      </c>
    </row>
    <row r="479" spans="1:12" x14ac:dyDescent="0.3">
      <c r="A479" t="s">
        <v>159</v>
      </c>
      <c r="B479">
        <v>2019</v>
      </c>
      <c r="C479" t="s">
        <v>33</v>
      </c>
      <c r="D479">
        <v>32</v>
      </c>
      <c r="E479">
        <v>37</v>
      </c>
      <c r="F479">
        <v>1</v>
      </c>
      <c r="G479">
        <v>2</v>
      </c>
      <c r="H479">
        <v>6</v>
      </c>
      <c r="I479">
        <v>6</v>
      </c>
      <c r="J479">
        <v>86.49</v>
      </c>
      <c r="K479">
        <v>5.33</v>
      </c>
      <c r="L479">
        <f>_xlfn.XLOOKUP(C479, dim_teams[team_name], dim_teams[team_id], "Not found", 0)</f>
        <v>15</v>
      </c>
    </row>
    <row r="480" spans="1:12" x14ac:dyDescent="0.3">
      <c r="A480" t="s">
        <v>159</v>
      </c>
      <c r="B480">
        <v>2020</v>
      </c>
      <c r="C480" t="s">
        <v>21</v>
      </c>
      <c r="D480">
        <v>34</v>
      </c>
      <c r="E480">
        <v>21</v>
      </c>
      <c r="F480">
        <v>2</v>
      </c>
      <c r="G480">
        <v>3</v>
      </c>
      <c r="H480">
        <v>4</v>
      </c>
      <c r="I480">
        <v>5</v>
      </c>
      <c r="J480">
        <v>161.9</v>
      </c>
      <c r="K480">
        <v>8.5</v>
      </c>
      <c r="L480">
        <f>_xlfn.XLOOKUP(C480, dim_teams[team_name], dim_teams[team_id], "Not found", 0)</f>
        <v>2</v>
      </c>
    </row>
    <row r="481" spans="1:12" x14ac:dyDescent="0.3">
      <c r="A481" t="s">
        <v>159</v>
      </c>
      <c r="B481">
        <v>2021</v>
      </c>
      <c r="C481" t="s">
        <v>17</v>
      </c>
      <c r="D481">
        <v>67</v>
      </c>
      <c r="E481">
        <v>49</v>
      </c>
      <c r="F481">
        <v>2</v>
      </c>
      <c r="G481">
        <v>5</v>
      </c>
      <c r="H481">
        <v>5</v>
      </c>
      <c r="I481">
        <v>7</v>
      </c>
      <c r="J481">
        <v>136.72999999999999</v>
      </c>
      <c r="K481">
        <v>13.4</v>
      </c>
      <c r="L481">
        <f>_xlfn.XLOOKUP(C481, dim_teams[team_name], dim_teams[team_id], "Not found", 0)</f>
        <v>5</v>
      </c>
    </row>
    <row r="482" spans="1:12" x14ac:dyDescent="0.3">
      <c r="A482" t="s">
        <v>160</v>
      </c>
      <c r="B482">
        <v>2014</v>
      </c>
      <c r="C482" t="s">
        <v>23</v>
      </c>
      <c r="D482">
        <v>265</v>
      </c>
      <c r="E482">
        <v>181</v>
      </c>
      <c r="F482">
        <v>21</v>
      </c>
      <c r="G482">
        <v>15</v>
      </c>
      <c r="H482">
        <v>9</v>
      </c>
      <c r="I482">
        <v>11</v>
      </c>
      <c r="J482">
        <v>146.41</v>
      </c>
      <c r="K482">
        <v>29.44</v>
      </c>
      <c r="L482">
        <f>_xlfn.XLOOKUP(C482, dim_teams[team_name], dim_teams[team_id], "Not found", 0)</f>
        <v>7</v>
      </c>
    </row>
    <row r="483" spans="1:12" x14ac:dyDescent="0.3">
      <c r="A483" t="s">
        <v>160</v>
      </c>
      <c r="B483">
        <v>2015</v>
      </c>
      <c r="C483" t="s">
        <v>23</v>
      </c>
      <c r="D483">
        <v>114</v>
      </c>
      <c r="E483">
        <v>96</v>
      </c>
      <c r="F483">
        <v>11</v>
      </c>
      <c r="G483">
        <v>6</v>
      </c>
      <c r="H483">
        <v>3</v>
      </c>
      <c r="I483">
        <v>4</v>
      </c>
      <c r="J483">
        <v>118.75</v>
      </c>
      <c r="K483">
        <v>38</v>
      </c>
      <c r="L483">
        <f>_xlfn.XLOOKUP(C483, dim_teams[team_name], dim_teams[team_id], "Not found", 0)</f>
        <v>7</v>
      </c>
    </row>
    <row r="484" spans="1:12" x14ac:dyDescent="0.3">
      <c r="A484" t="s">
        <v>160</v>
      </c>
      <c r="B484">
        <v>2017</v>
      </c>
      <c r="C484" t="s">
        <v>32</v>
      </c>
      <c r="D484">
        <v>142</v>
      </c>
      <c r="E484">
        <v>122</v>
      </c>
      <c r="F484">
        <v>8</v>
      </c>
      <c r="G484">
        <v>9</v>
      </c>
      <c r="H484">
        <v>7</v>
      </c>
      <c r="I484">
        <v>11</v>
      </c>
      <c r="J484">
        <v>116.39</v>
      </c>
      <c r="K484">
        <v>20.29</v>
      </c>
      <c r="L484">
        <f>_xlfn.XLOOKUP(C484, dim_teams[team_name], dim_teams[team_id], "Not found", 0)</f>
        <v>6</v>
      </c>
    </row>
    <row r="485" spans="1:12" x14ac:dyDescent="0.3">
      <c r="A485" t="s">
        <v>160</v>
      </c>
      <c r="B485">
        <v>2018</v>
      </c>
      <c r="C485" t="s">
        <v>21</v>
      </c>
      <c r="D485">
        <v>17</v>
      </c>
      <c r="E485">
        <v>22</v>
      </c>
      <c r="F485">
        <v>0</v>
      </c>
      <c r="G485">
        <v>1</v>
      </c>
      <c r="H485">
        <v>3</v>
      </c>
      <c r="I485">
        <v>3</v>
      </c>
      <c r="J485">
        <v>77.27</v>
      </c>
      <c r="K485">
        <v>5.67</v>
      </c>
      <c r="L485">
        <f>_xlfn.XLOOKUP(C485, dim_teams[team_name], dim_teams[team_id], "Not found", 0)</f>
        <v>2</v>
      </c>
    </row>
    <row r="486" spans="1:12" x14ac:dyDescent="0.3">
      <c r="A486" t="s">
        <v>161</v>
      </c>
      <c r="B486">
        <v>2011</v>
      </c>
      <c r="C486" t="s">
        <v>37</v>
      </c>
      <c r="D486">
        <v>48</v>
      </c>
      <c r="E486">
        <v>54</v>
      </c>
      <c r="F486">
        <v>6</v>
      </c>
      <c r="G486">
        <v>0</v>
      </c>
      <c r="H486">
        <v>2</v>
      </c>
      <c r="I486">
        <v>4</v>
      </c>
      <c r="J486">
        <v>88.89</v>
      </c>
      <c r="K486">
        <v>24</v>
      </c>
      <c r="L486">
        <f>_xlfn.XLOOKUP(C486, dim_teams[team_name], dim_teams[team_id], "Not found", 0)</f>
        <v>10</v>
      </c>
    </row>
    <row r="487" spans="1:12" x14ac:dyDescent="0.3">
      <c r="A487" t="s">
        <v>161</v>
      </c>
      <c r="B487">
        <v>2012</v>
      </c>
      <c r="C487" t="s">
        <v>37</v>
      </c>
      <c r="D487">
        <v>50</v>
      </c>
      <c r="E487">
        <v>63</v>
      </c>
      <c r="F487">
        <v>3</v>
      </c>
      <c r="G487">
        <v>0</v>
      </c>
      <c r="H487">
        <v>4</v>
      </c>
      <c r="I487">
        <v>4</v>
      </c>
      <c r="J487">
        <v>79.37</v>
      </c>
      <c r="K487">
        <v>12.5</v>
      </c>
      <c r="L487">
        <f>_xlfn.XLOOKUP(C487, dim_teams[team_name], dim_teams[team_id], "Not found", 0)</f>
        <v>10</v>
      </c>
    </row>
    <row r="488" spans="1:12" x14ac:dyDescent="0.3">
      <c r="A488" t="s">
        <v>162</v>
      </c>
      <c r="B488">
        <v>2016</v>
      </c>
      <c r="C488" t="s">
        <v>21</v>
      </c>
      <c r="D488">
        <v>3</v>
      </c>
      <c r="E488">
        <v>4</v>
      </c>
      <c r="F488">
        <v>0</v>
      </c>
      <c r="G488">
        <v>0</v>
      </c>
      <c r="H488">
        <v>0</v>
      </c>
      <c r="I488">
        <v>1</v>
      </c>
      <c r="J488">
        <v>75</v>
      </c>
      <c r="L488">
        <f>_xlfn.XLOOKUP(C488, dim_teams[team_name], dim_teams[team_id], "Not found", 0)</f>
        <v>2</v>
      </c>
    </row>
    <row r="489" spans="1:12" x14ac:dyDescent="0.3">
      <c r="A489" t="s">
        <v>162</v>
      </c>
      <c r="B489">
        <v>2017</v>
      </c>
      <c r="C489" t="s">
        <v>13</v>
      </c>
      <c r="D489">
        <v>0</v>
      </c>
      <c r="E489">
        <v>1</v>
      </c>
      <c r="F489">
        <v>0</v>
      </c>
      <c r="G489">
        <v>0</v>
      </c>
      <c r="H489">
        <v>1</v>
      </c>
      <c r="I489">
        <v>1</v>
      </c>
      <c r="J489">
        <v>0</v>
      </c>
      <c r="K489">
        <v>0</v>
      </c>
      <c r="L489">
        <f>_xlfn.XLOOKUP(C489, dim_teams[team_name], dim_teams[team_id], "Not found", 0)</f>
        <v>11</v>
      </c>
    </row>
    <row r="490" spans="1:12" x14ac:dyDescent="0.3">
      <c r="A490" t="s">
        <v>162</v>
      </c>
      <c r="B490">
        <v>2020</v>
      </c>
      <c r="C490" t="s">
        <v>54</v>
      </c>
      <c r="D490">
        <v>29</v>
      </c>
      <c r="E490">
        <v>31</v>
      </c>
      <c r="F490">
        <v>2</v>
      </c>
      <c r="G490">
        <v>0</v>
      </c>
      <c r="H490">
        <v>3</v>
      </c>
      <c r="I490">
        <v>4</v>
      </c>
      <c r="J490">
        <v>93.55</v>
      </c>
      <c r="K490">
        <v>9.67</v>
      </c>
      <c r="L490">
        <f>_xlfn.XLOOKUP(C490, dim_teams[team_name], dim_teams[team_id], "Not found", 0)</f>
        <v>4</v>
      </c>
    </row>
    <row r="491" spans="1:12" x14ac:dyDescent="0.3">
      <c r="A491" t="s">
        <v>162</v>
      </c>
      <c r="B491">
        <v>2021</v>
      </c>
      <c r="C491" t="s">
        <v>76</v>
      </c>
      <c r="D491">
        <v>32</v>
      </c>
      <c r="E491">
        <v>21</v>
      </c>
      <c r="F491">
        <v>1</v>
      </c>
      <c r="G491">
        <v>3</v>
      </c>
      <c r="H491">
        <v>2</v>
      </c>
      <c r="I491">
        <v>2</v>
      </c>
      <c r="J491">
        <v>152.38</v>
      </c>
      <c r="K491">
        <v>16</v>
      </c>
      <c r="L491">
        <f>_xlfn.XLOOKUP(C491, dim_teams[team_name], dim_teams[team_id], "Not found", 0)</f>
        <v>16</v>
      </c>
    </row>
    <row r="492" spans="1:12" x14ac:dyDescent="0.3">
      <c r="A492" t="s">
        <v>162</v>
      </c>
      <c r="B492">
        <v>2022</v>
      </c>
      <c r="C492" t="s">
        <v>25</v>
      </c>
      <c r="D492">
        <v>11</v>
      </c>
      <c r="E492">
        <v>8</v>
      </c>
      <c r="F492">
        <v>0</v>
      </c>
      <c r="G492">
        <v>0</v>
      </c>
      <c r="H492">
        <v>1</v>
      </c>
      <c r="I492">
        <v>2</v>
      </c>
      <c r="J492">
        <v>137.5</v>
      </c>
      <c r="K492">
        <v>11</v>
      </c>
      <c r="L492">
        <f>_xlfn.XLOOKUP(C492, dim_teams[team_name], dim_teams[team_id], "Not found", 0)</f>
        <v>3</v>
      </c>
    </row>
    <row r="493" spans="1:12" x14ac:dyDescent="0.3">
      <c r="A493" t="s">
        <v>162</v>
      </c>
      <c r="B493">
        <v>2023</v>
      </c>
      <c r="C493" t="s">
        <v>23</v>
      </c>
      <c r="D493">
        <v>6</v>
      </c>
      <c r="E493">
        <v>12</v>
      </c>
      <c r="F493">
        <v>0</v>
      </c>
      <c r="G493">
        <v>0</v>
      </c>
      <c r="H493">
        <v>2</v>
      </c>
      <c r="I493">
        <v>2</v>
      </c>
      <c r="J493">
        <v>50</v>
      </c>
      <c r="K493">
        <v>3</v>
      </c>
      <c r="L493">
        <f>_xlfn.XLOOKUP(C493, dim_teams[team_name], dim_teams[team_id], "Not found", 0)</f>
        <v>7</v>
      </c>
    </row>
    <row r="494" spans="1:12" x14ac:dyDescent="0.3">
      <c r="A494" t="s">
        <v>163</v>
      </c>
      <c r="B494">
        <v>2012</v>
      </c>
      <c r="C494" t="s">
        <v>23</v>
      </c>
      <c r="D494">
        <v>8</v>
      </c>
      <c r="E494">
        <v>15</v>
      </c>
      <c r="F494">
        <v>0</v>
      </c>
      <c r="G494">
        <v>0</v>
      </c>
      <c r="H494">
        <v>1</v>
      </c>
      <c r="I494">
        <v>1</v>
      </c>
      <c r="J494">
        <v>53.33</v>
      </c>
      <c r="K494">
        <v>8</v>
      </c>
      <c r="L494">
        <f>_xlfn.XLOOKUP(C494, dim_teams[team_name], dim_teams[team_id], "Not found", 0)</f>
        <v>7</v>
      </c>
    </row>
    <row r="495" spans="1:12" x14ac:dyDescent="0.3">
      <c r="A495" t="s">
        <v>164</v>
      </c>
      <c r="B495">
        <v>2008</v>
      </c>
      <c r="C495" t="s">
        <v>25</v>
      </c>
      <c r="D495">
        <v>16</v>
      </c>
      <c r="E495">
        <v>22</v>
      </c>
      <c r="F495">
        <v>0</v>
      </c>
      <c r="G495">
        <v>0</v>
      </c>
      <c r="H495">
        <v>3</v>
      </c>
      <c r="I495">
        <v>3</v>
      </c>
      <c r="J495">
        <v>72.73</v>
      </c>
      <c r="K495">
        <v>5.33</v>
      </c>
      <c r="L495">
        <f>_xlfn.XLOOKUP(C495, dim_teams[team_name], dim_teams[team_id], "Not found", 0)</f>
        <v>3</v>
      </c>
    </row>
    <row r="496" spans="1:12" x14ac:dyDescent="0.3">
      <c r="A496" t="s">
        <v>165</v>
      </c>
      <c r="B496">
        <v>2010</v>
      </c>
      <c r="C496" t="s">
        <v>19</v>
      </c>
      <c r="D496">
        <v>0</v>
      </c>
      <c r="E496">
        <v>1</v>
      </c>
      <c r="F496">
        <v>0</v>
      </c>
      <c r="G496">
        <v>0</v>
      </c>
      <c r="H496">
        <v>1</v>
      </c>
      <c r="I496">
        <v>1</v>
      </c>
      <c r="J496">
        <v>0</v>
      </c>
      <c r="K496">
        <v>0</v>
      </c>
      <c r="L496">
        <f>_xlfn.XLOOKUP(C496, dim_teams[team_name], dim_teams[team_id], "Not found", 0)</f>
        <v>1</v>
      </c>
    </row>
    <row r="497" spans="1:12" x14ac:dyDescent="0.3">
      <c r="A497" t="s">
        <v>165</v>
      </c>
      <c r="B497">
        <v>2011</v>
      </c>
      <c r="C497" t="s">
        <v>21</v>
      </c>
      <c r="D497">
        <v>8</v>
      </c>
      <c r="E497">
        <v>8</v>
      </c>
      <c r="F497">
        <v>0</v>
      </c>
      <c r="G497">
        <v>1</v>
      </c>
      <c r="H497">
        <v>1</v>
      </c>
      <c r="I497">
        <v>1</v>
      </c>
      <c r="J497">
        <v>100</v>
      </c>
      <c r="K497">
        <v>8</v>
      </c>
      <c r="L497">
        <f>_xlfn.XLOOKUP(C497, dim_teams[team_name], dim_teams[team_id], "Not found", 0)</f>
        <v>2</v>
      </c>
    </row>
    <row r="498" spans="1:12" x14ac:dyDescent="0.3">
      <c r="A498" t="s">
        <v>166</v>
      </c>
      <c r="B498">
        <v>2008</v>
      </c>
      <c r="C498" t="s">
        <v>21</v>
      </c>
      <c r="D498">
        <v>114</v>
      </c>
      <c r="E498">
        <v>100</v>
      </c>
      <c r="F498">
        <v>8</v>
      </c>
      <c r="G498">
        <v>4</v>
      </c>
      <c r="H498">
        <v>5</v>
      </c>
      <c r="I498">
        <v>8</v>
      </c>
      <c r="J498">
        <v>114</v>
      </c>
      <c r="K498">
        <v>22.8</v>
      </c>
      <c r="L498">
        <f>_xlfn.XLOOKUP(C498, dim_teams[team_name], dim_teams[team_id], "Not found", 0)</f>
        <v>2</v>
      </c>
    </row>
    <row r="499" spans="1:12" x14ac:dyDescent="0.3">
      <c r="A499" t="s">
        <v>166</v>
      </c>
      <c r="B499">
        <v>2010</v>
      </c>
      <c r="C499" t="s">
        <v>21</v>
      </c>
      <c r="D499">
        <v>48</v>
      </c>
      <c r="E499">
        <v>33</v>
      </c>
      <c r="F499">
        <v>3</v>
      </c>
      <c r="G499">
        <v>3</v>
      </c>
      <c r="H499">
        <v>2</v>
      </c>
      <c r="I499">
        <v>5</v>
      </c>
      <c r="J499">
        <v>145.44999999999999</v>
      </c>
      <c r="K499">
        <v>24</v>
      </c>
      <c r="L499">
        <f>_xlfn.XLOOKUP(C499, dim_teams[team_name], dim_teams[team_id], "Not found", 0)</f>
        <v>2</v>
      </c>
    </row>
    <row r="500" spans="1:12" x14ac:dyDescent="0.3">
      <c r="A500" t="s">
        <v>166</v>
      </c>
      <c r="B500">
        <v>2011</v>
      </c>
      <c r="C500" t="s">
        <v>12</v>
      </c>
      <c r="D500">
        <v>104</v>
      </c>
      <c r="E500">
        <v>109</v>
      </c>
      <c r="F500">
        <v>6</v>
      </c>
      <c r="G500">
        <v>2</v>
      </c>
      <c r="H500">
        <v>4</v>
      </c>
      <c r="I500">
        <v>6</v>
      </c>
      <c r="J500">
        <v>95.41</v>
      </c>
      <c r="K500">
        <v>26</v>
      </c>
      <c r="L500">
        <f>_xlfn.XLOOKUP(C500, dim_teams[team_name], dim_teams[team_id], "Not found", 0)</f>
        <v>8</v>
      </c>
    </row>
    <row r="501" spans="1:12" x14ac:dyDescent="0.3">
      <c r="A501" t="s">
        <v>166</v>
      </c>
      <c r="B501">
        <v>2012</v>
      </c>
      <c r="C501" t="s">
        <v>12</v>
      </c>
      <c r="D501">
        <v>479</v>
      </c>
      <c r="E501">
        <v>319</v>
      </c>
      <c r="F501">
        <v>41</v>
      </c>
      <c r="G501">
        <v>20</v>
      </c>
      <c r="H501">
        <v>12</v>
      </c>
      <c r="I501">
        <v>13</v>
      </c>
      <c r="J501">
        <v>150.16</v>
      </c>
      <c r="K501">
        <v>39.92</v>
      </c>
      <c r="L501">
        <f>_xlfn.XLOOKUP(C501, dim_teams[team_name], dim_teams[team_id], "Not found", 0)</f>
        <v>8</v>
      </c>
    </row>
    <row r="502" spans="1:12" x14ac:dyDescent="0.3">
      <c r="A502" t="s">
        <v>166</v>
      </c>
      <c r="B502">
        <v>2013</v>
      </c>
      <c r="C502" t="s">
        <v>13</v>
      </c>
      <c r="D502">
        <v>226</v>
      </c>
      <c r="E502">
        <v>196</v>
      </c>
      <c r="F502">
        <v>18</v>
      </c>
      <c r="G502">
        <v>9</v>
      </c>
      <c r="H502">
        <v>12</v>
      </c>
      <c r="I502">
        <v>13</v>
      </c>
      <c r="J502">
        <v>115.31</v>
      </c>
      <c r="K502">
        <v>18.829999999999998</v>
      </c>
      <c r="L502">
        <f>_xlfn.XLOOKUP(C502, dim_teams[team_name], dim_teams[team_id], "Not found", 0)</f>
        <v>11</v>
      </c>
    </row>
    <row r="503" spans="1:12" x14ac:dyDescent="0.3">
      <c r="A503" t="s">
        <v>167</v>
      </c>
      <c r="B503">
        <v>2013</v>
      </c>
      <c r="C503" t="s">
        <v>32</v>
      </c>
      <c r="D503">
        <v>44</v>
      </c>
      <c r="E503">
        <v>34</v>
      </c>
      <c r="F503">
        <v>4</v>
      </c>
      <c r="G503">
        <v>1</v>
      </c>
      <c r="H503">
        <v>2</v>
      </c>
      <c r="I503">
        <v>3</v>
      </c>
      <c r="J503">
        <v>129.41</v>
      </c>
      <c r="K503">
        <v>22</v>
      </c>
      <c r="L503">
        <f>_xlfn.XLOOKUP(C503, dim_teams[team_name], dim_teams[team_id], "Not found", 0)</f>
        <v>6</v>
      </c>
    </row>
    <row r="504" spans="1:12" x14ac:dyDescent="0.3">
      <c r="A504" t="s">
        <v>167</v>
      </c>
      <c r="B504">
        <v>2014</v>
      </c>
      <c r="C504" t="s">
        <v>23</v>
      </c>
      <c r="D504">
        <v>121</v>
      </c>
      <c r="E504">
        <v>110</v>
      </c>
      <c r="F504">
        <v>13</v>
      </c>
      <c r="G504">
        <v>5</v>
      </c>
      <c r="H504">
        <v>6</v>
      </c>
      <c r="I504">
        <v>9</v>
      </c>
      <c r="J504">
        <v>110</v>
      </c>
      <c r="K504">
        <v>20.170000000000002</v>
      </c>
      <c r="L504">
        <f>_xlfn.XLOOKUP(C504, dim_teams[team_name], dim_teams[team_id], "Not found", 0)</f>
        <v>7</v>
      </c>
    </row>
    <row r="505" spans="1:12" x14ac:dyDescent="0.3">
      <c r="A505" t="s">
        <v>167</v>
      </c>
      <c r="B505">
        <v>2015</v>
      </c>
      <c r="C505" t="s">
        <v>32</v>
      </c>
      <c r="D505">
        <v>4</v>
      </c>
      <c r="E505">
        <v>5</v>
      </c>
      <c r="F505">
        <v>0</v>
      </c>
      <c r="G505">
        <v>0</v>
      </c>
      <c r="H505">
        <v>1</v>
      </c>
      <c r="I505">
        <v>1</v>
      </c>
      <c r="J505">
        <v>80</v>
      </c>
      <c r="K505">
        <v>4</v>
      </c>
      <c r="L505">
        <f>_xlfn.XLOOKUP(C505, dim_teams[team_name], dim_teams[team_id], "Not found", 0)</f>
        <v>6</v>
      </c>
    </row>
    <row r="506" spans="1:12" x14ac:dyDescent="0.3">
      <c r="A506" t="s">
        <v>168</v>
      </c>
      <c r="B506">
        <v>2016</v>
      </c>
      <c r="C506" t="s">
        <v>32</v>
      </c>
      <c r="D506">
        <v>83</v>
      </c>
      <c r="E506">
        <v>38</v>
      </c>
      <c r="F506">
        <v>6</v>
      </c>
      <c r="G506">
        <v>8</v>
      </c>
      <c r="H506">
        <v>6</v>
      </c>
      <c r="I506">
        <v>6</v>
      </c>
      <c r="J506">
        <v>218.42</v>
      </c>
      <c r="K506">
        <v>13.83</v>
      </c>
      <c r="L506">
        <f>_xlfn.XLOOKUP(C506, dim_teams[team_name], dim_teams[team_id], "Not found", 0)</f>
        <v>6</v>
      </c>
    </row>
    <row r="507" spans="1:12" x14ac:dyDescent="0.3">
      <c r="A507" t="s">
        <v>168</v>
      </c>
      <c r="B507">
        <v>2017</v>
      </c>
      <c r="C507" t="s">
        <v>32</v>
      </c>
      <c r="D507">
        <v>12</v>
      </c>
      <c r="E507">
        <v>15</v>
      </c>
      <c r="F507">
        <v>2</v>
      </c>
      <c r="G507">
        <v>0</v>
      </c>
      <c r="H507">
        <v>2</v>
      </c>
      <c r="I507">
        <v>2</v>
      </c>
      <c r="J507">
        <v>80</v>
      </c>
      <c r="K507">
        <v>6</v>
      </c>
      <c r="L507">
        <f>_xlfn.XLOOKUP(C507, dim_teams[team_name], dim_teams[team_id], "Not found", 0)</f>
        <v>6</v>
      </c>
    </row>
    <row r="508" spans="1:12" x14ac:dyDescent="0.3">
      <c r="A508" t="s">
        <v>168</v>
      </c>
      <c r="B508">
        <v>2018</v>
      </c>
      <c r="C508" t="s">
        <v>13</v>
      </c>
      <c r="D508">
        <v>75</v>
      </c>
      <c r="E508">
        <v>48</v>
      </c>
      <c r="F508">
        <v>1</v>
      </c>
      <c r="G508">
        <v>8</v>
      </c>
      <c r="H508">
        <v>4</v>
      </c>
      <c r="I508">
        <v>4</v>
      </c>
      <c r="J508">
        <v>156.25</v>
      </c>
      <c r="K508">
        <v>18.75</v>
      </c>
      <c r="L508">
        <f>_xlfn.XLOOKUP(C508, dim_teams[team_name], dim_teams[team_id], "Not found", 0)</f>
        <v>11</v>
      </c>
    </row>
    <row r="509" spans="1:12" x14ac:dyDescent="0.3">
      <c r="A509" t="s">
        <v>168</v>
      </c>
      <c r="B509">
        <v>2019</v>
      </c>
      <c r="C509" t="s">
        <v>19</v>
      </c>
      <c r="D509">
        <v>11</v>
      </c>
      <c r="E509">
        <v>9</v>
      </c>
      <c r="F509">
        <v>1</v>
      </c>
      <c r="G509">
        <v>0</v>
      </c>
      <c r="H509">
        <v>2</v>
      </c>
      <c r="I509">
        <v>2</v>
      </c>
      <c r="J509">
        <v>122.22</v>
      </c>
      <c r="K509">
        <v>5.5</v>
      </c>
      <c r="L509">
        <f>_xlfn.XLOOKUP(C509, dim_teams[team_name], dim_teams[team_id], "Not found", 0)</f>
        <v>1</v>
      </c>
    </row>
    <row r="510" spans="1:12" x14ac:dyDescent="0.3">
      <c r="A510" t="s">
        <v>169</v>
      </c>
      <c r="B510">
        <v>2017</v>
      </c>
      <c r="C510" t="s">
        <v>19</v>
      </c>
      <c r="D510">
        <v>46</v>
      </c>
      <c r="E510">
        <v>47</v>
      </c>
      <c r="F510">
        <v>4</v>
      </c>
      <c r="G510">
        <v>1</v>
      </c>
      <c r="H510">
        <v>3</v>
      </c>
      <c r="I510">
        <v>7</v>
      </c>
      <c r="J510">
        <v>97.87</v>
      </c>
      <c r="K510">
        <v>15.33</v>
      </c>
      <c r="L510">
        <f>_xlfn.XLOOKUP(C510, dim_teams[team_name], dim_teams[team_id], "Not found", 0)</f>
        <v>1</v>
      </c>
    </row>
    <row r="511" spans="1:12" x14ac:dyDescent="0.3">
      <c r="A511" t="s">
        <v>169</v>
      </c>
      <c r="B511">
        <v>2018</v>
      </c>
      <c r="C511" t="s">
        <v>21</v>
      </c>
      <c r="D511">
        <v>17</v>
      </c>
      <c r="E511">
        <v>19</v>
      </c>
      <c r="F511">
        <v>1</v>
      </c>
      <c r="G511">
        <v>1</v>
      </c>
      <c r="H511">
        <v>2</v>
      </c>
      <c r="I511">
        <v>4</v>
      </c>
      <c r="J511">
        <v>89.47</v>
      </c>
      <c r="K511">
        <v>8.5</v>
      </c>
      <c r="L511">
        <f>_xlfn.XLOOKUP(C511, dim_teams[team_name], dim_teams[team_id], "Not found", 0)</f>
        <v>2</v>
      </c>
    </row>
    <row r="512" spans="1:12" x14ac:dyDescent="0.3">
      <c r="A512" t="s">
        <v>169</v>
      </c>
      <c r="B512">
        <v>2021</v>
      </c>
      <c r="C512" t="s">
        <v>33</v>
      </c>
      <c r="D512">
        <v>15</v>
      </c>
      <c r="E512">
        <v>11</v>
      </c>
      <c r="F512">
        <v>2</v>
      </c>
      <c r="G512">
        <v>0</v>
      </c>
      <c r="H512">
        <v>0</v>
      </c>
      <c r="I512">
        <v>1</v>
      </c>
      <c r="J512">
        <v>136.36000000000001</v>
      </c>
      <c r="L512">
        <f>_xlfn.XLOOKUP(C512, dim_teams[team_name], dim_teams[team_id], "Not found", 0)</f>
        <v>15</v>
      </c>
    </row>
    <row r="513" spans="1:12" x14ac:dyDescent="0.3">
      <c r="A513" t="s">
        <v>170</v>
      </c>
      <c r="B513">
        <v>2008</v>
      </c>
      <c r="C513" t="s">
        <v>23</v>
      </c>
      <c r="D513">
        <v>2</v>
      </c>
      <c r="E513">
        <v>1</v>
      </c>
      <c r="F513">
        <v>0</v>
      </c>
      <c r="G513">
        <v>0</v>
      </c>
      <c r="H513">
        <v>1</v>
      </c>
      <c r="I513">
        <v>1</v>
      </c>
      <c r="J513">
        <v>200</v>
      </c>
      <c r="K513">
        <v>2</v>
      </c>
      <c r="L513">
        <f>_xlfn.XLOOKUP(C513, dim_teams[team_name], dim_teams[team_id], "Not found", 0)</f>
        <v>7</v>
      </c>
    </row>
    <row r="514" spans="1:12" x14ac:dyDescent="0.3">
      <c r="A514" t="s">
        <v>170</v>
      </c>
      <c r="B514">
        <v>2010</v>
      </c>
      <c r="C514" t="s">
        <v>23</v>
      </c>
      <c r="D514">
        <v>2</v>
      </c>
      <c r="E514">
        <v>2</v>
      </c>
      <c r="F514">
        <v>0</v>
      </c>
      <c r="G514">
        <v>0</v>
      </c>
      <c r="H514">
        <v>0</v>
      </c>
      <c r="I514">
        <v>1</v>
      </c>
      <c r="J514">
        <v>100</v>
      </c>
      <c r="L514">
        <f>_xlfn.XLOOKUP(C514, dim_teams[team_name], dim_teams[team_id], "Not found", 0)</f>
        <v>7</v>
      </c>
    </row>
    <row r="515" spans="1:12" x14ac:dyDescent="0.3">
      <c r="A515" t="s">
        <v>171</v>
      </c>
      <c r="B515">
        <v>2020</v>
      </c>
      <c r="C515" t="s">
        <v>19</v>
      </c>
      <c r="D515">
        <v>10</v>
      </c>
      <c r="E515">
        <v>15</v>
      </c>
      <c r="F515">
        <v>0</v>
      </c>
      <c r="G515">
        <v>0</v>
      </c>
      <c r="H515">
        <v>2</v>
      </c>
      <c r="I515">
        <v>3</v>
      </c>
      <c r="J515">
        <v>66.67</v>
      </c>
      <c r="K515">
        <v>5</v>
      </c>
      <c r="L515">
        <f>_xlfn.XLOOKUP(C515, dim_teams[team_name], dim_teams[team_id], "Not found", 0)</f>
        <v>1</v>
      </c>
    </row>
    <row r="516" spans="1:12" x14ac:dyDescent="0.3">
      <c r="A516" t="s">
        <v>171</v>
      </c>
      <c r="B516">
        <v>2021</v>
      </c>
      <c r="C516" t="s">
        <v>19</v>
      </c>
      <c r="D516">
        <v>2</v>
      </c>
      <c r="E516">
        <v>4</v>
      </c>
      <c r="F516">
        <v>0</v>
      </c>
      <c r="G516">
        <v>0</v>
      </c>
      <c r="H516">
        <v>0</v>
      </c>
      <c r="I516">
        <v>2</v>
      </c>
      <c r="J516">
        <v>50</v>
      </c>
      <c r="L516">
        <f>_xlfn.XLOOKUP(C516, dim_teams[team_name], dim_teams[team_id], "Not found", 0)</f>
        <v>1</v>
      </c>
    </row>
    <row r="517" spans="1:12" x14ac:dyDescent="0.3">
      <c r="A517" t="s">
        <v>171</v>
      </c>
      <c r="B517">
        <v>2022</v>
      </c>
      <c r="C517" t="s">
        <v>19</v>
      </c>
      <c r="D517">
        <v>12</v>
      </c>
      <c r="E517">
        <v>18</v>
      </c>
      <c r="F517">
        <v>2</v>
      </c>
      <c r="G517">
        <v>0</v>
      </c>
      <c r="H517">
        <v>0</v>
      </c>
      <c r="I517">
        <v>3</v>
      </c>
      <c r="J517">
        <v>66.67</v>
      </c>
      <c r="L517">
        <f>_xlfn.XLOOKUP(C517, dim_teams[team_name], dim_teams[team_id], "Not found", 0)</f>
        <v>1</v>
      </c>
    </row>
    <row r="518" spans="1:12" x14ac:dyDescent="0.3">
      <c r="A518" t="s">
        <v>171</v>
      </c>
      <c r="B518">
        <v>2023</v>
      </c>
      <c r="C518" t="s">
        <v>19</v>
      </c>
      <c r="D518">
        <v>1</v>
      </c>
      <c r="E518">
        <v>9</v>
      </c>
      <c r="F518">
        <v>0</v>
      </c>
      <c r="G518">
        <v>0</v>
      </c>
      <c r="H518">
        <v>0</v>
      </c>
      <c r="I518">
        <v>2</v>
      </c>
      <c r="J518">
        <v>11.11</v>
      </c>
      <c r="L518">
        <f>_xlfn.XLOOKUP(C518, dim_teams[team_name], dim_teams[team_id], "Not found", 0)</f>
        <v>1</v>
      </c>
    </row>
    <row r="519" spans="1:12" x14ac:dyDescent="0.3">
      <c r="A519" t="s">
        <v>171</v>
      </c>
      <c r="B519">
        <v>2025</v>
      </c>
      <c r="C519" t="s">
        <v>19</v>
      </c>
      <c r="D519">
        <v>1</v>
      </c>
      <c r="E519">
        <v>1</v>
      </c>
      <c r="F519">
        <v>0</v>
      </c>
      <c r="G519">
        <v>0</v>
      </c>
      <c r="H519">
        <v>0</v>
      </c>
      <c r="I519">
        <v>1</v>
      </c>
      <c r="J519">
        <v>100</v>
      </c>
      <c r="L519">
        <f>_xlfn.XLOOKUP(C519, dim_teams[team_name], dim_teams[team_id], "Not found", 0)</f>
        <v>1</v>
      </c>
    </row>
    <row r="520" spans="1:12" x14ac:dyDescent="0.3">
      <c r="A520" t="s">
        <v>172</v>
      </c>
      <c r="B520">
        <v>2022</v>
      </c>
      <c r="C520" t="s">
        <v>23</v>
      </c>
      <c r="D520">
        <v>161</v>
      </c>
      <c r="E520">
        <v>113</v>
      </c>
      <c r="F520">
        <v>14</v>
      </c>
      <c r="G520">
        <v>11</v>
      </c>
      <c r="H520">
        <v>7</v>
      </c>
      <c r="I520">
        <v>7</v>
      </c>
      <c r="J520">
        <v>142.47999999999999</v>
      </c>
      <c r="K520">
        <v>23</v>
      </c>
      <c r="L520">
        <f>_xlfn.XLOOKUP(C520, dim_teams[team_name], dim_teams[team_id], "Not found", 0)</f>
        <v>7</v>
      </c>
    </row>
    <row r="521" spans="1:12" x14ac:dyDescent="0.3">
      <c r="A521" t="s">
        <v>172</v>
      </c>
      <c r="B521">
        <v>2024</v>
      </c>
      <c r="C521" t="s">
        <v>23</v>
      </c>
      <c r="D521">
        <v>69</v>
      </c>
      <c r="E521">
        <v>59</v>
      </c>
      <c r="F521">
        <v>3</v>
      </c>
      <c r="G521">
        <v>5</v>
      </c>
      <c r="H521">
        <v>3</v>
      </c>
      <c r="I521">
        <v>3</v>
      </c>
      <c r="J521">
        <v>116.95</v>
      </c>
      <c r="K521">
        <v>23</v>
      </c>
      <c r="L521">
        <f>_xlfn.XLOOKUP(C521, dim_teams[team_name], dim_teams[team_id], "Not found", 0)</f>
        <v>7</v>
      </c>
    </row>
    <row r="522" spans="1:12" x14ac:dyDescent="0.3">
      <c r="A522" t="s">
        <v>172</v>
      </c>
      <c r="B522">
        <v>2025</v>
      </c>
      <c r="C522" t="s">
        <v>25</v>
      </c>
      <c r="D522">
        <v>225</v>
      </c>
      <c r="E522">
        <v>125</v>
      </c>
      <c r="F522">
        <v>13</v>
      </c>
      <c r="G522">
        <v>17</v>
      </c>
      <c r="H522">
        <v>6</v>
      </c>
      <c r="I522">
        <v>6</v>
      </c>
      <c r="J522">
        <v>180</v>
      </c>
      <c r="K522">
        <v>37.5</v>
      </c>
      <c r="L522">
        <f>_xlfn.XLOOKUP(C522, dim_teams[team_name], dim_teams[team_id], "Not found", 0)</f>
        <v>3</v>
      </c>
    </row>
    <row r="523" spans="1:12" x14ac:dyDescent="0.3">
      <c r="A523" t="s">
        <v>173</v>
      </c>
      <c r="B523">
        <v>2024</v>
      </c>
      <c r="C523" t="s">
        <v>17</v>
      </c>
      <c r="D523">
        <v>8</v>
      </c>
      <c r="E523">
        <v>11</v>
      </c>
      <c r="F523">
        <v>0</v>
      </c>
      <c r="G523">
        <v>0</v>
      </c>
      <c r="H523">
        <v>2</v>
      </c>
      <c r="I523">
        <v>2</v>
      </c>
      <c r="J523">
        <v>72.73</v>
      </c>
      <c r="K523">
        <v>4</v>
      </c>
      <c r="L523">
        <f>_xlfn.XLOOKUP(C523, dim_teams[team_name], dim_teams[team_id], "Not found", 0)</f>
        <v>5</v>
      </c>
    </row>
    <row r="524" spans="1:12" x14ac:dyDescent="0.3">
      <c r="A524" t="s">
        <v>173</v>
      </c>
      <c r="B524">
        <v>2025</v>
      </c>
      <c r="C524" t="s">
        <v>33</v>
      </c>
      <c r="D524">
        <v>1</v>
      </c>
      <c r="E524">
        <v>3</v>
      </c>
      <c r="F524">
        <v>0</v>
      </c>
      <c r="G524">
        <v>0</v>
      </c>
      <c r="H524">
        <v>1</v>
      </c>
      <c r="I524">
        <v>1</v>
      </c>
      <c r="J524">
        <v>33.33</v>
      </c>
      <c r="K524">
        <v>1</v>
      </c>
      <c r="L524">
        <f>_xlfn.XLOOKUP(C524, dim_teams[team_name], dim_teams[team_id], "Not found", 0)</f>
        <v>15</v>
      </c>
    </row>
    <row r="525" spans="1:12" x14ac:dyDescent="0.3">
      <c r="A525" t="s">
        <v>174</v>
      </c>
      <c r="B525">
        <v>2008</v>
      </c>
      <c r="C525" t="s">
        <v>12</v>
      </c>
      <c r="D525">
        <v>3</v>
      </c>
      <c r="E525">
        <v>8</v>
      </c>
      <c r="F525">
        <v>0</v>
      </c>
      <c r="G525">
        <v>0</v>
      </c>
      <c r="H525">
        <v>1</v>
      </c>
      <c r="I525">
        <v>1</v>
      </c>
      <c r="J525">
        <v>37.5</v>
      </c>
      <c r="K525">
        <v>3</v>
      </c>
      <c r="L525">
        <f>_xlfn.XLOOKUP(C525, dim_teams[team_name], dim_teams[team_id], "Not found", 0)</f>
        <v>8</v>
      </c>
    </row>
    <row r="526" spans="1:12" x14ac:dyDescent="0.3">
      <c r="A526" t="s">
        <v>175</v>
      </c>
      <c r="B526">
        <v>2020</v>
      </c>
      <c r="C526" t="s">
        <v>21</v>
      </c>
      <c r="D526">
        <v>473</v>
      </c>
      <c r="E526">
        <v>378</v>
      </c>
      <c r="F526">
        <v>51</v>
      </c>
      <c r="G526">
        <v>8</v>
      </c>
      <c r="H526">
        <v>14</v>
      </c>
      <c r="I526">
        <v>15</v>
      </c>
      <c r="J526">
        <v>125.13</v>
      </c>
      <c r="K526">
        <v>33.79</v>
      </c>
      <c r="L526">
        <f>_xlfn.XLOOKUP(C526, dim_teams[team_name], dim_teams[team_id], "Not found", 0)</f>
        <v>2</v>
      </c>
    </row>
    <row r="527" spans="1:12" x14ac:dyDescent="0.3">
      <c r="A527" t="s">
        <v>175</v>
      </c>
      <c r="B527">
        <v>2021</v>
      </c>
      <c r="C527" t="s">
        <v>21</v>
      </c>
      <c r="D527">
        <v>411</v>
      </c>
      <c r="E527">
        <v>327</v>
      </c>
      <c r="F527">
        <v>44</v>
      </c>
      <c r="G527">
        <v>14</v>
      </c>
      <c r="H527">
        <v>14</v>
      </c>
      <c r="I527">
        <v>14</v>
      </c>
      <c r="J527">
        <v>125.69</v>
      </c>
      <c r="K527">
        <v>29.36</v>
      </c>
      <c r="L527">
        <f>_xlfn.XLOOKUP(C527, dim_teams[team_name], dim_teams[team_id], "Not found", 0)</f>
        <v>2</v>
      </c>
    </row>
    <row r="528" spans="1:12" x14ac:dyDescent="0.3">
      <c r="A528" t="s">
        <v>175</v>
      </c>
      <c r="B528">
        <v>2022</v>
      </c>
      <c r="C528" t="s">
        <v>17</v>
      </c>
      <c r="D528">
        <v>376</v>
      </c>
      <c r="E528">
        <v>305</v>
      </c>
      <c r="F528">
        <v>41</v>
      </c>
      <c r="G528">
        <v>14</v>
      </c>
      <c r="H528">
        <v>17</v>
      </c>
      <c r="I528">
        <v>17</v>
      </c>
      <c r="J528">
        <v>123.28</v>
      </c>
      <c r="K528">
        <v>22.12</v>
      </c>
      <c r="L528">
        <f>_xlfn.XLOOKUP(C528, dim_teams[team_name], dim_teams[team_id], "Not found", 0)</f>
        <v>5</v>
      </c>
    </row>
    <row r="529" spans="1:12" x14ac:dyDescent="0.3">
      <c r="A529" t="s">
        <v>175</v>
      </c>
      <c r="B529">
        <v>2023</v>
      </c>
      <c r="C529" t="s">
        <v>17</v>
      </c>
      <c r="D529">
        <v>261</v>
      </c>
      <c r="E529">
        <v>200</v>
      </c>
      <c r="F529">
        <v>31</v>
      </c>
      <c r="G529">
        <v>6</v>
      </c>
      <c r="H529">
        <v>11</v>
      </c>
      <c r="I529">
        <v>11</v>
      </c>
      <c r="J529">
        <v>130.5</v>
      </c>
      <c r="K529">
        <v>23.73</v>
      </c>
      <c r="L529">
        <f>_xlfn.XLOOKUP(C529, dim_teams[team_name], dim_teams[team_id], "Not found", 0)</f>
        <v>5</v>
      </c>
    </row>
    <row r="530" spans="1:12" x14ac:dyDescent="0.3">
      <c r="A530" t="s">
        <v>175</v>
      </c>
      <c r="B530">
        <v>2024</v>
      </c>
      <c r="C530" t="s">
        <v>15</v>
      </c>
      <c r="D530">
        <v>38</v>
      </c>
      <c r="E530">
        <v>52</v>
      </c>
      <c r="F530">
        <v>3</v>
      </c>
      <c r="G530">
        <v>0</v>
      </c>
      <c r="H530">
        <v>7</v>
      </c>
      <c r="I530">
        <v>7</v>
      </c>
      <c r="J530">
        <v>73.08</v>
      </c>
      <c r="K530">
        <v>5.43</v>
      </c>
      <c r="L530">
        <f>_xlfn.XLOOKUP(C530, dim_teams[team_name], dim_teams[team_id], "Not found", 0)</f>
        <v>17</v>
      </c>
    </row>
    <row r="531" spans="1:12" x14ac:dyDescent="0.3">
      <c r="A531" t="s">
        <v>175</v>
      </c>
      <c r="B531">
        <v>2025</v>
      </c>
      <c r="C531" t="s">
        <v>102</v>
      </c>
      <c r="D531">
        <v>247</v>
      </c>
      <c r="E531">
        <v>163</v>
      </c>
      <c r="F531">
        <v>22</v>
      </c>
      <c r="G531">
        <v>14</v>
      </c>
      <c r="H531">
        <v>9</v>
      </c>
      <c r="I531">
        <v>10</v>
      </c>
      <c r="J531">
        <v>151.53</v>
      </c>
      <c r="K531">
        <v>27.44</v>
      </c>
      <c r="L531">
        <f>_xlfn.XLOOKUP(C531, dim_teams[team_name], dim_teams[team_id], "Not found", 0)</f>
        <v>19</v>
      </c>
    </row>
    <row r="532" spans="1:12" x14ac:dyDescent="0.3">
      <c r="A532" t="s">
        <v>176</v>
      </c>
      <c r="B532">
        <v>2022</v>
      </c>
      <c r="C532" t="s">
        <v>25</v>
      </c>
      <c r="D532">
        <v>44</v>
      </c>
      <c r="E532">
        <v>28</v>
      </c>
      <c r="F532">
        <v>3</v>
      </c>
      <c r="G532">
        <v>3</v>
      </c>
      <c r="H532">
        <v>4</v>
      </c>
      <c r="I532">
        <v>5</v>
      </c>
      <c r="J532">
        <v>157.13999999999999</v>
      </c>
      <c r="K532">
        <v>11</v>
      </c>
      <c r="L532">
        <f>_xlfn.XLOOKUP(C532, dim_teams[team_name], dim_teams[team_id], "Not found", 0)</f>
        <v>3</v>
      </c>
    </row>
    <row r="533" spans="1:12" x14ac:dyDescent="0.3">
      <c r="A533" t="s">
        <v>177</v>
      </c>
      <c r="B533">
        <v>2008</v>
      </c>
      <c r="C533" t="s">
        <v>17</v>
      </c>
      <c r="D533">
        <v>33</v>
      </c>
      <c r="E533">
        <v>24</v>
      </c>
      <c r="F533">
        <v>5</v>
      </c>
      <c r="G533">
        <v>0</v>
      </c>
      <c r="H533">
        <v>1</v>
      </c>
      <c r="I533">
        <v>3</v>
      </c>
      <c r="J533">
        <v>137.5</v>
      </c>
      <c r="K533">
        <v>33</v>
      </c>
      <c r="L533">
        <f>_xlfn.XLOOKUP(C533, dim_teams[team_name], dim_teams[team_id], "Not found", 0)</f>
        <v>5</v>
      </c>
    </row>
    <row r="534" spans="1:12" x14ac:dyDescent="0.3">
      <c r="A534" t="s">
        <v>178</v>
      </c>
      <c r="B534">
        <v>2015</v>
      </c>
      <c r="C534" t="s">
        <v>21</v>
      </c>
      <c r="D534">
        <v>122</v>
      </c>
      <c r="E534">
        <v>85</v>
      </c>
      <c r="F534">
        <v>12</v>
      </c>
      <c r="G534">
        <v>4</v>
      </c>
      <c r="H534">
        <v>5</v>
      </c>
      <c r="I534">
        <v>7</v>
      </c>
      <c r="J534">
        <v>143.53</v>
      </c>
      <c r="K534">
        <v>24.4</v>
      </c>
      <c r="L534">
        <f>_xlfn.XLOOKUP(C534, dim_teams[team_name], dim_teams[team_id], "Not found", 0)</f>
        <v>2</v>
      </c>
    </row>
    <row r="535" spans="1:12" x14ac:dyDescent="0.3">
      <c r="A535" t="s">
        <v>178</v>
      </c>
      <c r="B535">
        <v>2016</v>
      </c>
      <c r="C535" t="s">
        <v>21</v>
      </c>
      <c r="D535">
        <v>5</v>
      </c>
      <c r="E535">
        <v>4</v>
      </c>
      <c r="F535">
        <v>0</v>
      </c>
      <c r="G535">
        <v>0</v>
      </c>
      <c r="H535">
        <v>0</v>
      </c>
      <c r="I535">
        <v>1</v>
      </c>
      <c r="J535">
        <v>125</v>
      </c>
      <c r="L535">
        <f>_xlfn.XLOOKUP(C535, dim_teams[team_name], dim_teams[team_id], "Not found", 0)</f>
        <v>2</v>
      </c>
    </row>
    <row r="536" spans="1:12" x14ac:dyDescent="0.3">
      <c r="A536" t="s">
        <v>178</v>
      </c>
      <c r="B536">
        <v>2023</v>
      </c>
      <c r="C536" t="s">
        <v>19</v>
      </c>
      <c r="D536">
        <v>21</v>
      </c>
      <c r="E536">
        <v>11</v>
      </c>
      <c r="F536">
        <v>0</v>
      </c>
      <c r="G536">
        <v>3</v>
      </c>
      <c r="H536">
        <v>1</v>
      </c>
      <c r="I536">
        <v>3</v>
      </c>
      <c r="J536">
        <v>190.91</v>
      </c>
      <c r="K536">
        <v>21</v>
      </c>
      <c r="L536">
        <f>_xlfn.XLOOKUP(C536, dim_teams[team_name], dim_teams[team_id], "Not found", 0)</f>
        <v>1</v>
      </c>
    </row>
    <row r="537" spans="1:12" x14ac:dyDescent="0.3">
      <c r="A537" t="s">
        <v>179</v>
      </c>
      <c r="B537">
        <v>2009</v>
      </c>
      <c r="C537" t="s">
        <v>21</v>
      </c>
      <c r="D537">
        <v>10</v>
      </c>
      <c r="E537">
        <v>13</v>
      </c>
      <c r="F537">
        <v>0</v>
      </c>
      <c r="G537">
        <v>0</v>
      </c>
      <c r="H537">
        <v>1</v>
      </c>
      <c r="I537">
        <v>1</v>
      </c>
      <c r="J537">
        <v>76.92</v>
      </c>
      <c r="K537">
        <v>10</v>
      </c>
      <c r="L537">
        <f>_xlfn.XLOOKUP(C537, dim_teams[team_name], dim_teams[team_id], "Not found", 0)</f>
        <v>2</v>
      </c>
    </row>
    <row r="538" spans="1:12" x14ac:dyDescent="0.3">
      <c r="A538" t="s">
        <v>180</v>
      </c>
      <c r="B538">
        <v>2012</v>
      </c>
      <c r="C538" t="s">
        <v>54</v>
      </c>
      <c r="D538">
        <v>98</v>
      </c>
      <c r="E538">
        <v>75</v>
      </c>
      <c r="F538">
        <v>6</v>
      </c>
      <c r="G538">
        <v>4</v>
      </c>
      <c r="H538">
        <v>2</v>
      </c>
      <c r="I538">
        <v>6</v>
      </c>
      <c r="J538">
        <v>130.66999999999999</v>
      </c>
      <c r="K538">
        <v>49</v>
      </c>
      <c r="L538">
        <f>_xlfn.XLOOKUP(C538, dim_teams[team_name], dim_teams[team_id], "Not found", 0)</f>
        <v>4</v>
      </c>
    </row>
    <row r="539" spans="1:12" x14ac:dyDescent="0.3">
      <c r="A539" t="s">
        <v>180</v>
      </c>
      <c r="B539">
        <v>2013</v>
      </c>
      <c r="C539" t="s">
        <v>54</v>
      </c>
      <c r="D539">
        <v>418</v>
      </c>
      <c r="E539">
        <v>253</v>
      </c>
      <c r="F539">
        <v>28</v>
      </c>
      <c r="G539">
        <v>24</v>
      </c>
      <c r="H539">
        <v>8</v>
      </c>
      <c r="I539">
        <v>12</v>
      </c>
      <c r="J539">
        <v>165.22</v>
      </c>
      <c r="K539">
        <v>52.25</v>
      </c>
      <c r="L539">
        <f>_xlfn.XLOOKUP(C539, dim_teams[team_name], dim_teams[team_id], "Not found", 0)</f>
        <v>4</v>
      </c>
    </row>
    <row r="540" spans="1:12" x14ac:dyDescent="0.3">
      <c r="A540" t="s">
        <v>180</v>
      </c>
      <c r="B540">
        <v>2014</v>
      </c>
      <c r="C540" t="s">
        <v>54</v>
      </c>
      <c r="D540">
        <v>446</v>
      </c>
      <c r="E540">
        <v>299</v>
      </c>
      <c r="F540">
        <v>34</v>
      </c>
      <c r="G540">
        <v>21</v>
      </c>
      <c r="H540">
        <v>9</v>
      </c>
      <c r="I540">
        <v>16</v>
      </c>
      <c r="J540">
        <v>149.16</v>
      </c>
      <c r="K540">
        <v>49.56</v>
      </c>
      <c r="L540">
        <f>_xlfn.XLOOKUP(C540, dim_teams[team_name], dim_teams[team_id], "Not found", 0)</f>
        <v>4</v>
      </c>
    </row>
    <row r="541" spans="1:12" x14ac:dyDescent="0.3">
      <c r="A541" t="s">
        <v>180</v>
      </c>
      <c r="B541">
        <v>2015</v>
      </c>
      <c r="C541" t="s">
        <v>54</v>
      </c>
      <c r="D541">
        <v>357</v>
      </c>
      <c r="E541">
        <v>267</v>
      </c>
      <c r="F541">
        <v>21</v>
      </c>
      <c r="G541">
        <v>21</v>
      </c>
      <c r="H541">
        <v>13</v>
      </c>
      <c r="I541">
        <v>13</v>
      </c>
      <c r="J541">
        <v>133.71</v>
      </c>
      <c r="K541">
        <v>27.46</v>
      </c>
      <c r="L541">
        <f>_xlfn.XLOOKUP(C541, dim_teams[team_name], dim_teams[team_id], "Not found", 0)</f>
        <v>4</v>
      </c>
    </row>
    <row r="542" spans="1:12" x14ac:dyDescent="0.3">
      <c r="A542" t="s">
        <v>180</v>
      </c>
      <c r="B542">
        <v>2016</v>
      </c>
      <c r="C542" t="s">
        <v>54</v>
      </c>
      <c r="D542">
        <v>161</v>
      </c>
      <c r="E542">
        <v>130</v>
      </c>
      <c r="F542">
        <v>11</v>
      </c>
      <c r="G542">
        <v>4</v>
      </c>
      <c r="H542">
        <v>10</v>
      </c>
      <c r="I542">
        <v>13</v>
      </c>
      <c r="J542">
        <v>123.85</v>
      </c>
      <c r="K542">
        <v>16.100000000000001</v>
      </c>
      <c r="L542">
        <f>_xlfn.XLOOKUP(C542, dim_teams[team_name], dim_teams[team_id], "Not found", 0)</f>
        <v>4</v>
      </c>
    </row>
    <row r="543" spans="1:12" x14ac:dyDescent="0.3">
      <c r="A543" t="s">
        <v>180</v>
      </c>
      <c r="B543">
        <v>2017</v>
      </c>
      <c r="C543" t="s">
        <v>54</v>
      </c>
      <c r="D543">
        <v>83</v>
      </c>
      <c r="E543">
        <v>78</v>
      </c>
      <c r="F543">
        <v>4</v>
      </c>
      <c r="G543">
        <v>4</v>
      </c>
      <c r="H543">
        <v>3</v>
      </c>
      <c r="I543">
        <v>4</v>
      </c>
      <c r="J543">
        <v>106.41</v>
      </c>
      <c r="K543">
        <v>27.67</v>
      </c>
      <c r="L543">
        <f>_xlfn.XLOOKUP(C543, dim_teams[team_name], dim_teams[team_id], "Not found", 0)</f>
        <v>4</v>
      </c>
    </row>
    <row r="544" spans="1:12" x14ac:dyDescent="0.3">
      <c r="A544" t="s">
        <v>180</v>
      </c>
      <c r="B544">
        <v>2018</v>
      </c>
      <c r="C544" t="s">
        <v>54</v>
      </c>
      <c r="D544">
        <v>74</v>
      </c>
      <c r="E544">
        <v>63</v>
      </c>
      <c r="F544">
        <v>3</v>
      </c>
      <c r="G544">
        <v>2</v>
      </c>
      <c r="H544">
        <v>2</v>
      </c>
      <c r="I544">
        <v>3</v>
      </c>
      <c r="J544">
        <v>117.46</v>
      </c>
      <c r="K544">
        <v>37</v>
      </c>
      <c r="L544">
        <f>_xlfn.XLOOKUP(C544, dim_teams[team_name], dim_teams[team_id], "Not found", 0)</f>
        <v>4</v>
      </c>
    </row>
    <row r="545" spans="1:12" x14ac:dyDescent="0.3">
      <c r="A545" t="s">
        <v>180</v>
      </c>
      <c r="B545">
        <v>2019</v>
      </c>
      <c r="C545" t="s">
        <v>54</v>
      </c>
      <c r="D545">
        <v>213</v>
      </c>
      <c r="E545">
        <v>163</v>
      </c>
      <c r="F545">
        <v>19</v>
      </c>
      <c r="G545">
        <v>7</v>
      </c>
      <c r="H545">
        <v>8</v>
      </c>
      <c r="I545">
        <v>10</v>
      </c>
      <c r="J545">
        <v>130.66999999999999</v>
      </c>
      <c r="K545">
        <v>26.62</v>
      </c>
      <c r="L545">
        <f>_xlfn.XLOOKUP(C545, dim_teams[team_name], dim_teams[team_id], "Not found", 0)</f>
        <v>4</v>
      </c>
    </row>
    <row r="546" spans="1:12" x14ac:dyDescent="0.3">
      <c r="A546" t="s">
        <v>180</v>
      </c>
      <c r="B546">
        <v>2021</v>
      </c>
      <c r="C546" t="s">
        <v>17</v>
      </c>
      <c r="D546">
        <v>124</v>
      </c>
      <c r="E546">
        <v>113</v>
      </c>
      <c r="F546">
        <v>11</v>
      </c>
      <c r="G546">
        <v>3</v>
      </c>
      <c r="H546">
        <v>5</v>
      </c>
      <c r="I546">
        <v>8</v>
      </c>
      <c r="J546">
        <v>109.73</v>
      </c>
      <c r="K546">
        <v>24.8</v>
      </c>
      <c r="L546">
        <f>_xlfn.XLOOKUP(C546, dim_teams[team_name], dim_teams[team_id], "Not found", 0)</f>
        <v>5</v>
      </c>
    </row>
    <row r="547" spans="1:12" x14ac:dyDescent="0.3">
      <c r="A547" t="s">
        <v>180</v>
      </c>
      <c r="B547">
        <v>2022</v>
      </c>
      <c r="C547" t="s">
        <v>29</v>
      </c>
      <c r="D547">
        <v>481</v>
      </c>
      <c r="E547">
        <v>335</v>
      </c>
      <c r="F547">
        <v>32</v>
      </c>
      <c r="G547">
        <v>23</v>
      </c>
      <c r="H547">
        <v>9</v>
      </c>
      <c r="I547">
        <v>16</v>
      </c>
      <c r="J547">
        <v>143.58000000000001</v>
      </c>
      <c r="K547">
        <v>53.44</v>
      </c>
      <c r="L547">
        <f>_xlfn.XLOOKUP(C547, dim_teams[team_name], dim_teams[team_id], "Not found", 0)</f>
        <v>18</v>
      </c>
    </row>
    <row r="548" spans="1:12" x14ac:dyDescent="0.3">
      <c r="A548" t="s">
        <v>180</v>
      </c>
      <c r="B548">
        <v>2023</v>
      </c>
      <c r="C548" t="s">
        <v>29</v>
      </c>
      <c r="D548">
        <v>259</v>
      </c>
      <c r="E548">
        <v>178</v>
      </c>
      <c r="F548">
        <v>18</v>
      </c>
      <c r="G548">
        <v>13</v>
      </c>
      <c r="H548">
        <v>8</v>
      </c>
      <c r="I548">
        <v>13</v>
      </c>
      <c r="J548">
        <v>145.51</v>
      </c>
      <c r="K548">
        <v>32.380000000000003</v>
      </c>
      <c r="L548">
        <f>_xlfn.XLOOKUP(C548, dim_teams[team_name], dim_teams[team_id], "Not found", 0)</f>
        <v>18</v>
      </c>
    </row>
    <row r="549" spans="1:12" x14ac:dyDescent="0.3">
      <c r="A549" t="s">
        <v>180</v>
      </c>
      <c r="B549">
        <v>2024</v>
      </c>
      <c r="C549" t="s">
        <v>29</v>
      </c>
      <c r="D549">
        <v>210</v>
      </c>
      <c r="E549">
        <v>139</v>
      </c>
      <c r="F549">
        <v>20</v>
      </c>
      <c r="G549">
        <v>8</v>
      </c>
      <c r="H549">
        <v>7</v>
      </c>
      <c r="I549">
        <v>9</v>
      </c>
      <c r="J549">
        <v>151.08000000000001</v>
      </c>
      <c r="K549">
        <v>30</v>
      </c>
      <c r="L549">
        <f>_xlfn.XLOOKUP(C549, dim_teams[team_name], dim_teams[team_id], "Not found", 0)</f>
        <v>18</v>
      </c>
    </row>
    <row r="550" spans="1:12" x14ac:dyDescent="0.3">
      <c r="A550" t="s">
        <v>180</v>
      </c>
      <c r="B550">
        <v>2025</v>
      </c>
      <c r="C550" t="s">
        <v>15</v>
      </c>
      <c r="D550">
        <v>153</v>
      </c>
      <c r="E550">
        <v>119</v>
      </c>
      <c r="F550">
        <v>13</v>
      </c>
      <c r="G550">
        <v>4</v>
      </c>
      <c r="H550">
        <v>5</v>
      </c>
      <c r="I550">
        <v>10</v>
      </c>
      <c r="J550">
        <v>128.57</v>
      </c>
      <c r="K550">
        <v>30.6</v>
      </c>
      <c r="L550">
        <f>_xlfn.XLOOKUP(C550, dim_teams[team_name], dim_teams[team_id], "Not found", 0)</f>
        <v>17</v>
      </c>
    </row>
    <row r="551" spans="1:12" x14ac:dyDescent="0.3">
      <c r="A551" t="s">
        <v>181</v>
      </c>
      <c r="B551">
        <v>2009</v>
      </c>
      <c r="C551" t="s">
        <v>32</v>
      </c>
      <c r="D551">
        <v>163</v>
      </c>
      <c r="E551">
        <v>132</v>
      </c>
      <c r="F551">
        <v>16</v>
      </c>
      <c r="G551">
        <v>5</v>
      </c>
      <c r="H551">
        <v>7</v>
      </c>
      <c r="I551">
        <v>7</v>
      </c>
      <c r="J551">
        <v>123.48</v>
      </c>
      <c r="K551">
        <v>23.29</v>
      </c>
      <c r="L551">
        <f>_xlfn.XLOOKUP(C551, dim_teams[team_name], dim_teams[team_id], "Not found", 0)</f>
        <v>6</v>
      </c>
    </row>
    <row r="552" spans="1:12" x14ac:dyDescent="0.3">
      <c r="A552" t="s">
        <v>181</v>
      </c>
      <c r="B552">
        <v>2010</v>
      </c>
      <c r="C552" t="s">
        <v>32</v>
      </c>
      <c r="D552">
        <v>282</v>
      </c>
      <c r="E552">
        <v>189</v>
      </c>
      <c r="F552">
        <v>27</v>
      </c>
      <c r="G552">
        <v>14</v>
      </c>
      <c r="H552">
        <v>10</v>
      </c>
      <c r="I552">
        <v>11</v>
      </c>
      <c r="J552">
        <v>149.21</v>
      </c>
      <c r="K552">
        <v>28.2</v>
      </c>
      <c r="L552">
        <f>_xlfn.XLOOKUP(C552, dim_teams[team_name], dim_teams[team_id], "Not found", 0)</f>
        <v>6</v>
      </c>
    </row>
    <row r="553" spans="1:12" x14ac:dyDescent="0.3">
      <c r="A553" t="s">
        <v>181</v>
      </c>
      <c r="B553">
        <v>2011</v>
      </c>
      <c r="C553" t="s">
        <v>32</v>
      </c>
      <c r="D553">
        <v>324</v>
      </c>
      <c r="E553">
        <v>275</v>
      </c>
      <c r="F553">
        <v>34</v>
      </c>
      <c r="G553">
        <v>11</v>
      </c>
      <c r="H553">
        <v>13</v>
      </c>
      <c r="I553">
        <v>13</v>
      </c>
      <c r="J553">
        <v>117.82</v>
      </c>
      <c r="K553">
        <v>24.92</v>
      </c>
      <c r="L553">
        <f>_xlfn.XLOOKUP(C553, dim_teams[team_name], dim_teams[team_id], "Not found", 0)</f>
        <v>6</v>
      </c>
    </row>
    <row r="554" spans="1:12" x14ac:dyDescent="0.3">
      <c r="A554" t="s">
        <v>181</v>
      </c>
      <c r="B554">
        <v>2012</v>
      </c>
      <c r="C554" t="s">
        <v>32</v>
      </c>
      <c r="D554">
        <v>256</v>
      </c>
      <c r="E554">
        <v>155</v>
      </c>
      <c r="F554">
        <v>28</v>
      </c>
      <c r="G554">
        <v>14</v>
      </c>
      <c r="H554">
        <v>7</v>
      </c>
      <c r="I554">
        <v>8</v>
      </c>
      <c r="J554">
        <v>165.16</v>
      </c>
      <c r="K554">
        <v>36.57</v>
      </c>
      <c r="L554">
        <f>_xlfn.XLOOKUP(C554, dim_teams[team_name], dim_teams[team_id], "Not found", 0)</f>
        <v>6</v>
      </c>
    </row>
    <row r="555" spans="1:12" x14ac:dyDescent="0.3">
      <c r="A555" t="s">
        <v>181</v>
      </c>
      <c r="B555">
        <v>2013</v>
      </c>
      <c r="C555" t="s">
        <v>32</v>
      </c>
      <c r="D555">
        <v>410</v>
      </c>
      <c r="E555">
        <v>324</v>
      </c>
      <c r="F555">
        <v>41</v>
      </c>
      <c r="G555">
        <v>14</v>
      </c>
      <c r="H555">
        <v>14</v>
      </c>
      <c r="I555">
        <v>16</v>
      </c>
      <c r="J555">
        <v>126.54</v>
      </c>
      <c r="K555">
        <v>29.29</v>
      </c>
      <c r="L555">
        <f>_xlfn.XLOOKUP(C555, dim_teams[team_name], dim_teams[team_id], "Not found", 0)</f>
        <v>6</v>
      </c>
    </row>
    <row r="556" spans="1:12" x14ac:dyDescent="0.3">
      <c r="A556" t="s">
        <v>181</v>
      </c>
      <c r="B556">
        <v>2014</v>
      </c>
      <c r="C556" t="s">
        <v>13</v>
      </c>
      <c r="D556">
        <v>528</v>
      </c>
      <c r="E556">
        <v>371</v>
      </c>
      <c r="F556">
        <v>39</v>
      </c>
      <c r="G556">
        <v>24</v>
      </c>
      <c r="H556">
        <v>12</v>
      </c>
      <c r="I556">
        <v>14</v>
      </c>
      <c r="J556">
        <v>142.32</v>
      </c>
      <c r="K556">
        <v>44</v>
      </c>
      <c r="L556">
        <f>_xlfn.XLOOKUP(C556, dim_teams[team_name], dim_teams[team_id], "Not found", 0)</f>
        <v>11</v>
      </c>
    </row>
    <row r="557" spans="1:12" x14ac:dyDescent="0.3">
      <c r="A557" t="s">
        <v>181</v>
      </c>
      <c r="B557">
        <v>2015</v>
      </c>
      <c r="C557" t="s">
        <v>13</v>
      </c>
      <c r="D557">
        <v>562</v>
      </c>
      <c r="E557">
        <v>356</v>
      </c>
      <c r="F557">
        <v>65</v>
      </c>
      <c r="G557">
        <v>21</v>
      </c>
      <c r="H557">
        <v>12</v>
      </c>
      <c r="I557">
        <v>14</v>
      </c>
      <c r="J557">
        <v>157.87</v>
      </c>
      <c r="K557">
        <v>46.83</v>
      </c>
      <c r="L557">
        <f>_xlfn.XLOOKUP(C557, dim_teams[team_name], dim_teams[team_id], "Not found", 0)</f>
        <v>11</v>
      </c>
    </row>
    <row r="558" spans="1:12" x14ac:dyDescent="0.3">
      <c r="A558" t="s">
        <v>181</v>
      </c>
      <c r="B558">
        <v>2016</v>
      </c>
      <c r="C558" t="s">
        <v>13</v>
      </c>
      <c r="D558">
        <v>848</v>
      </c>
      <c r="E558">
        <v>558</v>
      </c>
      <c r="F558">
        <v>88</v>
      </c>
      <c r="G558">
        <v>31</v>
      </c>
      <c r="H558">
        <v>16</v>
      </c>
      <c r="I558">
        <v>17</v>
      </c>
      <c r="J558">
        <v>151.97</v>
      </c>
      <c r="K558">
        <v>53</v>
      </c>
      <c r="L558">
        <f>_xlfn.XLOOKUP(C558, dim_teams[team_name], dim_teams[team_id], "Not found", 0)</f>
        <v>11</v>
      </c>
    </row>
    <row r="559" spans="1:12" x14ac:dyDescent="0.3">
      <c r="A559" t="s">
        <v>181</v>
      </c>
      <c r="B559">
        <v>2017</v>
      </c>
      <c r="C559" t="s">
        <v>13</v>
      </c>
      <c r="D559">
        <v>641</v>
      </c>
      <c r="E559">
        <v>449</v>
      </c>
      <c r="F559">
        <v>63</v>
      </c>
      <c r="G559">
        <v>26</v>
      </c>
      <c r="H559">
        <v>11</v>
      </c>
      <c r="I559">
        <v>14</v>
      </c>
      <c r="J559">
        <v>142.76</v>
      </c>
      <c r="K559">
        <v>58.27</v>
      </c>
      <c r="L559">
        <f>_xlfn.XLOOKUP(C559, dim_teams[team_name], dim_teams[team_id], "Not found", 0)</f>
        <v>11</v>
      </c>
    </row>
    <row r="560" spans="1:12" x14ac:dyDescent="0.3">
      <c r="A560" t="s">
        <v>181</v>
      </c>
      <c r="B560">
        <v>2019</v>
      </c>
      <c r="C560" t="s">
        <v>13</v>
      </c>
      <c r="D560">
        <v>692</v>
      </c>
      <c r="E560">
        <v>481</v>
      </c>
      <c r="F560">
        <v>57</v>
      </c>
      <c r="G560">
        <v>21</v>
      </c>
      <c r="H560">
        <v>12</v>
      </c>
      <c r="I560">
        <v>12</v>
      </c>
      <c r="J560">
        <v>143.87</v>
      </c>
      <c r="K560">
        <v>57.67</v>
      </c>
      <c r="L560">
        <f>_xlfn.XLOOKUP(C560, dim_teams[team_name], dim_teams[team_id], "Not found", 0)</f>
        <v>11</v>
      </c>
    </row>
    <row r="561" spans="1:12" x14ac:dyDescent="0.3">
      <c r="A561" t="s">
        <v>181</v>
      </c>
      <c r="B561">
        <v>2020</v>
      </c>
      <c r="C561" t="s">
        <v>13</v>
      </c>
      <c r="D561">
        <v>548</v>
      </c>
      <c r="E561">
        <v>406</v>
      </c>
      <c r="F561">
        <v>52</v>
      </c>
      <c r="G561">
        <v>14</v>
      </c>
      <c r="H561">
        <v>14</v>
      </c>
      <c r="I561">
        <v>16</v>
      </c>
      <c r="J561">
        <v>134.97999999999999</v>
      </c>
      <c r="K561">
        <v>39.14</v>
      </c>
      <c r="L561">
        <f>_xlfn.XLOOKUP(C561, dim_teams[team_name], dim_teams[team_id], "Not found", 0)</f>
        <v>11</v>
      </c>
    </row>
    <row r="562" spans="1:12" x14ac:dyDescent="0.3">
      <c r="A562" t="s">
        <v>181</v>
      </c>
      <c r="B562">
        <v>2021</v>
      </c>
      <c r="C562" t="s">
        <v>13</v>
      </c>
      <c r="D562">
        <v>197</v>
      </c>
      <c r="E562">
        <v>184</v>
      </c>
      <c r="F562">
        <v>15</v>
      </c>
      <c r="G562">
        <v>6</v>
      </c>
      <c r="H562">
        <v>6</v>
      </c>
      <c r="I562">
        <v>8</v>
      </c>
      <c r="J562">
        <v>107.07</v>
      </c>
      <c r="K562">
        <v>32.83</v>
      </c>
      <c r="L562">
        <f>_xlfn.XLOOKUP(C562, dim_teams[team_name], dim_teams[team_id], "Not found", 0)</f>
        <v>11</v>
      </c>
    </row>
    <row r="563" spans="1:12" x14ac:dyDescent="0.3">
      <c r="A563" t="s">
        <v>181</v>
      </c>
      <c r="B563">
        <v>2022</v>
      </c>
      <c r="C563" t="s">
        <v>33</v>
      </c>
      <c r="D563">
        <v>432</v>
      </c>
      <c r="E563">
        <v>285</v>
      </c>
      <c r="F563">
        <v>52</v>
      </c>
      <c r="G563">
        <v>15</v>
      </c>
      <c r="H563">
        <v>9</v>
      </c>
      <c r="I563">
        <v>12</v>
      </c>
      <c r="J563">
        <v>151.58000000000001</v>
      </c>
      <c r="K563">
        <v>48</v>
      </c>
      <c r="L563">
        <f>_xlfn.XLOOKUP(C563, dim_teams[team_name], dim_teams[team_id], "Not found", 0)</f>
        <v>15</v>
      </c>
    </row>
    <row r="564" spans="1:12" x14ac:dyDescent="0.3">
      <c r="A564" t="s">
        <v>181</v>
      </c>
      <c r="B564">
        <v>2023</v>
      </c>
      <c r="C564" t="s">
        <v>33</v>
      </c>
      <c r="D564">
        <v>516</v>
      </c>
      <c r="E564">
        <v>391</v>
      </c>
      <c r="F564">
        <v>69</v>
      </c>
      <c r="G564">
        <v>10</v>
      </c>
      <c r="H564">
        <v>13</v>
      </c>
      <c r="I564">
        <v>14</v>
      </c>
      <c r="J564">
        <v>131.97</v>
      </c>
      <c r="K564">
        <v>39.69</v>
      </c>
      <c r="L564">
        <f>_xlfn.XLOOKUP(C564, dim_teams[team_name], dim_teams[team_id], "Not found", 0)</f>
        <v>15</v>
      </c>
    </row>
    <row r="565" spans="1:12" x14ac:dyDescent="0.3">
      <c r="A565" t="s">
        <v>181</v>
      </c>
      <c r="B565">
        <v>2024</v>
      </c>
      <c r="C565" t="s">
        <v>33</v>
      </c>
      <c r="D565">
        <v>168</v>
      </c>
      <c r="E565">
        <v>124</v>
      </c>
      <c r="F565">
        <v>17</v>
      </c>
      <c r="G565">
        <v>10</v>
      </c>
      <c r="H565">
        <v>8</v>
      </c>
      <c r="I565">
        <v>8</v>
      </c>
      <c r="J565">
        <v>135.47999999999999</v>
      </c>
      <c r="K565">
        <v>21</v>
      </c>
      <c r="L565">
        <f>_xlfn.XLOOKUP(C565, dim_teams[team_name], dim_teams[team_id], "Not found", 0)</f>
        <v>15</v>
      </c>
    </row>
    <row r="566" spans="1:12" x14ac:dyDescent="0.3">
      <c r="A566" t="s">
        <v>182</v>
      </c>
      <c r="B566">
        <v>2012</v>
      </c>
      <c r="C566" t="s">
        <v>32</v>
      </c>
      <c r="D566">
        <v>12</v>
      </c>
      <c r="E566">
        <v>9</v>
      </c>
      <c r="F566">
        <v>1</v>
      </c>
      <c r="G566">
        <v>0</v>
      </c>
      <c r="H566">
        <v>0</v>
      </c>
      <c r="I566">
        <v>1</v>
      </c>
      <c r="J566">
        <v>133.33000000000001</v>
      </c>
      <c r="L566">
        <f>_xlfn.XLOOKUP(C566, dim_teams[team_name], dim_teams[team_id], "Not found", 0)</f>
        <v>6</v>
      </c>
    </row>
    <row r="567" spans="1:12" x14ac:dyDescent="0.3">
      <c r="A567" t="s">
        <v>183</v>
      </c>
      <c r="B567">
        <v>2008</v>
      </c>
      <c r="C567" t="s">
        <v>19</v>
      </c>
      <c r="D567">
        <v>103</v>
      </c>
      <c r="E567">
        <v>94</v>
      </c>
      <c r="F567">
        <v>9</v>
      </c>
      <c r="G567">
        <v>5</v>
      </c>
      <c r="H567">
        <v>6</v>
      </c>
      <c r="I567">
        <v>6</v>
      </c>
      <c r="J567">
        <v>109.57</v>
      </c>
      <c r="K567">
        <v>17.170000000000002</v>
      </c>
      <c r="L567">
        <f>_xlfn.XLOOKUP(C567, dim_teams[team_name], dim_teams[team_id], "Not found", 0)</f>
        <v>1</v>
      </c>
    </row>
    <row r="568" spans="1:12" x14ac:dyDescent="0.3">
      <c r="A568" t="s">
        <v>183</v>
      </c>
      <c r="B568">
        <v>2012</v>
      </c>
      <c r="C568" t="s">
        <v>19</v>
      </c>
      <c r="D568">
        <v>126</v>
      </c>
      <c r="E568">
        <v>92</v>
      </c>
      <c r="F568">
        <v>9</v>
      </c>
      <c r="G568">
        <v>6</v>
      </c>
      <c r="H568">
        <v>1</v>
      </c>
      <c r="I568">
        <v>10</v>
      </c>
      <c r="J568">
        <v>136.96</v>
      </c>
      <c r="K568">
        <v>126</v>
      </c>
      <c r="L568">
        <f>_xlfn.XLOOKUP(C568, dim_teams[team_name], dim_teams[team_id], "Not found", 0)</f>
        <v>1</v>
      </c>
    </row>
    <row r="569" spans="1:12" x14ac:dyDescent="0.3">
      <c r="A569" t="s">
        <v>183</v>
      </c>
      <c r="B569">
        <v>2013</v>
      </c>
      <c r="C569" t="s">
        <v>19</v>
      </c>
      <c r="D569">
        <v>75</v>
      </c>
      <c r="E569">
        <v>74</v>
      </c>
      <c r="F569">
        <v>5</v>
      </c>
      <c r="G569">
        <v>5</v>
      </c>
      <c r="H569">
        <v>5</v>
      </c>
      <c r="I569">
        <v>6</v>
      </c>
      <c r="J569">
        <v>101.35</v>
      </c>
      <c r="K569">
        <v>15</v>
      </c>
      <c r="L569">
        <f>_xlfn.XLOOKUP(C569, dim_teams[team_name], dim_teams[team_id], "Not found", 0)</f>
        <v>1</v>
      </c>
    </row>
    <row r="570" spans="1:12" x14ac:dyDescent="0.3">
      <c r="A570" t="s">
        <v>184</v>
      </c>
      <c r="B570">
        <v>2008</v>
      </c>
      <c r="C570" t="s">
        <v>12</v>
      </c>
      <c r="D570">
        <v>109</v>
      </c>
      <c r="E570">
        <v>81</v>
      </c>
      <c r="F570">
        <v>10</v>
      </c>
      <c r="G570">
        <v>5</v>
      </c>
      <c r="H570">
        <v>6</v>
      </c>
      <c r="I570">
        <v>6</v>
      </c>
      <c r="J570">
        <v>134.57</v>
      </c>
      <c r="K570">
        <v>18.170000000000002</v>
      </c>
      <c r="L570">
        <f>_xlfn.XLOOKUP(C570, dim_teams[team_name], dim_teams[team_id], "Not found", 0)</f>
        <v>8</v>
      </c>
    </row>
    <row r="571" spans="1:12" x14ac:dyDescent="0.3">
      <c r="A571" t="s">
        <v>184</v>
      </c>
      <c r="B571">
        <v>2009</v>
      </c>
      <c r="C571" t="s">
        <v>12</v>
      </c>
      <c r="D571">
        <v>65</v>
      </c>
      <c r="E571">
        <v>70</v>
      </c>
      <c r="F571">
        <v>7</v>
      </c>
      <c r="G571">
        <v>0</v>
      </c>
      <c r="H571">
        <v>4</v>
      </c>
      <c r="I571">
        <v>6</v>
      </c>
      <c r="J571">
        <v>92.86</v>
      </c>
      <c r="K571">
        <v>16.25</v>
      </c>
      <c r="L571">
        <f>_xlfn.XLOOKUP(C571, dim_teams[team_name], dim_teams[team_id], "Not found", 0)</f>
        <v>8</v>
      </c>
    </row>
    <row r="572" spans="1:12" x14ac:dyDescent="0.3">
      <c r="A572" t="s">
        <v>184</v>
      </c>
      <c r="B572">
        <v>2011</v>
      </c>
      <c r="C572" t="s">
        <v>12</v>
      </c>
      <c r="D572">
        <v>183</v>
      </c>
      <c r="E572">
        <v>143</v>
      </c>
      <c r="F572">
        <v>17</v>
      </c>
      <c r="G572">
        <v>4</v>
      </c>
      <c r="H572">
        <v>7</v>
      </c>
      <c r="I572">
        <v>9</v>
      </c>
      <c r="J572">
        <v>127.97</v>
      </c>
      <c r="K572">
        <v>26.14</v>
      </c>
      <c r="L572">
        <f>_xlfn.XLOOKUP(C572, dim_teams[team_name], dim_teams[team_id], "Not found", 0)</f>
        <v>8</v>
      </c>
    </row>
    <row r="573" spans="1:12" x14ac:dyDescent="0.3">
      <c r="A573" t="s">
        <v>184</v>
      </c>
      <c r="B573">
        <v>2012</v>
      </c>
      <c r="C573" t="s">
        <v>12</v>
      </c>
      <c r="D573">
        <v>4</v>
      </c>
      <c r="E573">
        <v>4</v>
      </c>
      <c r="F573">
        <v>1</v>
      </c>
      <c r="G573">
        <v>0</v>
      </c>
      <c r="H573">
        <v>2</v>
      </c>
      <c r="I573">
        <v>2</v>
      </c>
      <c r="J573">
        <v>100</v>
      </c>
      <c r="K573">
        <v>2</v>
      </c>
      <c r="L573">
        <f>_xlfn.XLOOKUP(C573, dim_teams[team_name], dim_teams[team_id], "Not found", 0)</f>
        <v>8</v>
      </c>
    </row>
    <row r="574" spans="1:12" x14ac:dyDescent="0.3">
      <c r="A574" t="s">
        <v>184</v>
      </c>
      <c r="B574">
        <v>2013</v>
      </c>
      <c r="C574" t="s">
        <v>13</v>
      </c>
      <c r="D574">
        <v>14</v>
      </c>
      <c r="E574">
        <v>17</v>
      </c>
      <c r="F574">
        <v>0</v>
      </c>
      <c r="G574">
        <v>0</v>
      </c>
      <c r="H574">
        <v>1</v>
      </c>
      <c r="I574">
        <v>2</v>
      </c>
      <c r="J574">
        <v>82.35</v>
      </c>
      <c r="K574">
        <v>14</v>
      </c>
      <c r="L574">
        <f>_xlfn.XLOOKUP(C574, dim_teams[team_name], dim_teams[team_id], "Not found", 0)</f>
        <v>11</v>
      </c>
    </row>
    <row r="575" spans="1:12" x14ac:dyDescent="0.3">
      <c r="A575" t="s">
        <v>185</v>
      </c>
      <c r="B575">
        <v>2010</v>
      </c>
      <c r="C575" t="s">
        <v>25</v>
      </c>
      <c r="D575">
        <v>18</v>
      </c>
      <c r="E575">
        <v>16</v>
      </c>
      <c r="F575">
        <v>1</v>
      </c>
      <c r="G575">
        <v>1</v>
      </c>
      <c r="H575">
        <v>0</v>
      </c>
      <c r="I575">
        <v>2</v>
      </c>
      <c r="J575">
        <v>112.5</v>
      </c>
      <c r="L575">
        <f>_xlfn.XLOOKUP(C575, dim_teams[team_name], dim_teams[team_id], "Not found", 0)</f>
        <v>3</v>
      </c>
    </row>
    <row r="576" spans="1:12" x14ac:dyDescent="0.3">
      <c r="A576" t="s">
        <v>185</v>
      </c>
      <c r="B576">
        <v>2011</v>
      </c>
      <c r="C576" t="s">
        <v>25</v>
      </c>
      <c r="D576">
        <v>0</v>
      </c>
      <c r="E576">
        <v>1</v>
      </c>
      <c r="F576">
        <v>0</v>
      </c>
      <c r="G576">
        <v>0</v>
      </c>
      <c r="H576">
        <v>0</v>
      </c>
      <c r="I576">
        <v>1</v>
      </c>
      <c r="J576">
        <v>0</v>
      </c>
      <c r="L576">
        <f>_xlfn.XLOOKUP(C576, dim_teams[team_name], dim_teams[team_id], "Not found", 0)</f>
        <v>3</v>
      </c>
    </row>
    <row r="577" spans="1:12" x14ac:dyDescent="0.3">
      <c r="A577" t="s">
        <v>185</v>
      </c>
      <c r="B577">
        <v>2012</v>
      </c>
      <c r="C577" t="s">
        <v>25</v>
      </c>
      <c r="D577">
        <v>3</v>
      </c>
      <c r="E577">
        <v>5</v>
      </c>
      <c r="F577">
        <v>0</v>
      </c>
      <c r="G577">
        <v>0</v>
      </c>
      <c r="H577">
        <v>1</v>
      </c>
      <c r="I577">
        <v>1</v>
      </c>
      <c r="J577">
        <v>60</v>
      </c>
      <c r="K577">
        <v>3</v>
      </c>
      <c r="L577">
        <f>_xlfn.XLOOKUP(C577, dim_teams[team_name], dim_teams[team_id], "Not found", 0)</f>
        <v>3</v>
      </c>
    </row>
    <row r="578" spans="1:12" x14ac:dyDescent="0.3">
      <c r="A578" t="s">
        <v>186</v>
      </c>
      <c r="B578">
        <v>2023</v>
      </c>
      <c r="C578" t="s">
        <v>29</v>
      </c>
      <c r="D578">
        <v>0</v>
      </c>
      <c r="E578">
        <v>1</v>
      </c>
      <c r="F578">
        <v>0</v>
      </c>
      <c r="G578">
        <v>0</v>
      </c>
      <c r="H578">
        <v>1</v>
      </c>
      <c r="I578">
        <v>1</v>
      </c>
      <c r="J578">
        <v>0</v>
      </c>
      <c r="K578">
        <v>0</v>
      </c>
      <c r="L578">
        <f>_xlfn.XLOOKUP(C578, dim_teams[team_name], dim_teams[team_id], "Not found", 0)</f>
        <v>18</v>
      </c>
    </row>
    <row r="579" spans="1:12" x14ac:dyDescent="0.3">
      <c r="A579" t="s">
        <v>186</v>
      </c>
      <c r="B579">
        <v>2024</v>
      </c>
      <c r="C579" t="s">
        <v>29</v>
      </c>
      <c r="D579">
        <v>12</v>
      </c>
      <c r="E579">
        <v>11</v>
      </c>
      <c r="F579">
        <v>0</v>
      </c>
      <c r="G579">
        <v>1</v>
      </c>
      <c r="H579">
        <v>1</v>
      </c>
      <c r="I579">
        <v>1</v>
      </c>
      <c r="J579">
        <v>109.09</v>
      </c>
      <c r="K579">
        <v>12</v>
      </c>
      <c r="L579">
        <f>_xlfn.XLOOKUP(C579, dim_teams[team_name], dim_teams[team_id], "Not found", 0)</f>
        <v>18</v>
      </c>
    </row>
    <row r="580" spans="1:12" x14ac:dyDescent="0.3">
      <c r="A580" t="s">
        <v>187</v>
      </c>
      <c r="B580">
        <v>2011</v>
      </c>
      <c r="C580" t="s">
        <v>17</v>
      </c>
      <c r="D580">
        <v>16</v>
      </c>
      <c r="E580">
        <v>21</v>
      </c>
      <c r="F580">
        <v>1</v>
      </c>
      <c r="G580">
        <v>0</v>
      </c>
      <c r="H580">
        <v>1</v>
      </c>
      <c r="I580">
        <v>4</v>
      </c>
      <c r="J580">
        <v>76.19</v>
      </c>
      <c r="K580">
        <v>16</v>
      </c>
      <c r="L580">
        <f>_xlfn.XLOOKUP(C580, dim_teams[team_name], dim_teams[team_id], "Not found", 0)</f>
        <v>5</v>
      </c>
    </row>
    <row r="581" spans="1:12" x14ac:dyDescent="0.3">
      <c r="A581" t="s">
        <v>187</v>
      </c>
      <c r="B581">
        <v>2012</v>
      </c>
      <c r="C581" t="s">
        <v>17</v>
      </c>
      <c r="D581">
        <v>25</v>
      </c>
      <c r="E581">
        <v>13</v>
      </c>
      <c r="F581">
        <v>5</v>
      </c>
      <c r="G581">
        <v>0</v>
      </c>
      <c r="H581">
        <v>1</v>
      </c>
      <c r="I581">
        <v>3</v>
      </c>
      <c r="J581">
        <v>192.31</v>
      </c>
      <c r="K581">
        <v>25</v>
      </c>
      <c r="L581">
        <f>_xlfn.XLOOKUP(C581, dim_teams[team_name], dim_teams[team_id], "Not found", 0)</f>
        <v>5</v>
      </c>
    </row>
    <row r="582" spans="1:12" x14ac:dyDescent="0.3">
      <c r="A582" t="s">
        <v>187</v>
      </c>
      <c r="B582">
        <v>2013</v>
      </c>
      <c r="C582" t="s">
        <v>17</v>
      </c>
      <c r="D582">
        <v>125</v>
      </c>
      <c r="E582">
        <v>93</v>
      </c>
      <c r="F582">
        <v>17</v>
      </c>
      <c r="G582">
        <v>2</v>
      </c>
      <c r="H582">
        <v>7</v>
      </c>
      <c r="I582">
        <v>9</v>
      </c>
      <c r="J582">
        <v>134.41</v>
      </c>
      <c r="K582">
        <v>17.86</v>
      </c>
      <c r="L582">
        <f>_xlfn.XLOOKUP(C582, dim_teams[team_name], dim_teams[team_id], "Not found", 0)</f>
        <v>5</v>
      </c>
    </row>
    <row r="583" spans="1:12" x14ac:dyDescent="0.3">
      <c r="A583" t="s">
        <v>187</v>
      </c>
      <c r="B583">
        <v>2014</v>
      </c>
      <c r="C583" t="s">
        <v>17</v>
      </c>
      <c r="D583">
        <v>4</v>
      </c>
      <c r="E583">
        <v>6</v>
      </c>
      <c r="F583">
        <v>0</v>
      </c>
      <c r="G583">
        <v>0</v>
      </c>
      <c r="H583">
        <v>0</v>
      </c>
      <c r="I583">
        <v>1</v>
      </c>
      <c r="J583">
        <v>66.67</v>
      </c>
      <c r="L583">
        <f>_xlfn.XLOOKUP(C583, dim_teams[team_name], dim_teams[team_id], "Not found", 0)</f>
        <v>5</v>
      </c>
    </row>
    <row r="584" spans="1:12" x14ac:dyDescent="0.3">
      <c r="A584" t="s">
        <v>188</v>
      </c>
      <c r="B584">
        <v>2008</v>
      </c>
      <c r="C584" t="s">
        <v>23</v>
      </c>
      <c r="D584">
        <v>178</v>
      </c>
      <c r="E584">
        <v>131</v>
      </c>
      <c r="F584">
        <v>19</v>
      </c>
      <c r="G584">
        <v>5</v>
      </c>
      <c r="H584">
        <v>6</v>
      </c>
      <c r="I584">
        <v>7</v>
      </c>
      <c r="J584">
        <v>135.88</v>
      </c>
      <c r="K584">
        <v>29.67</v>
      </c>
      <c r="L584">
        <f>_xlfn.XLOOKUP(C584, dim_teams[team_name], dim_teams[team_id], "Not found", 0)</f>
        <v>7</v>
      </c>
    </row>
    <row r="585" spans="1:12" x14ac:dyDescent="0.3">
      <c r="A585" t="s">
        <v>188</v>
      </c>
      <c r="B585">
        <v>2009</v>
      </c>
      <c r="C585" t="s">
        <v>23</v>
      </c>
      <c r="D585">
        <v>218</v>
      </c>
      <c r="E585">
        <v>201</v>
      </c>
      <c r="F585">
        <v>15</v>
      </c>
      <c r="G585">
        <v>8</v>
      </c>
      <c r="H585">
        <v>8</v>
      </c>
      <c r="I585">
        <v>10</v>
      </c>
      <c r="J585">
        <v>108.46</v>
      </c>
      <c r="K585">
        <v>27.25</v>
      </c>
      <c r="L585">
        <f>_xlfn.XLOOKUP(C585, dim_teams[team_name], dim_teams[team_id], "Not found", 0)</f>
        <v>7</v>
      </c>
    </row>
    <row r="586" spans="1:12" x14ac:dyDescent="0.3">
      <c r="A586" t="s">
        <v>188</v>
      </c>
      <c r="B586">
        <v>2010</v>
      </c>
      <c r="C586" t="s">
        <v>23</v>
      </c>
      <c r="D586">
        <v>61</v>
      </c>
      <c r="E586">
        <v>53</v>
      </c>
      <c r="F586">
        <v>3</v>
      </c>
      <c r="G586">
        <v>4</v>
      </c>
      <c r="H586">
        <v>7</v>
      </c>
      <c r="I586">
        <v>8</v>
      </c>
      <c r="J586">
        <v>115.09</v>
      </c>
      <c r="K586">
        <v>8.7100000000000009</v>
      </c>
      <c r="L586">
        <f>_xlfn.XLOOKUP(C586, dim_teams[team_name], dim_teams[team_id], "Not found", 0)</f>
        <v>7</v>
      </c>
    </row>
    <row r="587" spans="1:12" x14ac:dyDescent="0.3">
      <c r="A587" t="s">
        <v>188</v>
      </c>
      <c r="B587">
        <v>2011</v>
      </c>
      <c r="C587" t="s">
        <v>25</v>
      </c>
      <c r="D587">
        <v>11</v>
      </c>
      <c r="E587">
        <v>6</v>
      </c>
      <c r="F587">
        <v>1</v>
      </c>
      <c r="G587">
        <v>1</v>
      </c>
      <c r="H587">
        <v>1</v>
      </c>
      <c r="I587">
        <v>2</v>
      </c>
      <c r="J587">
        <v>183.33</v>
      </c>
      <c r="K587">
        <v>11</v>
      </c>
      <c r="L587">
        <f>_xlfn.XLOOKUP(C587, dim_teams[team_name], dim_teams[team_id], "Not found", 0)</f>
        <v>3</v>
      </c>
    </row>
    <row r="588" spans="1:12" x14ac:dyDescent="0.3">
      <c r="A588" t="s">
        <v>188</v>
      </c>
      <c r="B588">
        <v>2012</v>
      </c>
      <c r="C588" t="s">
        <v>25</v>
      </c>
      <c r="D588">
        <v>371</v>
      </c>
      <c r="E588">
        <v>262</v>
      </c>
      <c r="F588">
        <v>20</v>
      </c>
      <c r="G588">
        <v>20</v>
      </c>
      <c r="H588">
        <v>8</v>
      </c>
      <c r="I588">
        <v>16</v>
      </c>
      <c r="J588">
        <v>141.6</v>
      </c>
      <c r="K588">
        <v>46.38</v>
      </c>
      <c r="L588">
        <f>_xlfn.XLOOKUP(C588, dim_teams[team_name], dim_teams[team_id], "Not found", 0)</f>
        <v>3</v>
      </c>
    </row>
    <row r="589" spans="1:12" x14ac:dyDescent="0.3">
      <c r="A589" t="s">
        <v>188</v>
      </c>
      <c r="B589">
        <v>2013</v>
      </c>
      <c r="C589" t="s">
        <v>25</v>
      </c>
      <c r="D589">
        <v>121</v>
      </c>
      <c r="E589">
        <v>106</v>
      </c>
      <c r="F589">
        <v>11</v>
      </c>
      <c r="G589">
        <v>3</v>
      </c>
      <c r="H589">
        <v>8</v>
      </c>
      <c r="I589">
        <v>12</v>
      </c>
      <c r="J589">
        <v>114.15</v>
      </c>
      <c r="K589">
        <v>15.12</v>
      </c>
      <c r="L589">
        <f>_xlfn.XLOOKUP(C589, dim_teams[team_name], dim_teams[team_id], "Not found", 0)</f>
        <v>3</v>
      </c>
    </row>
    <row r="590" spans="1:12" x14ac:dyDescent="0.3">
      <c r="A590" t="s">
        <v>188</v>
      </c>
      <c r="B590">
        <v>2014</v>
      </c>
      <c r="C590" t="s">
        <v>25</v>
      </c>
      <c r="D590">
        <v>8</v>
      </c>
      <c r="E590">
        <v>3</v>
      </c>
      <c r="F590">
        <v>0</v>
      </c>
      <c r="G590">
        <v>1</v>
      </c>
      <c r="H590">
        <v>0</v>
      </c>
      <c r="I590">
        <v>1</v>
      </c>
      <c r="J590">
        <v>266.67</v>
      </c>
      <c r="L590">
        <f>_xlfn.XLOOKUP(C590, dim_teams[team_name], dim_teams[team_id], "Not found", 0)</f>
        <v>3</v>
      </c>
    </row>
    <row r="591" spans="1:12" x14ac:dyDescent="0.3">
      <c r="A591" t="s">
        <v>188</v>
      </c>
      <c r="B591">
        <v>2015</v>
      </c>
      <c r="C591" t="s">
        <v>25</v>
      </c>
      <c r="D591">
        <v>195</v>
      </c>
      <c r="E591">
        <v>148</v>
      </c>
      <c r="F591">
        <v>22</v>
      </c>
      <c r="G591">
        <v>5</v>
      </c>
      <c r="H591">
        <v>8</v>
      </c>
      <c r="I591">
        <v>13</v>
      </c>
      <c r="J591">
        <v>131.76</v>
      </c>
      <c r="K591">
        <v>24.38</v>
      </c>
      <c r="L591">
        <f>_xlfn.XLOOKUP(C591, dim_teams[team_name], dim_teams[team_id], "Not found", 0)</f>
        <v>3</v>
      </c>
    </row>
    <row r="592" spans="1:12" x14ac:dyDescent="0.3">
      <c r="A592" t="s">
        <v>188</v>
      </c>
      <c r="B592">
        <v>2016</v>
      </c>
      <c r="C592" t="s">
        <v>66</v>
      </c>
      <c r="D592">
        <v>99</v>
      </c>
      <c r="E592">
        <v>82</v>
      </c>
      <c r="F592">
        <v>11</v>
      </c>
      <c r="G592">
        <v>1</v>
      </c>
      <c r="H592">
        <v>8</v>
      </c>
      <c r="I592">
        <v>12</v>
      </c>
      <c r="J592">
        <v>120.73</v>
      </c>
      <c r="K592">
        <v>12.38</v>
      </c>
      <c r="L592">
        <f>_xlfn.XLOOKUP(C592, dim_teams[team_name], dim_teams[team_id], "Not found", 0)</f>
        <v>13</v>
      </c>
    </row>
    <row r="593" spans="1:12" x14ac:dyDescent="0.3">
      <c r="A593" t="s">
        <v>188</v>
      </c>
      <c r="B593">
        <v>2018</v>
      </c>
      <c r="C593" t="s">
        <v>25</v>
      </c>
      <c r="D593">
        <v>141</v>
      </c>
      <c r="E593">
        <v>90</v>
      </c>
      <c r="F593">
        <v>8</v>
      </c>
      <c r="G593">
        <v>10</v>
      </c>
      <c r="H593">
        <v>4</v>
      </c>
      <c r="I593">
        <v>10</v>
      </c>
      <c r="J593">
        <v>156.66999999999999</v>
      </c>
      <c r="K593">
        <v>35.25</v>
      </c>
      <c r="L593">
        <f>_xlfn.XLOOKUP(C593, dim_teams[team_name], dim_teams[team_id], "Not found", 0)</f>
        <v>3</v>
      </c>
    </row>
    <row r="594" spans="1:12" x14ac:dyDescent="0.3">
      <c r="A594" t="s">
        <v>188</v>
      </c>
      <c r="B594">
        <v>2019</v>
      </c>
      <c r="C594" t="s">
        <v>25</v>
      </c>
      <c r="D594">
        <v>80</v>
      </c>
      <c r="E594">
        <v>66</v>
      </c>
      <c r="F594">
        <v>6</v>
      </c>
      <c r="G594">
        <v>3</v>
      </c>
      <c r="H594">
        <v>5</v>
      </c>
      <c r="I594">
        <v>8</v>
      </c>
      <c r="J594">
        <v>121.21</v>
      </c>
      <c r="K594">
        <v>16</v>
      </c>
      <c r="L594">
        <f>_xlfn.XLOOKUP(C594, dim_teams[team_name], dim_teams[team_id], "Not found", 0)</f>
        <v>3</v>
      </c>
    </row>
    <row r="595" spans="1:12" x14ac:dyDescent="0.3">
      <c r="A595" t="s">
        <v>188</v>
      </c>
      <c r="B595">
        <v>2020</v>
      </c>
      <c r="C595" t="s">
        <v>25</v>
      </c>
      <c r="D595">
        <v>7</v>
      </c>
      <c r="E595">
        <v>6</v>
      </c>
      <c r="F595">
        <v>0</v>
      </c>
      <c r="G595">
        <v>0</v>
      </c>
      <c r="H595">
        <v>2</v>
      </c>
      <c r="I595">
        <v>2</v>
      </c>
      <c r="J595">
        <v>116.67</v>
      </c>
      <c r="K595">
        <v>3.5</v>
      </c>
      <c r="L595">
        <f>_xlfn.XLOOKUP(C595, dim_teams[team_name], dim_teams[team_id], "Not found", 0)</f>
        <v>3</v>
      </c>
    </row>
    <row r="596" spans="1:12" x14ac:dyDescent="0.3">
      <c r="A596" t="s">
        <v>188</v>
      </c>
      <c r="B596">
        <v>2021</v>
      </c>
      <c r="C596" t="s">
        <v>25</v>
      </c>
      <c r="D596">
        <v>47</v>
      </c>
      <c r="E596">
        <v>18</v>
      </c>
      <c r="F596">
        <v>3</v>
      </c>
      <c r="G596">
        <v>4</v>
      </c>
      <c r="H596">
        <v>2</v>
      </c>
      <c r="I596">
        <v>3</v>
      </c>
      <c r="J596">
        <v>261.11</v>
      </c>
      <c r="K596">
        <v>23.5</v>
      </c>
      <c r="L596">
        <f>_xlfn.XLOOKUP(C596, dim_teams[team_name], dim_teams[team_id], "Not found", 0)</f>
        <v>3</v>
      </c>
    </row>
    <row r="597" spans="1:12" x14ac:dyDescent="0.3">
      <c r="A597" t="s">
        <v>188</v>
      </c>
      <c r="B597">
        <v>2022</v>
      </c>
      <c r="C597" t="s">
        <v>25</v>
      </c>
      <c r="D597">
        <v>23</v>
      </c>
      <c r="E597">
        <v>24</v>
      </c>
      <c r="F597">
        <v>1</v>
      </c>
      <c r="G597">
        <v>1</v>
      </c>
      <c r="H597">
        <v>2</v>
      </c>
      <c r="I597">
        <v>6</v>
      </c>
      <c r="J597">
        <v>95.83</v>
      </c>
      <c r="K597">
        <v>11.5</v>
      </c>
      <c r="L597">
        <f>_xlfn.XLOOKUP(C597, dim_teams[team_name], dim_teams[team_id], "Not found", 0)</f>
        <v>3</v>
      </c>
    </row>
    <row r="598" spans="1:12" x14ac:dyDescent="0.3">
      <c r="A598" t="s">
        <v>189</v>
      </c>
      <c r="B598">
        <v>2012</v>
      </c>
      <c r="C598" t="s">
        <v>12</v>
      </c>
      <c r="D598">
        <v>111</v>
      </c>
      <c r="E598">
        <v>101</v>
      </c>
      <c r="F598">
        <v>11</v>
      </c>
      <c r="G598">
        <v>5</v>
      </c>
      <c r="H598">
        <v>3</v>
      </c>
      <c r="I598">
        <v>4</v>
      </c>
      <c r="J598">
        <v>109.9</v>
      </c>
      <c r="K598">
        <v>37</v>
      </c>
      <c r="L598">
        <f>_xlfn.XLOOKUP(C598, dim_teams[team_name], dim_teams[team_id], "Not found", 0)</f>
        <v>8</v>
      </c>
    </row>
    <row r="599" spans="1:12" x14ac:dyDescent="0.3">
      <c r="A599" t="s">
        <v>190</v>
      </c>
      <c r="B599">
        <v>2015</v>
      </c>
      <c r="C599" t="s">
        <v>17</v>
      </c>
      <c r="D599">
        <v>151</v>
      </c>
      <c r="E599">
        <v>95</v>
      </c>
      <c r="F599">
        <v>6</v>
      </c>
      <c r="G599">
        <v>11</v>
      </c>
      <c r="H599">
        <v>9</v>
      </c>
      <c r="I599">
        <v>9</v>
      </c>
      <c r="J599">
        <v>158.94999999999999</v>
      </c>
      <c r="K599">
        <v>16.78</v>
      </c>
      <c r="L599">
        <f>_xlfn.XLOOKUP(C599, dim_teams[team_name], dim_teams[team_id], "Not found", 0)</f>
        <v>5</v>
      </c>
    </row>
    <row r="600" spans="1:12" x14ac:dyDescent="0.3">
      <c r="A600" t="s">
        <v>190</v>
      </c>
      <c r="B600">
        <v>2016</v>
      </c>
      <c r="C600" t="s">
        <v>13</v>
      </c>
      <c r="D600">
        <v>144</v>
      </c>
      <c r="E600">
        <v>119</v>
      </c>
      <c r="F600">
        <v>9</v>
      </c>
      <c r="G600">
        <v>5</v>
      </c>
      <c r="H600">
        <v>11</v>
      </c>
      <c r="I600">
        <v>15</v>
      </c>
      <c r="J600">
        <v>121.01</v>
      </c>
      <c r="K600">
        <v>13.09</v>
      </c>
      <c r="L600">
        <f>_xlfn.XLOOKUP(C600, dim_teams[team_name], dim_teams[team_id], "Not found", 0)</f>
        <v>11</v>
      </c>
    </row>
    <row r="601" spans="1:12" x14ac:dyDescent="0.3">
      <c r="A601" t="s">
        <v>190</v>
      </c>
      <c r="B601">
        <v>2017</v>
      </c>
      <c r="C601" t="s">
        <v>13</v>
      </c>
      <c r="D601">
        <v>78</v>
      </c>
      <c r="E601">
        <v>52</v>
      </c>
      <c r="F601">
        <v>5</v>
      </c>
      <c r="G601">
        <v>4</v>
      </c>
      <c r="H601">
        <v>3</v>
      </c>
      <c r="I601">
        <v>6</v>
      </c>
      <c r="J601">
        <v>150</v>
      </c>
      <c r="K601">
        <v>26</v>
      </c>
      <c r="L601">
        <f>_xlfn.XLOOKUP(C601, dim_teams[team_name], dim_teams[team_id], "Not found", 0)</f>
        <v>11</v>
      </c>
    </row>
    <row r="602" spans="1:12" x14ac:dyDescent="0.3">
      <c r="A602" t="s">
        <v>190</v>
      </c>
      <c r="B602">
        <v>2018</v>
      </c>
      <c r="C602" t="s">
        <v>13</v>
      </c>
      <c r="D602">
        <v>87</v>
      </c>
      <c r="E602">
        <v>81</v>
      </c>
      <c r="F602">
        <v>2</v>
      </c>
      <c r="G602">
        <v>3</v>
      </c>
      <c r="H602">
        <v>5</v>
      </c>
      <c r="I602">
        <v>8</v>
      </c>
      <c r="J602">
        <v>107.41</v>
      </c>
      <c r="K602">
        <v>17.399999999999999</v>
      </c>
      <c r="L602">
        <f>_xlfn.XLOOKUP(C602, dim_teams[team_name], dim_teams[team_id], "Not found", 0)</f>
        <v>11</v>
      </c>
    </row>
    <row r="603" spans="1:12" x14ac:dyDescent="0.3">
      <c r="A603" t="s">
        <v>190</v>
      </c>
      <c r="B603">
        <v>2019</v>
      </c>
      <c r="C603" t="s">
        <v>13</v>
      </c>
      <c r="D603">
        <v>64</v>
      </c>
      <c r="E603">
        <v>63</v>
      </c>
      <c r="F603">
        <v>5</v>
      </c>
      <c r="G603">
        <v>1</v>
      </c>
      <c r="H603">
        <v>6</v>
      </c>
      <c r="I603">
        <v>7</v>
      </c>
      <c r="J603">
        <v>101.59</v>
      </c>
      <c r="K603">
        <v>10.67</v>
      </c>
      <c r="L603">
        <f>_xlfn.XLOOKUP(C603, dim_teams[team_name], dim_teams[team_id], "Not found", 0)</f>
        <v>11</v>
      </c>
    </row>
    <row r="604" spans="1:12" x14ac:dyDescent="0.3">
      <c r="A604" t="s">
        <v>190</v>
      </c>
      <c r="B604">
        <v>2020</v>
      </c>
      <c r="C604" t="s">
        <v>54</v>
      </c>
      <c r="D604">
        <v>102</v>
      </c>
      <c r="E604">
        <v>72</v>
      </c>
      <c r="F604">
        <v>5</v>
      </c>
      <c r="G604">
        <v>5</v>
      </c>
      <c r="H604">
        <v>1</v>
      </c>
      <c r="I604">
        <v>5</v>
      </c>
      <c r="J604">
        <v>141.66999999999999</v>
      </c>
      <c r="K604">
        <v>102</v>
      </c>
      <c r="L604">
        <f>_xlfn.XLOOKUP(C604, dim_teams[team_name], dim_teams[team_id], "Not found", 0)</f>
        <v>4</v>
      </c>
    </row>
    <row r="605" spans="1:12" x14ac:dyDescent="0.3">
      <c r="A605" t="s">
        <v>190</v>
      </c>
      <c r="B605">
        <v>2021</v>
      </c>
      <c r="C605" t="s">
        <v>76</v>
      </c>
      <c r="D605">
        <v>160</v>
      </c>
      <c r="E605">
        <v>121</v>
      </c>
      <c r="F605">
        <v>9</v>
      </c>
      <c r="G605">
        <v>9</v>
      </c>
      <c r="H605">
        <v>9</v>
      </c>
      <c r="I605">
        <v>11</v>
      </c>
      <c r="J605">
        <v>132.22999999999999</v>
      </c>
      <c r="K605">
        <v>17.78</v>
      </c>
      <c r="L605">
        <f>_xlfn.XLOOKUP(C605, dim_teams[team_name], dim_teams[team_id], "Not found", 0)</f>
        <v>16</v>
      </c>
    </row>
    <row r="606" spans="1:12" x14ac:dyDescent="0.3">
      <c r="A606" t="s">
        <v>190</v>
      </c>
      <c r="B606">
        <v>2022</v>
      </c>
      <c r="C606" t="s">
        <v>15</v>
      </c>
      <c r="D606">
        <v>451</v>
      </c>
      <c r="E606">
        <v>329</v>
      </c>
      <c r="F606">
        <v>36</v>
      </c>
      <c r="G606">
        <v>18</v>
      </c>
      <c r="H606">
        <v>14</v>
      </c>
      <c r="I606">
        <v>14</v>
      </c>
      <c r="J606">
        <v>137.08000000000001</v>
      </c>
      <c r="K606">
        <v>32.21</v>
      </c>
      <c r="L606">
        <f>_xlfn.XLOOKUP(C606, dim_teams[team_name], dim_teams[team_id], "Not found", 0)</f>
        <v>17</v>
      </c>
    </row>
    <row r="607" spans="1:12" x14ac:dyDescent="0.3">
      <c r="A607" t="s">
        <v>190</v>
      </c>
      <c r="B607">
        <v>2023</v>
      </c>
      <c r="C607" t="s">
        <v>15</v>
      </c>
      <c r="D607">
        <v>84</v>
      </c>
      <c r="E607">
        <v>90</v>
      </c>
      <c r="F607">
        <v>3</v>
      </c>
      <c r="G607">
        <v>2</v>
      </c>
      <c r="H607">
        <v>11</v>
      </c>
      <c r="I607">
        <v>12</v>
      </c>
      <c r="J607">
        <v>93.33</v>
      </c>
      <c r="K607">
        <v>7.64</v>
      </c>
      <c r="L607">
        <f>_xlfn.XLOOKUP(C607, dim_teams[team_name], dim_teams[team_id], "Not found", 0)</f>
        <v>17</v>
      </c>
    </row>
    <row r="608" spans="1:12" x14ac:dyDescent="0.3">
      <c r="A608" t="s">
        <v>190</v>
      </c>
      <c r="B608">
        <v>2024</v>
      </c>
      <c r="C608" t="s">
        <v>15</v>
      </c>
      <c r="D608">
        <v>145</v>
      </c>
      <c r="E608">
        <v>105</v>
      </c>
      <c r="F608">
        <v>16</v>
      </c>
      <c r="G608">
        <v>3</v>
      </c>
      <c r="H608">
        <v>8</v>
      </c>
      <c r="I608">
        <v>9</v>
      </c>
      <c r="J608">
        <v>138.1</v>
      </c>
      <c r="K608">
        <v>18.12</v>
      </c>
      <c r="L608">
        <f>_xlfn.XLOOKUP(C608, dim_teams[team_name], dim_teams[team_id], "Not found", 0)</f>
        <v>17</v>
      </c>
    </row>
    <row r="609" spans="1:12" x14ac:dyDescent="0.3">
      <c r="A609" t="s">
        <v>190</v>
      </c>
      <c r="B609">
        <v>2025</v>
      </c>
      <c r="C609" t="s">
        <v>25</v>
      </c>
      <c r="D609">
        <v>31</v>
      </c>
      <c r="E609">
        <v>40</v>
      </c>
      <c r="F609">
        <v>2</v>
      </c>
      <c r="G609">
        <v>1</v>
      </c>
      <c r="H609">
        <v>5</v>
      </c>
      <c r="I609">
        <v>5</v>
      </c>
      <c r="J609">
        <v>77.5</v>
      </c>
      <c r="K609">
        <v>6.2</v>
      </c>
      <c r="L609">
        <f>_xlfn.XLOOKUP(C609, dim_teams[team_name], dim_teams[team_id], "Not found", 0)</f>
        <v>3</v>
      </c>
    </row>
    <row r="610" spans="1:12" x14ac:dyDescent="0.3">
      <c r="A610" t="s">
        <v>191</v>
      </c>
      <c r="B610">
        <v>2008</v>
      </c>
      <c r="C610" t="s">
        <v>19</v>
      </c>
      <c r="D610">
        <v>319</v>
      </c>
      <c r="E610">
        <v>258</v>
      </c>
      <c r="F610">
        <v>19</v>
      </c>
      <c r="G610">
        <v>17</v>
      </c>
      <c r="H610">
        <v>11</v>
      </c>
      <c r="I610">
        <v>13</v>
      </c>
      <c r="J610">
        <v>123.64</v>
      </c>
      <c r="K610">
        <v>29</v>
      </c>
      <c r="L610">
        <f>_xlfn.XLOOKUP(C610, dim_teams[team_name], dim_teams[team_id], "Not found", 0)</f>
        <v>1</v>
      </c>
    </row>
    <row r="611" spans="1:12" x14ac:dyDescent="0.3">
      <c r="A611" t="s">
        <v>191</v>
      </c>
      <c r="B611">
        <v>2009</v>
      </c>
      <c r="C611" t="s">
        <v>19</v>
      </c>
      <c r="D611">
        <v>98</v>
      </c>
      <c r="E611">
        <v>57</v>
      </c>
      <c r="F611">
        <v>7</v>
      </c>
      <c r="G611">
        <v>6</v>
      </c>
      <c r="H611">
        <v>3</v>
      </c>
      <c r="I611">
        <v>4</v>
      </c>
      <c r="J611">
        <v>171.93</v>
      </c>
      <c r="K611">
        <v>32.67</v>
      </c>
      <c r="L611">
        <f>_xlfn.XLOOKUP(C611, dim_teams[team_name], dim_teams[team_id], "Not found", 0)</f>
        <v>1</v>
      </c>
    </row>
    <row r="612" spans="1:12" x14ac:dyDescent="0.3">
      <c r="A612" t="s">
        <v>191</v>
      </c>
      <c r="B612">
        <v>2010</v>
      </c>
      <c r="C612" t="s">
        <v>19</v>
      </c>
      <c r="D612">
        <v>94</v>
      </c>
      <c r="E612">
        <v>85</v>
      </c>
      <c r="F612">
        <v>5</v>
      </c>
      <c r="G612">
        <v>5</v>
      </c>
      <c r="H612">
        <v>4</v>
      </c>
      <c r="I612">
        <v>6</v>
      </c>
      <c r="J612">
        <v>110.59</v>
      </c>
      <c r="K612">
        <v>23.5</v>
      </c>
      <c r="L612">
        <f>_xlfn.XLOOKUP(C612, dim_teams[team_name], dim_teams[team_id], "Not found", 0)</f>
        <v>1</v>
      </c>
    </row>
    <row r="613" spans="1:12" x14ac:dyDescent="0.3">
      <c r="A613" t="s">
        <v>191</v>
      </c>
      <c r="B613">
        <v>2011</v>
      </c>
      <c r="C613" t="s">
        <v>54</v>
      </c>
      <c r="D613">
        <v>64</v>
      </c>
      <c r="E613">
        <v>63</v>
      </c>
      <c r="F613">
        <v>3</v>
      </c>
      <c r="G613">
        <v>3</v>
      </c>
      <c r="H613">
        <v>6</v>
      </c>
      <c r="I613">
        <v>8</v>
      </c>
      <c r="J613">
        <v>101.59</v>
      </c>
      <c r="K613">
        <v>10.67</v>
      </c>
      <c r="L613">
        <f>_xlfn.XLOOKUP(C613, dim_teams[team_name], dim_teams[team_id], "Not found", 0)</f>
        <v>4</v>
      </c>
    </row>
    <row r="614" spans="1:12" x14ac:dyDescent="0.3">
      <c r="A614" t="s">
        <v>191</v>
      </c>
      <c r="B614">
        <v>2012</v>
      </c>
      <c r="C614" t="s">
        <v>54</v>
      </c>
      <c r="D614">
        <v>396</v>
      </c>
      <c r="E614">
        <v>305</v>
      </c>
      <c r="F614">
        <v>28</v>
      </c>
      <c r="G614">
        <v>17</v>
      </c>
      <c r="H614">
        <v>12</v>
      </c>
      <c r="I614">
        <v>15</v>
      </c>
      <c r="J614">
        <v>129.84</v>
      </c>
      <c r="K614">
        <v>33</v>
      </c>
      <c r="L614">
        <f>_xlfn.XLOOKUP(C614, dim_teams[team_name], dim_teams[team_id], "Not found", 0)</f>
        <v>4</v>
      </c>
    </row>
    <row r="615" spans="1:12" x14ac:dyDescent="0.3">
      <c r="A615" t="s">
        <v>191</v>
      </c>
      <c r="B615">
        <v>2013</v>
      </c>
      <c r="C615" t="s">
        <v>54</v>
      </c>
      <c r="D615">
        <v>235</v>
      </c>
      <c r="E615">
        <v>208</v>
      </c>
      <c r="F615">
        <v>20</v>
      </c>
      <c r="G615">
        <v>6</v>
      </c>
      <c r="H615">
        <v>11</v>
      </c>
      <c r="I615">
        <v>11</v>
      </c>
      <c r="J615">
        <v>112.98</v>
      </c>
      <c r="K615">
        <v>21.36</v>
      </c>
      <c r="L615">
        <f>_xlfn.XLOOKUP(C615, dim_teams[team_name], dim_teams[team_id], "Not found", 0)</f>
        <v>4</v>
      </c>
    </row>
    <row r="616" spans="1:12" x14ac:dyDescent="0.3">
      <c r="A616" t="s">
        <v>191</v>
      </c>
      <c r="B616">
        <v>2014</v>
      </c>
      <c r="C616" t="s">
        <v>25</v>
      </c>
      <c r="D616">
        <v>116</v>
      </c>
      <c r="E616">
        <v>94</v>
      </c>
      <c r="F616">
        <v>8</v>
      </c>
      <c r="G616">
        <v>6</v>
      </c>
      <c r="H616">
        <v>2</v>
      </c>
      <c r="I616">
        <v>4</v>
      </c>
      <c r="J616">
        <v>123.4</v>
      </c>
      <c r="K616">
        <v>58</v>
      </c>
      <c r="L616">
        <f>_xlfn.XLOOKUP(C616, dim_teams[team_name], dim_teams[team_id], "Not found", 0)</f>
        <v>3</v>
      </c>
    </row>
    <row r="617" spans="1:12" x14ac:dyDescent="0.3">
      <c r="A617" t="s">
        <v>192</v>
      </c>
      <c r="B617">
        <v>2011</v>
      </c>
      <c r="C617" t="s">
        <v>23</v>
      </c>
      <c r="D617">
        <v>92</v>
      </c>
      <c r="E617">
        <v>88</v>
      </c>
      <c r="F617">
        <v>10</v>
      </c>
      <c r="G617">
        <v>4</v>
      </c>
      <c r="H617">
        <v>6</v>
      </c>
      <c r="I617">
        <v>6</v>
      </c>
      <c r="J617">
        <v>104.55</v>
      </c>
      <c r="K617">
        <v>15.33</v>
      </c>
      <c r="L617">
        <f>_xlfn.XLOOKUP(C617, dim_teams[team_name], dim_teams[team_id], "Not found", 0)</f>
        <v>7</v>
      </c>
    </row>
    <row r="618" spans="1:12" x14ac:dyDescent="0.3">
      <c r="A618" t="s">
        <v>192</v>
      </c>
      <c r="B618">
        <v>2012</v>
      </c>
      <c r="C618" t="s">
        <v>23</v>
      </c>
      <c r="D618">
        <v>0</v>
      </c>
      <c r="E618">
        <v>10</v>
      </c>
      <c r="F618">
        <v>0</v>
      </c>
      <c r="G618">
        <v>0</v>
      </c>
      <c r="H618">
        <v>1</v>
      </c>
      <c r="I618">
        <v>1</v>
      </c>
      <c r="J618">
        <v>0</v>
      </c>
      <c r="K618">
        <v>0</v>
      </c>
      <c r="L618">
        <f>_xlfn.XLOOKUP(C618, dim_teams[team_name], dim_teams[team_id], "Not found", 0)</f>
        <v>7</v>
      </c>
    </row>
    <row r="619" spans="1:12" x14ac:dyDescent="0.3">
      <c r="A619" t="s">
        <v>193</v>
      </c>
      <c r="B619">
        <v>2021</v>
      </c>
      <c r="C619" t="s">
        <v>76</v>
      </c>
      <c r="D619">
        <v>26</v>
      </c>
      <c r="E619">
        <v>26</v>
      </c>
      <c r="F619">
        <v>1</v>
      </c>
      <c r="G619">
        <v>1</v>
      </c>
      <c r="H619">
        <v>1</v>
      </c>
      <c r="I619">
        <v>1</v>
      </c>
      <c r="J619">
        <v>100</v>
      </c>
      <c r="K619">
        <v>26</v>
      </c>
      <c r="L619">
        <f>_xlfn.XLOOKUP(C619, dim_teams[team_name], dim_teams[team_id], "Not found", 0)</f>
        <v>16</v>
      </c>
    </row>
    <row r="620" spans="1:12" x14ac:dyDescent="0.3">
      <c r="A620" t="s">
        <v>194</v>
      </c>
      <c r="B620">
        <v>2022</v>
      </c>
      <c r="C620" t="s">
        <v>17</v>
      </c>
      <c r="D620">
        <v>33</v>
      </c>
      <c r="E620">
        <v>44</v>
      </c>
      <c r="F620">
        <v>1</v>
      </c>
      <c r="G620">
        <v>0</v>
      </c>
      <c r="H620">
        <v>2</v>
      </c>
      <c r="I620">
        <v>2</v>
      </c>
      <c r="J620">
        <v>75</v>
      </c>
      <c r="K620">
        <v>16.5</v>
      </c>
      <c r="L620">
        <f>_xlfn.XLOOKUP(C620, dim_teams[team_name], dim_teams[team_id], "Not found", 0)</f>
        <v>5</v>
      </c>
    </row>
    <row r="621" spans="1:12" x14ac:dyDescent="0.3">
      <c r="A621" t="s">
        <v>194</v>
      </c>
      <c r="B621">
        <v>2024</v>
      </c>
      <c r="C621" t="s">
        <v>25</v>
      </c>
      <c r="D621">
        <v>318</v>
      </c>
      <c r="E621">
        <v>223</v>
      </c>
      <c r="F621">
        <v>27</v>
      </c>
      <c r="G621">
        <v>10</v>
      </c>
      <c r="H621">
        <v>11</v>
      </c>
      <c r="I621">
        <v>13</v>
      </c>
      <c r="J621">
        <v>142.6</v>
      </c>
      <c r="K621">
        <v>28.91</v>
      </c>
      <c r="L621">
        <f>_xlfn.XLOOKUP(C621, dim_teams[team_name], dim_teams[team_id], "Not found", 0)</f>
        <v>3</v>
      </c>
    </row>
    <row r="622" spans="1:12" x14ac:dyDescent="0.3">
      <c r="A622" t="s">
        <v>195</v>
      </c>
      <c r="B622">
        <v>2015</v>
      </c>
      <c r="C622" t="s">
        <v>32</v>
      </c>
      <c r="D622">
        <v>1</v>
      </c>
      <c r="E622">
        <v>3</v>
      </c>
      <c r="F622">
        <v>0</v>
      </c>
      <c r="G622">
        <v>0</v>
      </c>
      <c r="H622">
        <v>1</v>
      </c>
      <c r="I622">
        <v>1</v>
      </c>
      <c r="J622">
        <v>33.33</v>
      </c>
      <c r="K622">
        <v>1</v>
      </c>
      <c r="L622">
        <f>_xlfn.XLOOKUP(C622, dim_teams[team_name], dim_teams[team_id], "Not found", 0)</f>
        <v>6</v>
      </c>
    </row>
    <row r="623" spans="1:12" x14ac:dyDescent="0.3">
      <c r="A623" t="s">
        <v>196</v>
      </c>
      <c r="B623">
        <v>2008</v>
      </c>
      <c r="C623" t="s">
        <v>23</v>
      </c>
      <c r="D623">
        <v>39</v>
      </c>
      <c r="E623">
        <v>53</v>
      </c>
      <c r="F623">
        <v>2</v>
      </c>
      <c r="G623">
        <v>2</v>
      </c>
      <c r="H623">
        <v>3</v>
      </c>
      <c r="I623">
        <v>4</v>
      </c>
      <c r="J623">
        <v>73.58</v>
      </c>
      <c r="K623">
        <v>13</v>
      </c>
      <c r="L623">
        <f>_xlfn.XLOOKUP(C623, dim_teams[team_name], dim_teams[team_id], "Not found", 0)</f>
        <v>7</v>
      </c>
    </row>
    <row r="624" spans="1:12" x14ac:dyDescent="0.3">
      <c r="A624" t="s">
        <v>197</v>
      </c>
      <c r="B624">
        <v>2022</v>
      </c>
      <c r="C624" t="s">
        <v>21</v>
      </c>
      <c r="D624">
        <v>18</v>
      </c>
      <c r="E624">
        <v>30</v>
      </c>
      <c r="F624">
        <v>3</v>
      </c>
      <c r="G624">
        <v>0</v>
      </c>
      <c r="H624">
        <v>3</v>
      </c>
      <c r="I624">
        <v>2</v>
      </c>
      <c r="J624">
        <v>60</v>
      </c>
      <c r="K624">
        <v>6</v>
      </c>
      <c r="L624">
        <f>_xlfn.XLOOKUP(C624, dim_teams[team_name], dim_teams[team_id], "Not found", 0)</f>
        <v>2</v>
      </c>
    </row>
    <row r="625" spans="1:12" x14ac:dyDescent="0.3">
      <c r="A625" t="s">
        <v>197</v>
      </c>
      <c r="B625">
        <v>2023</v>
      </c>
      <c r="C625" t="s">
        <v>21</v>
      </c>
      <c r="D625">
        <v>35</v>
      </c>
      <c r="E625">
        <v>32</v>
      </c>
      <c r="F625">
        <v>4</v>
      </c>
      <c r="G625">
        <v>0</v>
      </c>
      <c r="H625">
        <v>0</v>
      </c>
      <c r="I625">
        <v>3</v>
      </c>
      <c r="J625">
        <v>109.38</v>
      </c>
      <c r="L625">
        <f>_xlfn.XLOOKUP(C625, dim_teams[team_name], dim_teams[team_id], "Not found", 0)</f>
        <v>2</v>
      </c>
    </row>
    <row r="626" spans="1:12" x14ac:dyDescent="0.3">
      <c r="A626" t="s">
        <v>198</v>
      </c>
      <c r="B626">
        <v>2013</v>
      </c>
      <c r="C626" t="s">
        <v>13</v>
      </c>
      <c r="D626">
        <v>174</v>
      </c>
      <c r="E626">
        <v>132</v>
      </c>
      <c r="F626">
        <v>11</v>
      </c>
      <c r="G626">
        <v>10</v>
      </c>
      <c r="H626">
        <v>6</v>
      </c>
      <c r="I626">
        <v>9</v>
      </c>
      <c r="J626">
        <v>131.82</v>
      </c>
      <c r="K626">
        <v>29</v>
      </c>
      <c r="L626">
        <f>_xlfn.XLOOKUP(C626, dim_teams[team_name], dim_teams[team_id], "Not found", 0)</f>
        <v>11</v>
      </c>
    </row>
    <row r="627" spans="1:12" x14ac:dyDescent="0.3">
      <c r="A627" t="s">
        <v>198</v>
      </c>
      <c r="B627">
        <v>2014</v>
      </c>
      <c r="C627" t="s">
        <v>13</v>
      </c>
      <c r="D627">
        <v>108</v>
      </c>
      <c r="E627">
        <v>91</v>
      </c>
      <c r="F627">
        <v>4</v>
      </c>
      <c r="G627">
        <v>8</v>
      </c>
      <c r="H627">
        <v>7</v>
      </c>
      <c r="I627">
        <v>9</v>
      </c>
      <c r="J627">
        <v>118.68</v>
      </c>
      <c r="K627">
        <v>15.43</v>
      </c>
      <c r="L627">
        <f>_xlfn.XLOOKUP(C627, dim_teams[team_name], dim_teams[team_id], "Not found", 0)</f>
        <v>11</v>
      </c>
    </row>
    <row r="628" spans="1:12" x14ac:dyDescent="0.3">
      <c r="A628" t="s">
        <v>198</v>
      </c>
      <c r="B628">
        <v>2015</v>
      </c>
      <c r="C628" t="s">
        <v>21</v>
      </c>
      <c r="D628">
        <v>13</v>
      </c>
      <c r="E628">
        <v>18</v>
      </c>
      <c r="F628">
        <v>0</v>
      </c>
      <c r="G628">
        <v>0</v>
      </c>
      <c r="H628">
        <v>2</v>
      </c>
      <c r="I628">
        <v>2</v>
      </c>
      <c r="J628">
        <v>72.22</v>
      </c>
      <c r="K628">
        <v>6.5</v>
      </c>
      <c r="L628">
        <f>_xlfn.XLOOKUP(C628, dim_teams[team_name], dim_teams[team_id], "Not found", 0)</f>
        <v>2</v>
      </c>
    </row>
    <row r="629" spans="1:12" x14ac:dyDescent="0.3">
      <c r="A629" t="s">
        <v>199</v>
      </c>
      <c r="B629">
        <v>2018</v>
      </c>
      <c r="C629" t="s">
        <v>17</v>
      </c>
      <c r="D629">
        <v>115</v>
      </c>
      <c r="E629">
        <v>99</v>
      </c>
      <c r="F629">
        <v>11</v>
      </c>
      <c r="G629">
        <v>5</v>
      </c>
      <c r="H629">
        <v>7</v>
      </c>
      <c r="I629">
        <v>7</v>
      </c>
      <c r="J629">
        <v>116.16</v>
      </c>
      <c r="K629">
        <v>16.43</v>
      </c>
      <c r="L629">
        <f>_xlfn.XLOOKUP(C629, dim_teams[team_name], dim_teams[team_id], "Not found", 0)</f>
        <v>5</v>
      </c>
    </row>
    <row r="630" spans="1:12" x14ac:dyDescent="0.3">
      <c r="A630" t="s">
        <v>200</v>
      </c>
      <c r="B630">
        <v>2017</v>
      </c>
      <c r="C630" t="s">
        <v>46</v>
      </c>
      <c r="D630">
        <v>14</v>
      </c>
      <c r="E630">
        <v>6</v>
      </c>
      <c r="F630">
        <v>0</v>
      </c>
      <c r="G630">
        <v>2</v>
      </c>
      <c r="H630">
        <v>1</v>
      </c>
      <c r="I630">
        <v>1</v>
      </c>
      <c r="J630">
        <v>233.33</v>
      </c>
      <c r="K630">
        <v>14</v>
      </c>
      <c r="L630">
        <f>_xlfn.XLOOKUP(C630, dim_teams[team_name], dim_teams[team_id], "Not found", 0)</f>
        <v>14</v>
      </c>
    </row>
    <row r="631" spans="1:12" x14ac:dyDescent="0.3">
      <c r="A631" t="s">
        <v>200</v>
      </c>
      <c r="B631">
        <v>2018</v>
      </c>
      <c r="C631" t="s">
        <v>25</v>
      </c>
      <c r="D631">
        <v>50</v>
      </c>
      <c r="E631">
        <v>29</v>
      </c>
      <c r="F631">
        <v>1</v>
      </c>
      <c r="G631">
        <v>4</v>
      </c>
      <c r="H631">
        <v>3</v>
      </c>
      <c r="I631">
        <v>4</v>
      </c>
      <c r="J631">
        <v>172.41</v>
      </c>
      <c r="K631">
        <v>16.670000000000002</v>
      </c>
      <c r="L631">
        <f>_xlfn.XLOOKUP(C631, dim_teams[team_name], dim_teams[team_id], "Not found", 0)</f>
        <v>3</v>
      </c>
    </row>
    <row r="632" spans="1:12" x14ac:dyDescent="0.3">
      <c r="A632" t="s">
        <v>200</v>
      </c>
      <c r="B632">
        <v>2019</v>
      </c>
      <c r="C632" t="s">
        <v>25</v>
      </c>
      <c r="D632">
        <v>7</v>
      </c>
      <c r="E632">
        <v>9</v>
      </c>
      <c r="F632">
        <v>1</v>
      </c>
      <c r="G632">
        <v>0</v>
      </c>
      <c r="H632">
        <v>2</v>
      </c>
      <c r="I632">
        <v>2</v>
      </c>
      <c r="J632">
        <v>77.78</v>
      </c>
      <c r="K632">
        <v>3.5</v>
      </c>
      <c r="L632">
        <f>_xlfn.XLOOKUP(C632, dim_teams[team_name], dim_teams[team_id], "Not found", 0)</f>
        <v>3</v>
      </c>
    </row>
    <row r="633" spans="1:12" x14ac:dyDescent="0.3">
      <c r="A633" t="s">
        <v>200</v>
      </c>
      <c r="B633">
        <v>2020</v>
      </c>
      <c r="C633" t="s">
        <v>25</v>
      </c>
      <c r="D633">
        <v>7</v>
      </c>
      <c r="E633">
        <v>12</v>
      </c>
      <c r="F633">
        <v>0</v>
      </c>
      <c r="G633">
        <v>0</v>
      </c>
      <c r="H633">
        <v>1</v>
      </c>
      <c r="I633">
        <v>3</v>
      </c>
      <c r="J633">
        <v>58.33</v>
      </c>
      <c r="K633">
        <v>7</v>
      </c>
      <c r="L633">
        <f>_xlfn.XLOOKUP(C633, dim_teams[team_name], dim_teams[team_id], "Not found", 0)</f>
        <v>3</v>
      </c>
    </row>
    <row r="634" spans="1:12" x14ac:dyDescent="0.3">
      <c r="A634" t="s">
        <v>200</v>
      </c>
      <c r="B634">
        <v>2021</v>
      </c>
      <c r="C634" t="s">
        <v>25</v>
      </c>
      <c r="D634">
        <v>1</v>
      </c>
      <c r="E634">
        <v>1</v>
      </c>
      <c r="F634">
        <v>0</v>
      </c>
      <c r="G634">
        <v>0</v>
      </c>
      <c r="H634">
        <v>0</v>
      </c>
      <c r="I634">
        <v>1</v>
      </c>
      <c r="J634">
        <v>100</v>
      </c>
      <c r="L634">
        <f>_xlfn.XLOOKUP(C634, dim_teams[team_name], dim_teams[team_id], "Not found", 0)</f>
        <v>3</v>
      </c>
    </row>
    <row r="635" spans="1:12" x14ac:dyDescent="0.3">
      <c r="A635" t="s">
        <v>200</v>
      </c>
      <c r="B635">
        <v>2023</v>
      </c>
      <c r="C635" t="s">
        <v>25</v>
      </c>
      <c r="D635">
        <v>1</v>
      </c>
      <c r="E635">
        <v>2</v>
      </c>
      <c r="F635">
        <v>0</v>
      </c>
      <c r="G635">
        <v>0</v>
      </c>
      <c r="H635">
        <v>0</v>
      </c>
      <c r="I635">
        <v>1</v>
      </c>
      <c r="J635">
        <v>50</v>
      </c>
      <c r="L635">
        <f>_xlfn.XLOOKUP(C635, dim_teams[team_name], dim_teams[team_id], "Not found", 0)</f>
        <v>3</v>
      </c>
    </row>
    <row r="636" spans="1:12" x14ac:dyDescent="0.3">
      <c r="A636" t="s">
        <v>200</v>
      </c>
      <c r="B636">
        <v>2025</v>
      </c>
      <c r="C636" t="s">
        <v>23</v>
      </c>
      <c r="D636">
        <v>37</v>
      </c>
      <c r="E636">
        <v>25</v>
      </c>
      <c r="F636">
        <v>3</v>
      </c>
      <c r="G636">
        <v>2</v>
      </c>
      <c r="H636">
        <v>1</v>
      </c>
      <c r="I636">
        <v>4</v>
      </c>
      <c r="J636">
        <v>148</v>
      </c>
      <c r="K636">
        <v>37</v>
      </c>
      <c r="L636">
        <f>_xlfn.XLOOKUP(C636, dim_teams[team_name], dim_teams[team_id], "Not found", 0)</f>
        <v>7</v>
      </c>
    </row>
    <row r="637" spans="1:12" x14ac:dyDescent="0.3">
      <c r="A637" t="s">
        <v>201</v>
      </c>
      <c r="B637">
        <v>2009</v>
      </c>
      <c r="C637" t="s">
        <v>32</v>
      </c>
      <c r="D637">
        <v>34</v>
      </c>
      <c r="E637">
        <v>31</v>
      </c>
      <c r="F637">
        <v>3</v>
      </c>
      <c r="G637">
        <v>0</v>
      </c>
      <c r="H637">
        <v>2</v>
      </c>
      <c r="I637">
        <v>3</v>
      </c>
      <c r="J637">
        <v>109.68</v>
      </c>
      <c r="K637">
        <v>17</v>
      </c>
      <c r="L637">
        <f>_xlfn.XLOOKUP(C637, dim_teams[team_name], dim_teams[team_id], "Not found", 0)</f>
        <v>6</v>
      </c>
    </row>
    <row r="638" spans="1:12" x14ac:dyDescent="0.3">
      <c r="A638" t="s">
        <v>201</v>
      </c>
      <c r="B638">
        <v>2010</v>
      </c>
      <c r="C638" t="s">
        <v>32</v>
      </c>
      <c r="D638">
        <v>33</v>
      </c>
      <c r="E638">
        <v>27</v>
      </c>
      <c r="F638">
        <v>4</v>
      </c>
      <c r="G638">
        <v>0</v>
      </c>
      <c r="H638">
        <v>1</v>
      </c>
      <c r="I638">
        <v>3</v>
      </c>
      <c r="J638">
        <v>122.22</v>
      </c>
      <c r="K638">
        <v>33</v>
      </c>
      <c r="L638">
        <f>_xlfn.XLOOKUP(C638, dim_teams[team_name], dim_teams[team_id], "Not found", 0)</f>
        <v>6</v>
      </c>
    </row>
    <row r="639" spans="1:12" x14ac:dyDescent="0.3">
      <c r="A639" t="s">
        <v>201</v>
      </c>
      <c r="B639">
        <v>2011</v>
      </c>
      <c r="C639" t="s">
        <v>21</v>
      </c>
      <c r="D639">
        <v>23</v>
      </c>
      <c r="E639">
        <v>28</v>
      </c>
      <c r="F639">
        <v>1</v>
      </c>
      <c r="G639">
        <v>1</v>
      </c>
      <c r="H639">
        <v>1</v>
      </c>
      <c r="I639">
        <v>4</v>
      </c>
      <c r="J639">
        <v>82.14</v>
      </c>
      <c r="K639">
        <v>23</v>
      </c>
      <c r="L639">
        <f>_xlfn.XLOOKUP(C639, dim_teams[team_name], dim_teams[team_id], "Not found", 0)</f>
        <v>2</v>
      </c>
    </row>
    <row r="640" spans="1:12" x14ac:dyDescent="0.3">
      <c r="A640" t="s">
        <v>201</v>
      </c>
      <c r="B640">
        <v>2012</v>
      </c>
      <c r="C640" t="s">
        <v>21</v>
      </c>
      <c r="D640">
        <v>31</v>
      </c>
      <c r="E640">
        <v>26</v>
      </c>
      <c r="F640">
        <v>3</v>
      </c>
      <c r="G640">
        <v>1</v>
      </c>
      <c r="H640">
        <v>3</v>
      </c>
      <c r="I640">
        <v>6</v>
      </c>
      <c r="J640">
        <v>119.23</v>
      </c>
      <c r="K640">
        <v>10.33</v>
      </c>
      <c r="L640">
        <f>_xlfn.XLOOKUP(C640, dim_teams[team_name], dim_teams[team_id], "Not found", 0)</f>
        <v>2</v>
      </c>
    </row>
    <row r="641" spans="1:12" x14ac:dyDescent="0.3">
      <c r="A641" t="s">
        <v>202</v>
      </c>
      <c r="B641">
        <v>2017</v>
      </c>
      <c r="C641" t="s">
        <v>19</v>
      </c>
      <c r="D641">
        <v>6</v>
      </c>
      <c r="E641">
        <v>5</v>
      </c>
      <c r="F641">
        <v>1</v>
      </c>
      <c r="G641">
        <v>0</v>
      </c>
      <c r="H641">
        <v>0</v>
      </c>
      <c r="I641">
        <v>1</v>
      </c>
      <c r="J641">
        <v>120</v>
      </c>
      <c r="L641">
        <f>_xlfn.XLOOKUP(C641, dim_teams[team_name], dim_teams[team_id], "Not found", 0)</f>
        <v>1</v>
      </c>
    </row>
    <row r="642" spans="1:12" x14ac:dyDescent="0.3">
      <c r="A642" t="s">
        <v>203</v>
      </c>
      <c r="B642">
        <v>2008</v>
      </c>
      <c r="C642" t="s">
        <v>12</v>
      </c>
      <c r="D642">
        <v>11</v>
      </c>
      <c r="E642">
        <v>9</v>
      </c>
      <c r="F642">
        <v>1</v>
      </c>
      <c r="G642">
        <v>0</v>
      </c>
      <c r="H642">
        <v>1</v>
      </c>
      <c r="I642">
        <v>2</v>
      </c>
      <c r="J642">
        <v>122.22</v>
      </c>
      <c r="K642">
        <v>11</v>
      </c>
      <c r="L642">
        <f>_xlfn.XLOOKUP(C642, dim_teams[team_name], dim_teams[team_id], "Not found", 0)</f>
        <v>8</v>
      </c>
    </row>
    <row r="643" spans="1:12" x14ac:dyDescent="0.3">
      <c r="A643" t="s">
        <v>204</v>
      </c>
      <c r="B643">
        <v>2022</v>
      </c>
      <c r="C643" t="s">
        <v>25</v>
      </c>
      <c r="D643">
        <v>252</v>
      </c>
      <c r="E643">
        <v>172</v>
      </c>
      <c r="F643">
        <v>23</v>
      </c>
      <c r="G643">
        <v>12</v>
      </c>
      <c r="H643">
        <v>6</v>
      </c>
      <c r="I643">
        <v>7</v>
      </c>
      <c r="J643">
        <v>146.51</v>
      </c>
      <c r="K643">
        <v>42</v>
      </c>
      <c r="L643">
        <f>_xlfn.XLOOKUP(C643, dim_teams[team_name], dim_teams[team_id], "Not found", 0)</f>
        <v>3</v>
      </c>
    </row>
    <row r="644" spans="1:12" x14ac:dyDescent="0.3">
      <c r="A644" t="s">
        <v>204</v>
      </c>
      <c r="B644">
        <v>2023</v>
      </c>
      <c r="C644" t="s">
        <v>25</v>
      </c>
      <c r="D644">
        <v>672</v>
      </c>
      <c r="E644">
        <v>479</v>
      </c>
      <c r="F644">
        <v>77</v>
      </c>
      <c r="G644">
        <v>18</v>
      </c>
      <c r="H644">
        <v>14</v>
      </c>
      <c r="I644">
        <v>15</v>
      </c>
      <c r="J644">
        <v>140.29</v>
      </c>
      <c r="K644">
        <v>48</v>
      </c>
      <c r="L644">
        <f>_xlfn.XLOOKUP(C644, dim_teams[team_name], dim_teams[team_id], "Not found", 0)</f>
        <v>3</v>
      </c>
    </row>
    <row r="645" spans="1:12" x14ac:dyDescent="0.3">
      <c r="A645" t="s">
        <v>204</v>
      </c>
      <c r="B645">
        <v>2025</v>
      </c>
      <c r="C645" t="s">
        <v>25</v>
      </c>
      <c r="D645">
        <v>156</v>
      </c>
      <c r="E645">
        <v>119</v>
      </c>
      <c r="F645">
        <v>17</v>
      </c>
      <c r="G645">
        <v>4</v>
      </c>
      <c r="H645">
        <v>5</v>
      </c>
      <c r="I645">
        <v>6</v>
      </c>
      <c r="J645">
        <v>131.09</v>
      </c>
      <c r="K645">
        <v>31.2</v>
      </c>
      <c r="L645">
        <f>_xlfn.XLOOKUP(C645, dim_teams[team_name], dim_teams[team_id], "Not found", 0)</f>
        <v>3</v>
      </c>
    </row>
    <row r="646" spans="1:12" x14ac:dyDescent="0.3">
      <c r="A646" t="s">
        <v>205</v>
      </c>
      <c r="B646">
        <v>2010</v>
      </c>
      <c r="C646" t="s">
        <v>32</v>
      </c>
      <c r="D646">
        <v>4</v>
      </c>
      <c r="E646">
        <v>13</v>
      </c>
      <c r="F646">
        <v>0</v>
      </c>
      <c r="G646">
        <v>0</v>
      </c>
      <c r="H646">
        <v>1</v>
      </c>
      <c r="I646">
        <v>2</v>
      </c>
      <c r="J646">
        <v>30.77</v>
      </c>
      <c r="K646">
        <v>4</v>
      </c>
      <c r="L646">
        <f>_xlfn.XLOOKUP(C646, dim_teams[team_name], dim_teams[team_id], "Not found", 0)</f>
        <v>6</v>
      </c>
    </row>
    <row r="647" spans="1:12" x14ac:dyDescent="0.3">
      <c r="A647" t="s">
        <v>206</v>
      </c>
      <c r="B647">
        <v>2008</v>
      </c>
      <c r="C647" t="s">
        <v>12</v>
      </c>
      <c r="D647">
        <v>1</v>
      </c>
      <c r="E647">
        <v>1</v>
      </c>
      <c r="F647">
        <v>0</v>
      </c>
      <c r="G647">
        <v>0</v>
      </c>
      <c r="H647">
        <v>0</v>
      </c>
      <c r="I647">
        <v>1</v>
      </c>
      <c r="J647">
        <v>100</v>
      </c>
      <c r="L647">
        <f>_xlfn.XLOOKUP(C647, dim_teams[team_name], dim_teams[team_id], "Not found", 0)</f>
        <v>8</v>
      </c>
    </row>
    <row r="648" spans="1:12" x14ac:dyDescent="0.3">
      <c r="A648" t="s">
        <v>207</v>
      </c>
      <c r="B648">
        <v>2008</v>
      </c>
      <c r="C648" t="s">
        <v>54</v>
      </c>
      <c r="D648">
        <v>179</v>
      </c>
      <c r="E648">
        <v>131</v>
      </c>
      <c r="F648">
        <v>15</v>
      </c>
      <c r="G648">
        <v>7</v>
      </c>
      <c r="H648">
        <v>9</v>
      </c>
      <c r="I648">
        <v>12</v>
      </c>
      <c r="J648">
        <v>136.63999999999999</v>
      </c>
      <c r="K648">
        <v>19.89</v>
      </c>
      <c r="L648">
        <f>_xlfn.XLOOKUP(C648, dim_teams[team_name], dim_teams[team_id], "Not found", 0)</f>
        <v>4</v>
      </c>
    </row>
    <row r="649" spans="1:12" x14ac:dyDescent="0.3">
      <c r="A649" t="s">
        <v>207</v>
      </c>
      <c r="B649">
        <v>2009</v>
      </c>
      <c r="C649" t="s">
        <v>54</v>
      </c>
      <c r="D649">
        <v>219</v>
      </c>
      <c r="E649">
        <v>165</v>
      </c>
      <c r="F649">
        <v>17</v>
      </c>
      <c r="G649">
        <v>7</v>
      </c>
      <c r="H649">
        <v>7</v>
      </c>
      <c r="I649">
        <v>10</v>
      </c>
      <c r="J649">
        <v>132.72999999999999</v>
      </c>
      <c r="K649">
        <v>31.29</v>
      </c>
      <c r="L649">
        <f>_xlfn.XLOOKUP(C649, dim_teams[team_name], dim_teams[team_id], "Not found", 0)</f>
        <v>4</v>
      </c>
    </row>
    <row r="650" spans="1:12" x14ac:dyDescent="0.3">
      <c r="A650" t="s">
        <v>207</v>
      </c>
      <c r="B650">
        <v>2010</v>
      </c>
      <c r="C650" t="s">
        <v>54</v>
      </c>
      <c r="D650">
        <v>445</v>
      </c>
      <c r="E650">
        <v>299</v>
      </c>
      <c r="F650">
        <v>55</v>
      </c>
      <c r="G650">
        <v>12</v>
      </c>
      <c r="H650">
        <v>12</v>
      </c>
      <c r="I650">
        <v>13</v>
      </c>
      <c r="J650">
        <v>148.83000000000001</v>
      </c>
      <c r="K650">
        <v>37.08</v>
      </c>
      <c r="L650">
        <f>_xlfn.XLOOKUP(C650, dim_teams[team_name], dim_teams[team_id], "Not found", 0)</f>
        <v>4</v>
      </c>
    </row>
    <row r="651" spans="1:12" x14ac:dyDescent="0.3">
      <c r="A651" t="s">
        <v>207</v>
      </c>
      <c r="B651">
        <v>2011</v>
      </c>
      <c r="C651" t="s">
        <v>122</v>
      </c>
      <c r="D651">
        <v>299</v>
      </c>
      <c r="E651">
        <v>257</v>
      </c>
      <c r="F651">
        <v>35</v>
      </c>
      <c r="G651">
        <v>5</v>
      </c>
      <c r="H651">
        <v>12</v>
      </c>
      <c r="I651">
        <v>13</v>
      </c>
      <c r="J651">
        <v>116.34</v>
      </c>
      <c r="K651">
        <v>24.92</v>
      </c>
      <c r="L651">
        <f>_xlfn.XLOOKUP(C651, dim_teams[team_name], dim_teams[team_id], "Not found", 0)</f>
        <v>9</v>
      </c>
    </row>
    <row r="652" spans="1:12" x14ac:dyDescent="0.3">
      <c r="A652" t="s">
        <v>207</v>
      </c>
      <c r="B652">
        <v>2012</v>
      </c>
      <c r="C652" t="s">
        <v>32</v>
      </c>
      <c r="D652">
        <v>335</v>
      </c>
      <c r="E652">
        <v>298</v>
      </c>
      <c r="F652">
        <v>39</v>
      </c>
      <c r="G652">
        <v>3</v>
      </c>
      <c r="H652">
        <v>10</v>
      </c>
      <c r="I652">
        <v>15</v>
      </c>
      <c r="J652">
        <v>112.42</v>
      </c>
      <c r="K652">
        <v>33.5</v>
      </c>
      <c r="L652">
        <f>_xlfn.XLOOKUP(C652, dim_teams[team_name], dim_teams[team_id], "Not found", 0)</f>
        <v>6</v>
      </c>
    </row>
    <row r="653" spans="1:12" x14ac:dyDescent="0.3">
      <c r="A653" t="s">
        <v>207</v>
      </c>
      <c r="B653">
        <v>2013</v>
      </c>
      <c r="C653" t="s">
        <v>32</v>
      </c>
      <c r="D653">
        <v>331</v>
      </c>
      <c r="E653">
        <v>312</v>
      </c>
      <c r="F653">
        <v>39</v>
      </c>
      <c r="G653">
        <v>6</v>
      </c>
      <c r="H653">
        <v>14</v>
      </c>
      <c r="I653">
        <v>15</v>
      </c>
      <c r="J653">
        <v>106.09</v>
      </c>
      <c r="K653">
        <v>23.64</v>
      </c>
      <c r="L653">
        <f>_xlfn.XLOOKUP(C653, dim_teams[team_name], dim_teams[team_id], "Not found", 0)</f>
        <v>6</v>
      </c>
    </row>
    <row r="654" spans="1:12" x14ac:dyDescent="0.3">
      <c r="A654" t="s">
        <v>208</v>
      </c>
      <c r="B654">
        <v>2010</v>
      </c>
      <c r="C654" t="s">
        <v>17</v>
      </c>
      <c r="D654">
        <v>19</v>
      </c>
      <c r="E654">
        <v>24</v>
      </c>
      <c r="F654">
        <v>1</v>
      </c>
      <c r="G654">
        <v>0</v>
      </c>
      <c r="H654">
        <v>2</v>
      </c>
      <c r="I654">
        <v>1</v>
      </c>
      <c r="J654">
        <v>79.17</v>
      </c>
      <c r="K654">
        <v>9.5</v>
      </c>
      <c r="L654">
        <f>_xlfn.XLOOKUP(C654, dim_teams[team_name], dim_teams[team_id], "Not found", 0)</f>
        <v>5</v>
      </c>
    </row>
    <row r="655" spans="1:12" x14ac:dyDescent="0.3">
      <c r="A655" t="s">
        <v>209</v>
      </c>
      <c r="B655">
        <v>2020</v>
      </c>
      <c r="C655" t="s">
        <v>33</v>
      </c>
      <c r="D655">
        <v>0</v>
      </c>
      <c r="E655">
        <v>2</v>
      </c>
      <c r="F655">
        <v>0</v>
      </c>
      <c r="G655">
        <v>0</v>
      </c>
      <c r="H655">
        <v>1</v>
      </c>
      <c r="I655">
        <v>1</v>
      </c>
      <c r="J655">
        <v>0</v>
      </c>
      <c r="K655">
        <v>0</v>
      </c>
      <c r="L655">
        <f>_xlfn.XLOOKUP(C655, dim_teams[team_name], dim_teams[team_id], "Not found", 0)</f>
        <v>15</v>
      </c>
    </row>
    <row r="656" spans="1:12" x14ac:dyDescent="0.3">
      <c r="A656" t="s">
        <v>209</v>
      </c>
      <c r="B656">
        <v>2021</v>
      </c>
      <c r="C656" t="s">
        <v>21</v>
      </c>
      <c r="D656">
        <v>6</v>
      </c>
      <c r="E656">
        <v>6</v>
      </c>
      <c r="F656">
        <v>0</v>
      </c>
      <c r="G656">
        <v>0</v>
      </c>
      <c r="H656">
        <v>1</v>
      </c>
      <c r="I656">
        <v>2</v>
      </c>
      <c r="J656">
        <v>100</v>
      </c>
      <c r="K656">
        <v>6</v>
      </c>
      <c r="L656">
        <f>_xlfn.XLOOKUP(C656, dim_teams[team_name], dim_teams[team_id], "Not found", 0)</f>
        <v>2</v>
      </c>
    </row>
    <row r="657" spans="1:12" x14ac:dyDescent="0.3">
      <c r="A657" t="s">
        <v>209</v>
      </c>
      <c r="B657">
        <v>2022</v>
      </c>
      <c r="C657" t="s">
        <v>23</v>
      </c>
      <c r="D657">
        <v>38</v>
      </c>
      <c r="E657">
        <v>36</v>
      </c>
      <c r="F657">
        <v>1</v>
      </c>
      <c r="G657">
        <v>3</v>
      </c>
      <c r="H657">
        <v>8</v>
      </c>
      <c r="I657">
        <v>10</v>
      </c>
      <c r="J657">
        <v>105.56</v>
      </c>
      <c r="K657">
        <v>4.75</v>
      </c>
      <c r="L657">
        <f>_xlfn.XLOOKUP(C657, dim_teams[team_name], dim_teams[team_id], "Not found", 0)</f>
        <v>7</v>
      </c>
    </row>
    <row r="658" spans="1:12" x14ac:dyDescent="0.3">
      <c r="A658" t="s">
        <v>210</v>
      </c>
      <c r="B658">
        <v>2018</v>
      </c>
      <c r="C658" t="s">
        <v>25</v>
      </c>
      <c r="D658">
        <v>8</v>
      </c>
      <c r="E658">
        <v>9</v>
      </c>
      <c r="F658">
        <v>0</v>
      </c>
      <c r="G658">
        <v>1</v>
      </c>
      <c r="H658">
        <v>1</v>
      </c>
      <c r="I658">
        <v>1</v>
      </c>
      <c r="J658">
        <v>88.89</v>
      </c>
      <c r="K658">
        <v>8</v>
      </c>
      <c r="L658">
        <f>_xlfn.XLOOKUP(C658, dim_teams[team_name], dim_teams[team_id], "Not found", 0)</f>
        <v>3</v>
      </c>
    </row>
    <row r="659" spans="1:12" x14ac:dyDescent="0.3">
      <c r="A659" t="s">
        <v>210</v>
      </c>
      <c r="B659">
        <v>2019</v>
      </c>
      <c r="C659" t="s">
        <v>25</v>
      </c>
      <c r="D659">
        <v>5</v>
      </c>
      <c r="E659">
        <v>8</v>
      </c>
      <c r="F659">
        <v>0</v>
      </c>
      <c r="G659">
        <v>0</v>
      </c>
      <c r="H659">
        <v>1</v>
      </c>
      <c r="I659">
        <v>1</v>
      </c>
      <c r="J659">
        <v>62.5</v>
      </c>
      <c r="K659">
        <v>5</v>
      </c>
      <c r="L659">
        <f>_xlfn.XLOOKUP(C659, dim_teams[team_name], dim_teams[team_id], "Not found", 0)</f>
        <v>3</v>
      </c>
    </row>
    <row r="660" spans="1:12" x14ac:dyDescent="0.3">
      <c r="A660" t="s">
        <v>211</v>
      </c>
      <c r="B660">
        <v>2008</v>
      </c>
      <c r="C660" t="s">
        <v>23</v>
      </c>
      <c r="D660">
        <v>45</v>
      </c>
      <c r="E660">
        <v>40</v>
      </c>
      <c r="F660">
        <v>5</v>
      </c>
      <c r="G660">
        <v>1</v>
      </c>
      <c r="H660">
        <v>2</v>
      </c>
      <c r="I660">
        <v>3</v>
      </c>
      <c r="J660">
        <v>112.5</v>
      </c>
      <c r="K660">
        <v>22.5</v>
      </c>
      <c r="L660">
        <f>_xlfn.XLOOKUP(C660, dim_teams[team_name], dim_teams[team_id], "Not found", 0)</f>
        <v>7</v>
      </c>
    </row>
    <row r="661" spans="1:12" x14ac:dyDescent="0.3">
      <c r="A661" t="s">
        <v>211</v>
      </c>
      <c r="B661">
        <v>2009</v>
      </c>
      <c r="C661" t="s">
        <v>12</v>
      </c>
      <c r="D661">
        <v>215</v>
      </c>
      <c r="E661">
        <v>131</v>
      </c>
      <c r="F661">
        <v>12</v>
      </c>
      <c r="G661">
        <v>15</v>
      </c>
      <c r="H661">
        <v>8</v>
      </c>
      <c r="I661">
        <v>8</v>
      </c>
      <c r="J661">
        <v>164.12</v>
      </c>
      <c r="K661">
        <v>26.88</v>
      </c>
      <c r="L661">
        <f>_xlfn.XLOOKUP(C661, dim_teams[team_name], dim_teams[team_id], "Not found", 0)</f>
        <v>8</v>
      </c>
    </row>
    <row r="662" spans="1:12" x14ac:dyDescent="0.3">
      <c r="A662" t="s">
        <v>211</v>
      </c>
      <c r="B662">
        <v>2010</v>
      </c>
      <c r="C662" t="s">
        <v>12</v>
      </c>
      <c r="D662">
        <v>22</v>
      </c>
      <c r="E662">
        <v>25</v>
      </c>
      <c r="F662">
        <v>1</v>
      </c>
      <c r="G662">
        <v>1</v>
      </c>
      <c r="H662">
        <v>2</v>
      </c>
      <c r="I662">
        <v>3</v>
      </c>
      <c r="J662">
        <v>88</v>
      </c>
      <c r="K662">
        <v>11</v>
      </c>
      <c r="L662">
        <f>_xlfn.XLOOKUP(C662, dim_teams[team_name], dim_teams[team_id], "Not found", 0)</f>
        <v>8</v>
      </c>
    </row>
    <row r="663" spans="1:12" x14ac:dyDescent="0.3">
      <c r="A663" t="s">
        <v>211</v>
      </c>
      <c r="B663">
        <v>2012</v>
      </c>
      <c r="C663" t="s">
        <v>23</v>
      </c>
      <c r="D663">
        <v>157</v>
      </c>
      <c r="E663">
        <v>97</v>
      </c>
      <c r="F663">
        <v>18</v>
      </c>
      <c r="G663">
        <v>7</v>
      </c>
      <c r="H663">
        <v>4</v>
      </c>
      <c r="I663">
        <v>6</v>
      </c>
      <c r="J663">
        <v>161.86000000000001</v>
      </c>
      <c r="K663">
        <v>39.25</v>
      </c>
      <c r="L663">
        <f>_xlfn.XLOOKUP(C663, dim_teams[team_name], dim_teams[team_id], "Not found", 0)</f>
        <v>7</v>
      </c>
    </row>
    <row r="664" spans="1:12" x14ac:dyDescent="0.3">
      <c r="A664" t="s">
        <v>211</v>
      </c>
      <c r="B664">
        <v>2013</v>
      </c>
      <c r="C664" t="s">
        <v>23</v>
      </c>
      <c r="D664">
        <v>418</v>
      </c>
      <c r="E664">
        <v>340</v>
      </c>
      <c r="F664">
        <v>40</v>
      </c>
      <c r="G664">
        <v>19</v>
      </c>
      <c r="H664">
        <v>13</v>
      </c>
      <c r="I664">
        <v>13</v>
      </c>
      <c r="J664">
        <v>122.94</v>
      </c>
      <c r="K664">
        <v>32.15</v>
      </c>
      <c r="L664">
        <f>_xlfn.XLOOKUP(C664, dim_teams[team_name], dim_teams[team_id], "Not found", 0)</f>
        <v>7</v>
      </c>
    </row>
    <row r="665" spans="1:12" x14ac:dyDescent="0.3">
      <c r="A665" t="s">
        <v>211</v>
      </c>
      <c r="B665">
        <v>2014</v>
      </c>
      <c r="C665" t="s">
        <v>25</v>
      </c>
      <c r="D665">
        <v>566</v>
      </c>
      <c r="E665">
        <v>415</v>
      </c>
      <c r="F665">
        <v>50</v>
      </c>
      <c r="G665">
        <v>34</v>
      </c>
      <c r="H665">
        <v>17</v>
      </c>
      <c r="I665">
        <v>16</v>
      </c>
      <c r="J665">
        <v>136.38999999999999</v>
      </c>
      <c r="K665">
        <v>33.29</v>
      </c>
      <c r="L665">
        <f>_xlfn.XLOOKUP(C665, dim_teams[team_name], dim_teams[team_id], "Not found", 0)</f>
        <v>3</v>
      </c>
    </row>
    <row r="666" spans="1:12" x14ac:dyDescent="0.3">
      <c r="A666" t="s">
        <v>211</v>
      </c>
      <c r="B666">
        <v>2015</v>
      </c>
      <c r="C666" t="s">
        <v>25</v>
      </c>
      <c r="D666">
        <v>399</v>
      </c>
      <c r="E666">
        <v>331</v>
      </c>
      <c r="F666">
        <v>52</v>
      </c>
      <c r="G666">
        <v>16</v>
      </c>
      <c r="H666">
        <v>14</v>
      </c>
      <c r="I666">
        <v>16</v>
      </c>
      <c r="J666">
        <v>120.54</v>
      </c>
      <c r="K666">
        <v>28.5</v>
      </c>
      <c r="L666">
        <f>_xlfn.XLOOKUP(C666, dim_teams[team_name], dim_teams[team_id], "Not found", 0)</f>
        <v>3</v>
      </c>
    </row>
    <row r="667" spans="1:12" x14ac:dyDescent="0.3">
      <c r="A667" t="s">
        <v>211</v>
      </c>
      <c r="B667">
        <v>2016</v>
      </c>
      <c r="C667" t="s">
        <v>66</v>
      </c>
      <c r="D667">
        <v>324</v>
      </c>
      <c r="E667">
        <v>220</v>
      </c>
      <c r="F667">
        <v>35</v>
      </c>
      <c r="G667">
        <v>16</v>
      </c>
      <c r="H667">
        <v>11</v>
      </c>
      <c r="I667">
        <v>12</v>
      </c>
      <c r="J667">
        <v>147.27000000000001</v>
      </c>
      <c r="K667">
        <v>29.45</v>
      </c>
      <c r="L667">
        <f>_xlfn.XLOOKUP(C667, dim_teams[team_name], dim_teams[team_id], "Not found", 0)</f>
        <v>13</v>
      </c>
    </row>
    <row r="668" spans="1:12" x14ac:dyDescent="0.3">
      <c r="A668" t="s">
        <v>211</v>
      </c>
      <c r="B668">
        <v>2017</v>
      </c>
      <c r="C668" t="s">
        <v>66</v>
      </c>
      <c r="D668">
        <v>239</v>
      </c>
      <c r="E668">
        <v>156</v>
      </c>
      <c r="F668">
        <v>32</v>
      </c>
      <c r="G668">
        <v>8</v>
      </c>
      <c r="H668">
        <v>10</v>
      </c>
      <c r="I668">
        <v>11</v>
      </c>
      <c r="J668">
        <v>153.21</v>
      </c>
      <c r="K668">
        <v>23.9</v>
      </c>
      <c r="L668">
        <f>_xlfn.XLOOKUP(C668, dim_teams[team_name], dim_teams[team_id], "Not found", 0)</f>
        <v>13</v>
      </c>
    </row>
    <row r="669" spans="1:12" x14ac:dyDescent="0.3">
      <c r="A669" t="s">
        <v>212</v>
      </c>
      <c r="B669">
        <v>2008</v>
      </c>
      <c r="C669" t="s">
        <v>23</v>
      </c>
      <c r="D669">
        <v>2</v>
      </c>
      <c r="E669">
        <v>16</v>
      </c>
      <c r="F669">
        <v>0</v>
      </c>
      <c r="G669">
        <v>0</v>
      </c>
      <c r="H669">
        <v>0</v>
      </c>
      <c r="I669">
        <v>1</v>
      </c>
      <c r="J669">
        <v>12.5</v>
      </c>
      <c r="L669">
        <f>_xlfn.XLOOKUP(C669, dim_teams[team_name], dim_teams[team_id], "Not found", 0)</f>
        <v>7</v>
      </c>
    </row>
    <row r="670" spans="1:12" x14ac:dyDescent="0.3">
      <c r="A670" t="s">
        <v>212</v>
      </c>
      <c r="B670">
        <v>2009</v>
      </c>
      <c r="C670" t="s">
        <v>23</v>
      </c>
      <c r="D670">
        <v>9</v>
      </c>
      <c r="E670">
        <v>17</v>
      </c>
      <c r="F670">
        <v>0</v>
      </c>
      <c r="G670">
        <v>0</v>
      </c>
      <c r="H670">
        <v>2</v>
      </c>
      <c r="I670">
        <v>3</v>
      </c>
      <c r="J670">
        <v>52.94</v>
      </c>
      <c r="K670">
        <v>4.5</v>
      </c>
      <c r="L670">
        <f>_xlfn.XLOOKUP(C670, dim_teams[team_name], dim_teams[team_id], "Not found", 0)</f>
        <v>7</v>
      </c>
    </row>
    <row r="671" spans="1:12" x14ac:dyDescent="0.3">
      <c r="A671" t="s">
        <v>212</v>
      </c>
      <c r="B671">
        <v>2011</v>
      </c>
      <c r="C671" t="s">
        <v>23</v>
      </c>
      <c r="D671">
        <v>2</v>
      </c>
      <c r="E671">
        <v>4</v>
      </c>
      <c r="F671">
        <v>0</v>
      </c>
      <c r="G671">
        <v>0</v>
      </c>
      <c r="H671">
        <v>1</v>
      </c>
      <c r="I671">
        <v>1</v>
      </c>
      <c r="J671">
        <v>50</v>
      </c>
      <c r="K671">
        <v>2</v>
      </c>
      <c r="L671">
        <f>_xlfn.XLOOKUP(C671, dim_teams[team_name], dim_teams[team_id], "Not found", 0)</f>
        <v>7</v>
      </c>
    </row>
    <row r="672" spans="1:12" x14ac:dyDescent="0.3">
      <c r="A672" t="s">
        <v>212</v>
      </c>
      <c r="B672">
        <v>2012</v>
      </c>
      <c r="C672" t="s">
        <v>23</v>
      </c>
      <c r="D672">
        <v>10</v>
      </c>
      <c r="E672">
        <v>5</v>
      </c>
      <c r="F672">
        <v>2</v>
      </c>
      <c r="G672">
        <v>0</v>
      </c>
      <c r="H672">
        <v>0</v>
      </c>
      <c r="I672">
        <v>1</v>
      </c>
      <c r="J672">
        <v>200</v>
      </c>
      <c r="L672">
        <f>_xlfn.XLOOKUP(C672, dim_teams[team_name], dim_teams[team_id], "Not found", 0)</f>
        <v>7</v>
      </c>
    </row>
    <row r="673" spans="1:12" x14ac:dyDescent="0.3">
      <c r="A673" t="s">
        <v>212</v>
      </c>
      <c r="B673">
        <v>2014</v>
      </c>
      <c r="C673" t="s">
        <v>17</v>
      </c>
      <c r="D673">
        <v>35</v>
      </c>
      <c r="E673">
        <v>25</v>
      </c>
      <c r="F673">
        <v>1</v>
      </c>
      <c r="G673">
        <v>2</v>
      </c>
      <c r="H673">
        <v>1</v>
      </c>
      <c r="I673">
        <v>2</v>
      </c>
      <c r="J673">
        <v>140</v>
      </c>
      <c r="K673">
        <v>35</v>
      </c>
      <c r="L673">
        <f>_xlfn.XLOOKUP(C673, dim_teams[team_name], dim_teams[team_id], "Not found", 0)</f>
        <v>5</v>
      </c>
    </row>
    <row r="674" spans="1:12" x14ac:dyDescent="0.3">
      <c r="A674" t="s">
        <v>212</v>
      </c>
      <c r="B674">
        <v>2015</v>
      </c>
      <c r="C674" t="s">
        <v>17</v>
      </c>
      <c r="D674">
        <v>4</v>
      </c>
      <c r="E674">
        <v>11</v>
      </c>
      <c r="F674">
        <v>0</v>
      </c>
      <c r="G674">
        <v>0</v>
      </c>
      <c r="H674">
        <v>2</v>
      </c>
      <c r="I674">
        <v>2</v>
      </c>
      <c r="J674">
        <v>36.36</v>
      </c>
      <c r="K674">
        <v>2</v>
      </c>
      <c r="L674">
        <f>_xlfn.XLOOKUP(C674, dim_teams[team_name], dim_teams[team_id], "Not found", 0)</f>
        <v>5</v>
      </c>
    </row>
    <row r="675" spans="1:12" x14ac:dyDescent="0.3">
      <c r="A675" t="s">
        <v>212</v>
      </c>
      <c r="B675">
        <v>2016</v>
      </c>
      <c r="C675" t="s">
        <v>66</v>
      </c>
      <c r="D675">
        <v>27</v>
      </c>
      <c r="E675">
        <v>16</v>
      </c>
      <c r="F675">
        <v>3</v>
      </c>
      <c r="G675">
        <v>0</v>
      </c>
      <c r="H675">
        <v>2</v>
      </c>
      <c r="I675">
        <v>5</v>
      </c>
      <c r="J675">
        <v>168.75</v>
      </c>
      <c r="K675">
        <v>13.5</v>
      </c>
      <c r="L675">
        <f>_xlfn.XLOOKUP(C675, dim_teams[team_name], dim_teams[team_id], "Not found", 0)</f>
        <v>13</v>
      </c>
    </row>
    <row r="676" spans="1:12" x14ac:dyDescent="0.3">
      <c r="A676" t="s">
        <v>212</v>
      </c>
      <c r="B676">
        <v>2017</v>
      </c>
      <c r="C676" t="s">
        <v>66</v>
      </c>
      <c r="D676">
        <v>1</v>
      </c>
      <c r="E676">
        <v>2</v>
      </c>
      <c r="F676">
        <v>0</v>
      </c>
      <c r="G676">
        <v>0</v>
      </c>
      <c r="H676">
        <v>1</v>
      </c>
      <c r="I676">
        <v>1</v>
      </c>
      <c r="J676">
        <v>50</v>
      </c>
      <c r="K676">
        <v>1</v>
      </c>
      <c r="L676">
        <f>_xlfn.XLOOKUP(C676, dim_teams[team_name], dim_teams[team_id], "Not found", 0)</f>
        <v>13</v>
      </c>
    </row>
    <row r="677" spans="1:12" x14ac:dyDescent="0.3">
      <c r="A677" t="s">
        <v>212</v>
      </c>
      <c r="B677">
        <v>2018</v>
      </c>
      <c r="C677" t="s">
        <v>17</v>
      </c>
      <c r="D677">
        <v>6</v>
      </c>
      <c r="E677">
        <v>7</v>
      </c>
      <c r="F677">
        <v>0</v>
      </c>
      <c r="G677">
        <v>0</v>
      </c>
      <c r="H677">
        <v>0</v>
      </c>
      <c r="I677">
        <v>2</v>
      </c>
      <c r="J677">
        <v>85.71</v>
      </c>
      <c r="L677">
        <f>_xlfn.XLOOKUP(C677, dim_teams[team_name], dim_teams[team_id], "Not found", 0)</f>
        <v>5</v>
      </c>
    </row>
    <row r="678" spans="1:12" x14ac:dyDescent="0.3">
      <c r="A678" t="s">
        <v>212</v>
      </c>
      <c r="B678">
        <v>2019</v>
      </c>
      <c r="C678" t="s">
        <v>17</v>
      </c>
      <c r="D678">
        <v>5</v>
      </c>
      <c r="E678">
        <v>3</v>
      </c>
      <c r="F678">
        <v>1</v>
      </c>
      <c r="G678">
        <v>0</v>
      </c>
      <c r="H678">
        <v>0</v>
      </c>
      <c r="I678">
        <v>1</v>
      </c>
      <c r="J678">
        <v>166.67</v>
      </c>
      <c r="L678">
        <f>_xlfn.XLOOKUP(C678, dim_teams[team_name], dim_teams[team_id], "Not found", 0)</f>
        <v>5</v>
      </c>
    </row>
    <row r="679" spans="1:12" x14ac:dyDescent="0.3">
      <c r="A679" t="s">
        <v>212</v>
      </c>
      <c r="B679">
        <v>2020</v>
      </c>
      <c r="C679" t="s">
        <v>23</v>
      </c>
      <c r="D679">
        <v>3</v>
      </c>
      <c r="E679">
        <v>2</v>
      </c>
      <c r="F679">
        <v>0</v>
      </c>
      <c r="G679">
        <v>0</v>
      </c>
      <c r="H679">
        <v>0</v>
      </c>
      <c r="I679">
        <v>1</v>
      </c>
      <c r="J679">
        <v>150</v>
      </c>
      <c r="L679">
        <f>_xlfn.XLOOKUP(C679, dim_teams[team_name], dim_teams[team_id], "Not found", 0)</f>
        <v>7</v>
      </c>
    </row>
    <row r="680" spans="1:12" x14ac:dyDescent="0.3">
      <c r="A680" t="s">
        <v>213</v>
      </c>
      <c r="B680">
        <v>2008</v>
      </c>
      <c r="C680" t="s">
        <v>17</v>
      </c>
      <c r="D680">
        <v>18</v>
      </c>
      <c r="E680">
        <v>18</v>
      </c>
      <c r="F680">
        <v>3</v>
      </c>
      <c r="G680">
        <v>0</v>
      </c>
      <c r="H680">
        <v>2</v>
      </c>
      <c r="I680">
        <v>2</v>
      </c>
      <c r="J680">
        <v>100</v>
      </c>
      <c r="K680">
        <v>9</v>
      </c>
      <c r="L680">
        <f>_xlfn.XLOOKUP(C680, dim_teams[team_name], dim_teams[team_id], "Not found", 0)</f>
        <v>5</v>
      </c>
    </row>
    <row r="681" spans="1:12" x14ac:dyDescent="0.3">
      <c r="A681" t="s">
        <v>214</v>
      </c>
      <c r="B681">
        <v>2025</v>
      </c>
      <c r="C681" t="s">
        <v>15</v>
      </c>
      <c r="D681">
        <v>1</v>
      </c>
      <c r="E681">
        <v>3</v>
      </c>
      <c r="F681">
        <v>0</v>
      </c>
      <c r="G681">
        <v>0</v>
      </c>
      <c r="H681">
        <v>1</v>
      </c>
      <c r="I681">
        <v>1</v>
      </c>
      <c r="J681">
        <v>33.33</v>
      </c>
      <c r="K681">
        <v>1</v>
      </c>
      <c r="L681">
        <f>_xlfn.XLOOKUP(C681, dim_teams[team_name], dim_teams[team_id], "Not found", 0)</f>
        <v>17</v>
      </c>
    </row>
    <row r="682" spans="1:12" x14ac:dyDescent="0.3">
      <c r="A682" t="s">
        <v>215</v>
      </c>
      <c r="B682">
        <v>2011</v>
      </c>
      <c r="C682" t="s">
        <v>12</v>
      </c>
      <c r="D682">
        <v>190</v>
      </c>
      <c r="E682">
        <v>157</v>
      </c>
      <c r="F682">
        <v>9</v>
      </c>
      <c r="G682">
        <v>7</v>
      </c>
      <c r="H682">
        <v>10</v>
      </c>
      <c r="I682">
        <v>13</v>
      </c>
      <c r="J682">
        <v>121.02</v>
      </c>
      <c r="K682">
        <v>19</v>
      </c>
      <c r="L682">
        <f>_xlfn.XLOOKUP(C682, dim_teams[team_name], dim_teams[team_id], "Not found", 0)</f>
        <v>8</v>
      </c>
    </row>
    <row r="683" spans="1:12" x14ac:dyDescent="0.3">
      <c r="A683" t="s">
        <v>215</v>
      </c>
      <c r="B683">
        <v>2012</v>
      </c>
      <c r="C683" t="s">
        <v>12</v>
      </c>
      <c r="D683">
        <v>145</v>
      </c>
      <c r="E683">
        <v>118</v>
      </c>
      <c r="F683">
        <v>8</v>
      </c>
      <c r="G683">
        <v>6</v>
      </c>
      <c r="H683">
        <v>5</v>
      </c>
      <c r="I683">
        <v>7</v>
      </c>
      <c r="J683">
        <v>122.88</v>
      </c>
      <c r="K683">
        <v>29</v>
      </c>
      <c r="L683">
        <f>_xlfn.XLOOKUP(C683, dim_teams[team_name], dim_teams[team_id], "Not found", 0)</f>
        <v>8</v>
      </c>
    </row>
    <row r="684" spans="1:12" x14ac:dyDescent="0.3">
      <c r="A684" t="s">
        <v>215</v>
      </c>
      <c r="B684">
        <v>2013</v>
      </c>
      <c r="C684" t="s">
        <v>21</v>
      </c>
      <c r="D684">
        <v>6</v>
      </c>
      <c r="E684">
        <v>15</v>
      </c>
      <c r="F684">
        <v>0</v>
      </c>
      <c r="G684">
        <v>0</v>
      </c>
      <c r="H684">
        <v>2</v>
      </c>
      <c r="I684">
        <v>2</v>
      </c>
      <c r="J684">
        <v>40</v>
      </c>
      <c r="K684">
        <v>3</v>
      </c>
      <c r="L684">
        <f>_xlfn.XLOOKUP(C684, dim_teams[team_name], dim_teams[team_id], "Not found", 0)</f>
        <v>2</v>
      </c>
    </row>
    <row r="685" spans="1:12" x14ac:dyDescent="0.3">
      <c r="A685" t="s">
        <v>215</v>
      </c>
      <c r="B685">
        <v>2017</v>
      </c>
      <c r="C685" t="s">
        <v>46</v>
      </c>
      <c r="D685">
        <v>79</v>
      </c>
      <c r="E685">
        <v>49</v>
      </c>
      <c r="F685">
        <v>5</v>
      </c>
      <c r="G685">
        <v>5</v>
      </c>
      <c r="H685">
        <v>6</v>
      </c>
      <c r="I685">
        <v>9</v>
      </c>
      <c r="J685">
        <v>161.22</v>
      </c>
      <c r="K685">
        <v>13.17</v>
      </c>
      <c r="L685">
        <f>_xlfn.XLOOKUP(C685, dim_teams[team_name], dim_teams[team_id], "Not found", 0)</f>
        <v>14</v>
      </c>
    </row>
    <row r="686" spans="1:12" x14ac:dyDescent="0.3">
      <c r="A686" t="s">
        <v>215</v>
      </c>
      <c r="B686">
        <v>2018</v>
      </c>
      <c r="C686" t="s">
        <v>32</v>
      </c>
      <c r="D686">
        <v>26</v>
      </c>
      <c r="E686">
        <v>32</v>
      </c>
      <c r="F686">
        <v>0</v>
      </c>
      <c r="G686">
        <v>1</v>
      </c>
      <c r="H686">
        <v>1</v>
      </c>
      <c r="I686">
        <v>3</v>
      </c>
      <c r="J686">
        <v>81.25</v>
      </c>
      <c r="K686">
        <v>26</v>
      </c>
      <c r="L686">
        <f>_xlfn.XLOOKUP(C686, dim_teams[team_name], dim_teams[team_id], "Not found", 0)</f>
        <v>6</v>
      </c>
    </row>
    <row r="687" spans="1:12" x14ac:dyDescent="0.3">
      <c r="A687" t="s">
        <v>215</v>
      </c>
      <c r="B687">
        <v>2021</v>
      </c>
      <c r="C687" t="s">
        <v>21</v>
      </c>
      <c r="D687">
        <v>14</v>
      </c>
      <c r="E687">
        <v>23</v>
      </c>
      <c r="F687">
        <v>1</v>
      </c>
      <c r="G687">
        <v>0</v>
      </c>
      <c r="H687">
        <v>4</v>
      </c>
      <c r="I687">
        <v>7</v>
      </c>
      <c r="J687">
        <v>60.87</v>
      </c>
      <c r="K687">
        <v>3.5</v>
      </c>
      <c r="L687">
        <f>_xlfn.XLOOKUP(C687, dim_teams[team_name], dim_teams[team_id], "Not found", 0)</f>
        <v>2</v>
      </c>
    </row>
    <row r="688" spans="1:12" x14ac:dyDescent="0.3">
      <c r="A688" t="s">
        <v>216</v>
      </c>
      <c r="B688">
        <v>2008</v>
      </c>
      <c r="C688" t="s">
        <v>21</v>
      </c>
      <c r="D688">
        <v>13</v>
      </c>
      <c r="E688">
        <v>13</v>
      </c>
      <c r="F688">
        <v>1</v>
      </c>
      <c r="G688">
        <v>0</v>
      </c>
      <c r="H688">
        <v>1</v>
      </c>
      <c r="I688">
        <v>2</v>
      </c>
      <c r="J688">
        <v>100</v>
      </c>
      <c r="K688">
        <v>13</v>
      </c>
      <c r="L688">
        <f>_xlfn.XLOOKUP(C688, dim_teams[team_name], dim_teams[team_id], "Not found", 0)</f>
        <v>2</v>
      </c>
    </row>
    <row r="689" spans="1:12" x14ac:dyDescent="0.3">
      <c r="A689" t="s">
        <v>217</v>
      </c>
      <c r="B689">
        <v>2008</v>
      </c>
      <c r="C689" t="s">
        <v>21</v>
      </c>
      <c r="D689">
        <v>2</v>
      </c>
      <c r="E689">
        <v>5</v>
      </c>
      <c r="F689">
        <v>0</v>
      </c>
      <c r="G689">
        <v>0</v>
      </c>
      <c r="H689">
        <v>2</v>
      </c>
      <c r="I689">
        <v>2</v>
      </c>
      <c r="J689">
        <v>40</v>
      </c>
      <c r="K689">
        <v>1</v>
      </c>
      <c r="L689">
        <f>_xlfn.XLOOKUP(C689, dim_teams[team_name], dim_teams[team_id], "Not found", 0)</f>
        <v>2</v>
      </c>
    </row>
    <row r="690" spans="1:12" x14ac:dyDescent="0.3">
      <c r="A690" t="s">
        <v>217</v>
      </c>
      <c r="B690">
        <v>2009</v>
      </c>
      <c r="C690" t="s">
        <v>21</v>
      </c>
      <c r="D690">
        <v>0</v>
      </c>
      <c r="E690">
        <v>3</v>
      </c>
      <c r="F690">
        <v>0</v>
      </c>
      <c r="G690">
        <v>0</v>
      </c>
      <c r="H690">
        <v>1</v>
      </c>
      <c r="I690">
        <v>1</v>
      </c>
      <c r="J690">
        <v>0</v>
      </c>
      <c r="K690">
        <v>0</v>
      </c>
      <c r="L690">
        <f>_xlfn.XLOOKUP(C690, dim_teams[team_name], dim_teams[team_id], "Not found", 0)</f>
        <v>2</v>
      </c>
    </row>
    <row r="691" spans="1:12" x14ac:dyDescent="0.3">
      <c r="A691" t="s">
        <v>217</v>
      </c>
      <c r="B691">
        <v>2010</v>
      </c>
      <c r="C691" t="s">
        <v>21</v>
      </c>
      <c r="D691">
        <v>13</v>
      </c>
      <c r="E691">
        <v>17</v>
      </c>
      <c r="F691">
        <v>2</v>
      </c>
      <c r="G691">
        <v>0</v>
      </c>
      <c r="H691">
        <v>4</v>
      </c>
      <c r="I691">
        <v>4</v>
      </c>
      <c r="J691">
        <v>76.47</v>
      </c>
      <c r="K691">
        <v>3.25</v>
      </c>
      <c r="L691">
        <f>_xlfn.XLOOKUP(C691, dim_teams[team_name], dim_teams[team_id], "Not found", 0)</f>
        <v>2</v>
      </c>
    </row>
    <row r="692" spans="1:12" x14ac:dyDescent="0.3">
      <c r="A692" t="s">
        <v>217</v>
      </c>
      <c r="B692">
        <v>2011</v>
      </c>
      <c r="C692" t="s">
        <v>12</v>
      </c>
      <c r="D692">
        <v>36</v>
      </c>
      <c r="E692">
        <v>35</v>
      </c>
      <c r="F692">
        <v>3</v>
      </c>
      <c r="G692">
        <v>0</v>
      </c>
      <c r="H692">
        <v>3</v>
      </c>
      <c r="I692">
        <v>5</v>
      </c>
      <c r="J692">
        <v>102.86</v>
      </c>
      <c r="K692">
        <v>12</v>
      </c>
      <c r="L692">
        <f>_xlfn.XLOOKUP(C692, dim_teams[team_name], dim_teams[team_id], "Not found", 0)</f>
        <v>8</v>
      </c>
    </row>
    <row r="693" spans="1:12" x14ac:dyDescent="0.3">
      <c r="A693" t="s">
        <v>217</v>
      </c>
      <c r="B693">
        <v>2012</v>
      </c>
      <c r="C693" t="s">
        <v>12</v>
      </c>
      <c r="D693">
        <v>19</v>
      </c>
      <c r="E693">
        <v>21</v>
      </c>
      <c r="F693">
        <v>0</v>
      </c>
      <c r="G693">
        <v>1</v>
      </c>
      <c r="H693">
        <v>5</v>
      </c>
      <c r="I693">
        <v>5</v>
      </c>
      <c r="J693">
        <v>90.48</v>
      </c>
      <c r="K693">
        <v>3.8</v>
      </c>
      <c r="L693">
        <f>_xlfn.XLOOKUP(C693, dim_teams[team_name], dim_teams[team_id], "Not found", 0)</f>
        <v>8</v>
      </c>
    </row>
    <row r="694" spans="1:12" x14ac:dyDescent="0.3">
      <c r="A694" t="s">
        <v>217</v>
      </c>
      <c r="B694">
        <v>2013</v>
      </c>
      <c r="C694" t="s">
        <v>13</v>
      </c>
      <c r="D694">
        <v>53</v>
      </c>
      <c r="E694">
        <v>36</v>
      </c>
      <c r="F694">
        <v>5</v>
      </c>
      <c r="G694">
        <v>2</v>
      </c>
      <c r="H694">
        <v>2</v>
      </c>
      <c r="I694">
        <v>8</v>
      </c>
      <c r="J694">
        <v>147.22</v>
      </c>
      <c r="K694">
        <v>26.5</v>
      </c>
      <c r="L694">
        <f>_xlfn.XLOOKUP(C694, dim_teams[team_name], dim_teams[team_id], "Not found", 0)</f>
        <v>11</v>
      </c>
    </row>
    <row r="695" spans="1:12" x14ac:dyDescent="0.3">
      <c r="A695" t="s">
        <v>217</v>
      </c>
      <c r="B695">
        <v>2014</v>
      </c>
      <c r="C695" t="s">
        <v>13</v>
      </c>
      <c r="D695">
        <v>22</v>
      </c>
      <c r="E695">
        <v>26</v>
      </c>
      <c r="F695">
        <v>1</v>
      </c>
      <c r="G695">
        <v>0</v>
      </c>
      <c r="H695">
        <v>2</v>
      </c>
      <c r="I695">
        <v>3</v>
      </c>
      <c r="J695">
        <v>84.62</v>
      </c>
      <c r="K695">
        <v>11</v>
      </c>
      <c r="L695">
        <f>_xlfn.XLOOKUP(C695, dim_teams[team_name], dim_teams[team_id], "Not found", 0)</f>
        <v>11</v>
      </c>
    </row>
    <row r="696" spans="1:12" x14ac:dyDescent="0.3">
      <c r="A696" t="s">
        <v>217</v>
      </c>
      <c r="B696">
        <v>2015</v>
      </c>
      <c r="C696" t="s">
        <v>13</v>
      </c>
      <c r="D696">
        <v>20</v>
      </c>
      <c r="E696">
        <v>13</v>
      </c>
      <c r="F696">
        <v>3</v>
      </c>
      <c r="G696">
        <v>0</v>
      </c>
      <c r="H696">
        <v>2</v>
      </c>
      <c r="I696">
        <v>3</v>
      </c>
      <c r="J696">
        <v>153.85</v>
      </c>
      <c r="K696">
        <v>10</v>
      </c>
      <c r="L696">
        <f>_xlfn.XLOOKUP(C696, dim_teams[team_name], dim_teams[team_id], "Not found", 0)</f>
        <v>11</v>
      </c>
    </row>
    <row r="697" spans="1:12" x14ac:dyDescent="0.3">
      <c r="A697" t="s">
        <v>217</v>
      </c>
      <c r="B697">
        <v>2016</v>
      </c>
      <c r="C697" t="s">
        <v>66</v>
      </c>
      <c r="D697">
        <v>1</v>
      </c>
      <c r="E697">
        <v>2</v>
      </c>
      <c r="F697">
        <v>0</v>
      </c>
      <c r="G697">
        <v>0</v>
      </c>
      <c r="H697">
        <v>1</v>
      </c>
      <c r="I697">
        <v>1</v>
      </c>
      <c r="J697">
        <v>50</v>
      </c>
      <c r="K697">
        <v>1</v>
      </c>
      <c r="L697">
        <f>_xlfn.XLOOKUP(C697, dim_teams[team_name], dim_teams[team_id], "Not found", 0)</f>
        <v>13</v>
      </c>
    </row>
    <row r="698" spans="1:12" x14ac:dyDescent="0.3">
      <c r="A698" t="s">
        <v>217</v>
      </c>
      <c r="B698">
        <v>2020</v>
      </c>
      <c r="C698" t="s">
        <v>21</v>
      </c>
      <c r="D698">
        <v>1</v>
      </c>
      <c r="E698">
        <v>2</v>
      </c>
      <c r="F698">
        <v>0</v>
      </c>
      <c r="G698">
        <v>0</v>
      </c>
      <c r="H698">
        <v>0</v>
      </c>
      <c r="I698">
        <v>1</v>
      </c>
      <c r="J698">
        <v>50</v>
      </c>
      <c r="L698">
        <f>_xlfn.XLOOKUP(C698, dim_teams[team_name], dim_teams[team_id], "Not found", 0)</f>
        <v>2</v>
      </c>
    </row>
    <row r="699" spans="1:12" x14ac:dyDescent="0.3">
      <c r="A699" t="s">
        <v>218</v>
      </c>
      <c r="B699">
        <v>2023</v>
      </c>
      <c r="C699" t="s">
        <v>17</v>
      </c>
      <c r="D699">
        <v>152</v>
      </c>
      <c r="E699">
        <v>88</v>
      </c>
      <c r="F699">
        <v>11</v>
      </c>
      <c r="G699">
        <v>9</v>
      </c>
      <c r="H699">
        <v>6</v>
      </c>
      <c r="I699">
        <v>11</v>
      </c>
      <c r="J699">
        <v>172.73</v>
      </c>
      <c r="K699">
        <v>25.33</v>
      </c>
      <c r="L699">
        <f>_xlfn.XLOOKUP(C699, dim_teams[team_name], dim_teams[team_id], "Not found", 0)</f>
        <v>5</v>
      </c>
    </row>
    <row r="700" spans="1:12" x14ac:dyDescent="0.3">
      <c r="A700" t="s">
        <v>218</v>
      </c>
      <c r="B700">
        <v>2024</v>
      </c>
      <c r="C700" t="s">
        <v>17</v>
      </c>
      <c r="D700">
        <v>195</v>
      </c>
      <c r="E700">
        <v>141</v>
      </c>
      <c r="F700">
        <v>18</v>
      </c>
      <c r="G700">
        <v>7</v>
      </c>
      <c r="H700">
        <v>7</v>
      </c>
      <c r="I700">
        <v>11</v>
      </c>
      <c r="J700">
        <v>138.30000000000001</v>
      </c>
      <c r="K700">
        <v>27.86</v>
      </c>
      <c r="L700">
        <f>_xlfn.XLOOKUP(C700, dim_teams[team_name], dim_teams[team_id], "Not found", 0)</f>
        <v>5</v>
      </c>
    </row>
    <row r="701" spans="1:12" x14ac:dyDescent="0.3">
      <c r="A701" t="s">
        <v>218</v>
      </c>
      <c r="B701">
        <v>2025</v>
      </c>
      <c r="C701" t="s">
        <v>17</v>
      </c>
      <c r="D701">
        <v>333</v>
      </c>
      <c r="E701">
        <v>213</v>
      </c>
      <c r="F701">
        <v>22</v>
      </c>
      <c r="G701">
        <v>22</v>
      </c>
      <c r="H701">
        <v>9</v>
      </c>
      <c r="I701">
        <v>13</v>
      </c>
      <c r="J701">
        <v>156.34</v>
      </c>
      <c r="K701">
        <v>37</v>
      </c>
      <c r="L701">
        <f>_xlfn.XLOOKUP(C701, dim_teams[team_name], dim_teams[team_id], "Not found", 0)</f>
        <v>5</v>
      </c>
    </row>
    <row r="702" spans="1:12" x14ac:dyDescent="0.3">
      <c r="A702" t="s">
        <v>219</v>
      </c>
      <c r="B702">
        <v>2018</v>
      </c>
      <c r="C702" t="s">
        <v>23</v>
      </c>
      <c r="D702">
        <v>382</v>
      </c>
      <c r="E702">
        <v>276</v>
      </c>
      <c r="F702">
        <v>32</v>
      </c>
      <c r="G702">
        <v>24</v>
      </c>
      <c r="H702">
        <v>13</v>
      </c>
      <c r="I702">
        <v>13</v>
      </c>
      <c r="J702">
        <v>138.41</v>
      </c>
      <c r="K702">
        <v>29.38</v>
      </c>
      <c r="L702">
        <f>_xlfn.XLOOKUP(C702, dim_teams[team_name], dim_teams[team_id], "Not found", 0)</f>
        <v>7</v>
      </c>
    </row>
    <row r="703" spans="1:12" x14ac:dyDescent="0.3">
      <c r="A703" t="s">
        <v>219</v>
      </c>
      <c r="B703">
        <v>2019</v>
      </c>
      <c r="C703" t="s">
        <v>23</v>
      </c>
      <c r="D703">
        <v>48</v>
      </c>
      <c r="E703">
        <v>52</v>
      </c>
      <c r="F703">
        <v>4</v>
      </c>
      <c r="G703">
        <v>2</v>
      </c>
      <c r="H703">
        <v>3</v>
      </c>
      <c r="I703">
        <v>3</v>
      </c>
      <c r="J703">
        <v>92.31</v>
      </c>
      <c r="K703">
        <v>16</v>
      </c>
      <c r="L703">
        <f>_xlfn.XLOOKUP(C703, dim_teams[team_name], dim_teams[team_id], "Not found", 0)</f>
        <v>7</v>
      </c>
    </row>
    <row r="704" spans="1:12" x14ac:dyDescent="0.3">
      <c r="A704" t="s">
        <v>219</v>
      </c>
      <c r="B704">
        <v>2021</v>
      </c>
      <c r="C704" t="s">
        <v>17</v>
      </c>
      <c r="D704">
        <v>151</v>
      </c>
      <c r="E704">
        <v>93</v>
      </c>
      <c r="F704">
        <v>18</v>
      </c>
      <c r="G704">
        <v>7</v>
      </c>
      <c r="H704">
        <v>5</v>
      </c>
      <c r="I704">
        <v>5</v>
      </c>
      <c r="J704">
        <v>162.37</v>
      </c>
      <c r="K704">
        <v>30.2</v>
      </c>
      <c r="L704">
        <f>_xlfn.XLOOKUP(C704, dim_teams[team_name], dim_teams[team_id], "Not found", 0)</f>
        <v>5</v>
      </c>
    </row>
    <row r="705" spans="1:12" x14ac:dyDescent="0.3">
      <c r="A705" t="s">
        <v>219</v>
      </c>
      <c r="B705">
        <v>2022</v>
      </c>
      <c r="C705" t="s">
        <v>15</v>
      </c>
      <c r="D705">
        <v>73</v>
      </c>
      <c r="E705">
        <v>56</v>
      </c>
      <c r="F705">
        <v>8</v>
      </c>
      <c r="G705">
        <v>3</v>
      </c>
      <c r="H705">
        <v>3</v>
      </c>
      <c r="I705">
        <v>5</v>
      </c>
      <c r="J705">
        <v>130.36000000000001</v>
      </c>
      <c r="K705">
        <v>24.33</v>
      </c>
      <c r="L705">
        <f>_xlfn.XLOOKUP(C705, dim_teams[team_name], dim_teams[team_id], "Not found", 0)</f>
        <v>17</v>
      </c>
    </row>
    <row r="706" spans="1:12" x14ac:dyDescent="0.3">
      <c r="A706" t="s">
        <v>220</v>
      </c>
      <c r="B706">
        <v>2010</v>
      </c>
      <c r="C706" t="s">
        <v>21</v>
      </c>
      <c r="D706">
        <v>35</v>
      </c>
      <c r="E706">
        <v>30</v>
      </c>
      <c r="F706">
        <v>2</v>
      </c>
      <c r="G706">
        <v>1</v>
      </c>
      <c r="H706">
        <v>3</v>
      </c>
      <c r="I706">
        <v>4</v>
      </c>
      <c r="J706">
        <v>116.67</v>
      </c>
      <c r="K706">
        <v>11.67</v>
      </c>
      <c r="L706">
        <f>_xlfn.XLOOKUP(C706, dim_teams[team_name], dim_teams[team_id], "Not found", 0)</f>
        <v>2</v>
      </c>
    </row>
    <row r="707" spans="1:12" x14ac:dyDescent="0.3">
      <c r="A707" t="s">
        <v>220</v>
      </c>
      <c r="B707">
        <v>2011</v>
      </c>
      <c r="C707" t="s">
        <v>19</v>
      </c>
      <c r="D707">
        <v>137</v>
      </c>
      <c r="E707">
        <v>117</v>
      </c>
      <c r="F707">
        <v>17</v>
      </c>
      <c r="G707">
        <v>3</v>
      </c>
      <c r="H707">
        <v>8</v>
      </c>
      <c r="I707">
        <v>9</v>
      </c>
      <c r="J707">
        <v>117.09</v>
      </c>
      <c r="K707">
        <v>17.12</v>
      </c>
      <c r="L707">
        <f>_xlfn.XLOOKUP(C707, dim_teams[team_name], dim_teams[team_id], "Not found", 0)</f>
        <v>1</v>
      </c>
    </row>
    <row r="708" spans="1:12" x14ac:dyDescent="0.3">
      <c r="A708" t="s">
        <v>220</v>
      </c>
      <c r="B708">
        <v>2013</v>
      </c>
      <c r="C708" t="s">
        <v>19</v>
      </c>
      <c r="D708">
        <v>307</v>
      </c>
      <c r="E708">
        <v>240</v>
      </c>
      <c r="F708">
        <v>28</v>
      </c>
      <c r="G708">
        <v>13</v>
      </c>
      <c r="H708">
        <v>10</v>
      </c>
      <c r="I708">
        <v>13</v>
      </c>
      <c r="J708">
        <v>127.92</v>
      </c>
      <c r="K708">
        <v>30.7</v>
      </c>
      <c r="L708">
        <f>_xlfn.XLOOKUP(C708, dim_teams[team_name], dim_teams[team_id], "Not found", 0)</f>
        <v>1</v>
      </c>
    </row>
    <row r="709" spans="1:12" x14ac:dyDescent="0.3">
      <c r="A709" t="s">
        <v>220</v>
      </c>
      <c r="B709">
        <v>2015</v>
      </c>
      <c r="C709" t="s">
        <v>13</v>
      </c>
      <c r="D709">
        <v>187</v>
      </c>
      <c r="E709">
        <v>151</v>
      </c>
      <c r="F709">
        <v>11</v>
      </c>
      <c r="G709">
        <v>11</v>
      </c>
      <c r="H709">
        <v>8</v>
      </c>
      <c r="I709">
        <v>9</v>
      </c>
      <c r="J709">
        <v>123.84</v>
      </c>
      <c r="K709">
        <v>23.38</v>
      </c>
      <c r="L709">
        <f>_xlfn.XLOOKUP(C709, dim_teams[team_name], dim_teams[team_id], "Not found", 0)</f>
        <v>11</v>
      </c>
    </row>
    <row r="710" spans="1:12" x14ac:dyDescent="0.3">
      <c r="A710" t="s">
        <v>220</v>
      </c>
      <c r="B710">
        <v>2016</v>
      </c>
      <c r="C710" t="s">
        <v>13</v>
      </c>
      <c r="D710">
        <v>123</v>
      </c>
      <c r="E710">
        <v>105</v>
      </c>
      <c r="F710">
        <v>8</v>
      </c>
      <c r="G710">
        <v>4</v>
      </c>
      <c r="H710">
        <v>5</v>
      </c>
      <c r="I710">
        <v>6</v>
      </c>
      <c r="J710">
        <v>117.14</v>
      </c>
      <c r="K710">
        <v>24.6</v>
      </c>
      <c r="L710">
        <f>_xlfn.XLOOKUP(C710, dim_teams[team_name], dim_teams[team_id], "Not found", 0)</f>
        <v>11</v>
      </c>
    </row>
    <row r="711" spans="1:12" x14ac:dyDescent="0.3">
      <c r="A711" t="s">
        <v>220</v>
      </c>
      <c r="B711">
        <v>2017</v>
      </c>
      <c r="C711" t="s">
        <v>54</v>
      </c>
      <c r="D711">
        <v>65</v>
      </c>
      <c r="E711">
        <v>62</v>
      </c>
      <c r="F711">
        <v>6</v>
      </c>
      <c r="G711">
        <v>2</v>
      </c>
      <c r="H711">
        <v>4</v>
      </c>
      <c r="I711">
        <v>4</v>
      </c>
      <c r="J711">
        <v>104.84</v>
      </c>
      <c r="K711">
        <v>16.25</v>
      </c>
      <c r="L711">
        <f>_xlfn.XLOOKUP(C711, dim_teams[team_name], dim_teams[team_id], "Not found", 0)</f>
        <v>4</v>
      </c>
    </row>
    <row r="712" spans="1:12" x14ac:dyDescent="0.3">
      <c r="A712" t="s">
        <v>220</v>
      </c>
      <c r="B712">
        <v>2020</v>
      </c>
      <c r="C712" t="s">
        <v>19</v>
      </c>
      <c r="D712">
        <v>419</v>
      </c>
      <c r="E712">
        <v>303</v>
      </c>
      <c r="F712">
        <v>32</v>
      </c>
      <c r="G712">
        <v>24</v>
      </c>
      <c r="H712">
        <v>11</v>
      </c>
      <c r="I712">
        <v>14</v>
      </c>
      <c r="J712">
        <v>138.28</v>
      </c>
      <c r="K712">
        <v>38.090000000000003</v>
      </c>
      <c r="L712">
        <f>_xlfn.XLOOKUP(C712, dim_teams[team_name], dim_teams[team_id], "Not found", 0)</f>
        <v>1</v>
      </c>
    </row>
    <row r="713" spans="1:12" x14ac:dyDescent="0.3">
      <c r="A713" t="s">
        <v>220</v>
      </c>
      <c r="B713">
        <v>2021</v>
      </c>
      <c r="C713" t="s">
        <v>19</v>
      </c>
      <c r="D713">
        <v>133</v>
      </c>
      <c r="E713">
        <v>139</v>
      </c>
      <c r="F713">
        <v>8</v>
      </c>
      <c r="G713">
        <v>6</v>
      </c>
      <c r="H713">
        <v>12</v>
      </c>
      <c r="I713">
        <v>15</v>
      </c>
      <c r="J713">
        <v>95.68</v>
      </c>
      <c r="K713">
        <v>11.08</v>
      </c>
      <c r="L713">
        <f>_xlfn.XLOOKUP(C713, dim_teams[team_name], dim_teams[team_id], "Not found", 0)</f>
        <v>1</v>
      </c>
    </row>
    <row r="714" spans="1:12" x14ac:dyDescent="0.3">
      <c r="A714" t="s">
        <v>221</v>
      </c>
      <c r="B714">
        <v>2016</v>
      </c>
      <c r="C714" t="s">
        <v>66</v>
      </c>
      <c r="D714">
        <v>24</v>
      </c>
      <c r="E714">
        <v>14</v>
      </c>
      <c r="F714">
        <v>2</v>
      </c>
      <c r="G714">
        <v>2</v>
      </c>
      <c r="H714">
        <v>2</v>
      </c>
      <c r="I714">
        <v>2</v>
      </c>
      <c r="J714">
        <v>171.43</v>
      </c>
      <c r="K714">
        <v>12</v>
      </c>
      <c r="L714">
        <f>_xlfn.XLOOKUP(C714, dim_teams[team_name], dim_teams[team_id], "Not found", 0)</f>
        <v>13</v>
      </c>
    </row>
    <row r="715" spans="1:12" x14ac:dyDescent="0.3">
      <c r="A715" t="s">
        <v>222</v>
      </c>
      <c r="B715">
        <v>2016</v>
      </c>
      <c r="C715" t="s">
        <v>54</v>
      </c>
      <c r="D715">
        <v>14</v>
      </c>
      <c r="E715">
        <v>13</v>
      </c>
      <c r="F715">
        <v>2</v>
      </c>
      <c r="G715">
        <v>0</v>
      </c>
      <c r="H715">
        <v>2</v>
      </c>
      <c r="I715">
        <v>3</v>
      </c>
      <c r="J715">
        <v>107.69</v>
      </c>
      <c r="K715">
        <v>7</v>
      </c>
      <c r="L715">
        <f>_xlfn.XLOOKUP(C715, dim_teams[team_name], dim_teams[team_id], "Not found", 0)</f>
        <v>4</v>
      </c>
    </row>
    <row r="716" spans="1:12" x14ac:dyDescent="0.3">
      <c r="A716" t="s">
        <v>223</v>
      </c>
      <c r="B716">
        <v>2012</v>
      </c>
      <c r="C716" t="s">
        <v>25</v>
      </c>
      <c r="D716">
        <v>398</v>
      </c>
      <c r="E716">
        <v>303</v>
      </c>
      <c r="F716">
        <v>29</v>
      </c>
      <c r="G716">
        <v>17</v>
      </c>
      <c r="H716">
        <v>11</v>
      </c>
      <c r="I716">
        <v>12</v>
      </c>
      <c r="J716">
        <v>131.35</v>
      </c>
      <c r="K716">
        <v>36.18</v>
      </c>
      <c r="L716">
        <f>_xlfn.XLOOKUP(C716, dim_teams[team_name], dim_teams[team_id], "Not found", 0)</f>
        <v>3</v>
      </c>
    </row>
    <row r="717" spans="1:12" x14ac:dyDescent="0.3">
      <c r="A717" t="s">
        <v>223</v>
      </c>
      <c r="B717">
        <v>2014</v>
      </c>
      <c r="C717" t="s">
        <v>25</v>
      </c>
      <c r="D717">
        <v>303</v>
      </c>
      <c r="E717">
        <v>235</v>
      </c>
      <c r="F717">
        <v>26</v>
      </c>
      <c r="G717">
        <v>7</v>
      </c>
      <c r="H717">
        <v>10</v>
      </c>
      <c r="I717">
        <v>12</v>
      </c>
      <c r="J717">
        <v>128.94</v>
      </c>
      <c r="K717">
        <v>30.3</v>
      </c>
      <c r="L717">
        <f>_xlfn.XLOOKUP(C717, dim_teams[team_name], dim_teams[team_id], "Not found", 0)</f>
        <v>3</v>
      </c>
    </row>
    <row r="718" spans="1:12" x14ac:dyDescent="0.3">
      <c r="A718" t="s">
        <v>223</v>
      </c>
      <c r="B718">
        <v>2015</v>
      </c>
      <c r="C718" t="s">
        <v>25</v>
      </c>
      <c r="D718">
        <v>380</v>
      </c>
      <c r="E718">
        <v>304</v>
      </c>
      <c r="F718">
        <v>37</v>
      </c>
      <c r="G718">
        <v>5</v>
      </c>
      <c r="H718">
        <v>11</v>
      </c>
      <c r="I718">
        <v>15</v>
      </c>
      <c r="J718">
        <v>125</v>
      </c>
      <c r="K718">
        <v>34.549999999999997</v>
      </c>
      <c r="L718">
        <f>_xlfn.XLOOKUP(C718, dim_teams[team_name], dim_teams[team_id], "Not found", 0)</f>
        <v>3</v>
      </c>
    </row>
    <row r="719" spans="1:12" x14ac:dyDescent="0.3">
      <c r="A719" t="s">
        <v>223</v>
      </c>
      <c r="B719">
        <v>2016</v>
      </c>
      <c r="C719" t="s">
        <v>45</v>
      </c>
      <c r="D719">
        <v>206</v>
      </c>
      <c r="E719">
        <v>162</v>
      </c>
      <c r="F719">
        <v>17</v>
      </c>
      <c r="G719">
        <v>9</v>
      </c>
      <c r="H719">
        <v>6</v>
      </c>
      <c r="I719">
        <v>6</v>
      </c>
      <c r="J719">
        <v>127.16</v>
      </c>
      <c r="K719">
        <v>34.33</v>
      </c>
      <c r="L719">
        <f>_xlfn.XLOOKUP(C719, dim_teams[team_name], dim_teams[team_id], "Not found", 0)</f>
        <v>12</v>
      </c>
    </row>
    <row r="720" spans="1:12" x14ac:dyDescent="0.3">
      <c r="A720" t="s">
        <v>223</v>
      </c>
      <c r="B720">
        <v>2017</v>
      </c>
      <c r="C720" t="s">
        <v>46</v>
      </c>
      <c r="D720">
        <v>8</v>
      </c>
      <c r="E720">
        <v>7</v>
      </c>
      <c r="F720">
        <v>1</v>
      </c>
      <c r="G720">
        <v>0</v>
      </c>
      <c r="H720">
        <v>1</v>
      </c>
      <c r="I720">
        <v>1</v>
      </c>
      <c r="J720">
        <v>114.29</v>
      </c>
      <c r="K720">
        <v>8</v>
      </c>
      <c r="L720">
        <f>_xlfn.XLOOKUP(C720, dim_teams[team_name], dim_teams[team_id], "Not found", 0)</f>
        <v>14</v>
      </c>
    </row>
    <row r="721" spans="1:12" x14ac:dyDescent="0.3">
      <c r="A721" t="s">
        <v>223</v>
      </c>
      <c r="B721">
        <v>2018</v>
      </c>
      <c r="C721" t="s">
        <v>25</v>
      </c>
      <c r="D721">
        <v>162</v>
      </c>
      <c r="E721">
        <v>128</v>
      </c>
      <c r="F721">
        <v>17</v>
      </c>
      <c r="G721">
        <v>6</v>
      </c>
      <c r="H721">
        <v>6</v>
      </c>
      <c r="I721">
        <v>6</v>
      </c>
      <c r="J721">
        <v>126.56</v>
      </c>
      <c r="K721">
        <v>27</v>
      </c>
      <c r="L721">
        <f>_xlfn.XLOOKUP(C721, dim_teams[team_name], dim_teams[team_id], "Not found", 0)</f>
        <v>3</v>
      </c>
    </row>
    <row r="722" spans="1:12" x14ac:dyDescent="0.3">
      <c r="A722" t="s">
        <v>223</v>
      </c>
      <c r="B722">
        <v>2019</v>
      </c>
      <c r="C722" t="s">
        <v>25</v>
      </c>
      <c r="D722">
        <v>396</v>
      </c>
      <c r="E722">
        <v>321</v>
      </c>
      <c r="F722">
        <v>36</v>
      </c>
      <c r="G722">
        <v>15</v>
      </c>
      <c r="H722">
        <v>11</v>
      </c>
      <c r="I722">
        <v>12</v>
      </c>
      <c r="J722">
        <v>123.36</v>
      </c>
      <c r="K722">
        <v>36</v>
      </c>
      <c r="L722">
        <f>_xlfn.XLOOKUP(C722, dim_teams[team_name], dim_teams[team_id], "Not found", 0)</f>
        <v>3</v>
      </c>
    </row>
    <row r="723" spans="1:12" x14ac:dyDescent="0.3">
      <c r="A723" t="s">
        <v>223</v>
      </c>
      <c r="B723">
        <v>2020</v>
      </c>
      <c r="C723" t="s">
        <v>25</v>
      </c>
      <c r="D723">
        <v>449</v>
      </c>
      <c r="E723">
        <v>319</v>
      </c>
      <c r="F723">
        <v>42</v>
      </c>
      <c r="G723">
        <v>14</v>
      </c>
      <c r="H723">
        <v>11</v>
      </c>
      <c r="I723">
        <v>13</v>
      </c>
      <c r="J723">
        <v>140.75</v>
      </c>
      <c r="K723">
        <v>40.82</v>
      </c>
      <c r="L723">
        <f>_xlfn.XLOOKUP(C723, dim_teams[team_name], dim_teams[team_id], "Not found", 0)</f>
        <v>3</v>
      </c>
    </row>
    <row r="724" spans="1:12" x14ac:dyDescent="0.3">
      <c r="A724" t="s">
        <v>223</v>
      </c>
      <c r="B724">
        <v>2021</v>
      </c>
      <c r="C724" t="s">
        <v>25</v>
      </c>
      <c r="D724">
        <v>633</v>
      </c>
      <c r="E724">
        <v>456</v>
      </c>
      <c r="F724">
        <v>61</v>
      </c>
      <c r="G724">
        <v>23</v>
      </c>
      <c r="H724">
        <v>14</v>
      </c>
      <c r="I724">
        <v>16</v>
      </c>
      <c r="J724">
        <v>138.82</v>
      </c>
      <c r="K724">
        <v>45.21</v>
      </c>
      <c r="L724">
        <f>_xlfn.XLOOKUP(C724, dim_teams[team_name], dim_teams[team_id], "Not found", 0)</f>
        <v>3</v>
      </c>
    </row>
    <row r="725" spans="1:12" x14ac:dyDescent="0.3">
      <c r="A725" t="s">
        <v>223</v>
      </c>
      <c r="B725">
        <v>2022</v>
      </c>
      <c r="C725" t="s">
        <v>21</v>
      </c>
      <c r="D725">
        <v>468</v>
      </c>
      <c r="E725">
        <v>367</v>
      </c>
      <c r="F725">
        <v>49</v>
      </c>
      <c r="G725">
        <v>13</v>
      </c>
      <c r="H725">
        <v>16</v>
      </c>
      <c r="I725">
        <v>16</v>
      </c>
      <c r="J725">
        <v>127.52</v>
      </c>
      <c r="K725">
        <v>29.25</v>
      </c>
      <c r="L725">
        <f>_xlfn.XLOOKUP(C725, dim_teams[team_name], dim_teams[team_id], "Not found", 0)</f>
        <v>2</v>
      </c>
    </row>
    <row r="726" spans="1:12" x14ac:dyDescent="0.3">
      <c r="A726" t="s">
        <v>223</v>
      </c>
      <c r="B726">
        <v>2023</v>
      </c>
      <c r="C726" t="s">
        <v>21</v>
      </c>
      <c r="D726">
        <v>730</v>
      </c>
      <c r="E726">
        <v>472</v>
      </c>
      <c r="F726">
        <v>60</v>
      </c>
      <c r="G726">
        <v>36</v>
      </c>
      <c r="H726">
        <v>13</v>
      </c>
      <c r="I726">
        <v>14</v>
      </c>
      <c r="J726">
        <v>154.66</v>
      </c>
      <c r="K726">
        <v>56.15</v>
      </c>
      <c r="L726">
        <f>_xlfn.XLOOKUP(C726, dim_teams[team_name], dim_teams[team_id], "Not found", 0)</f>
        <v>2</v>
      </c>
    </row>
    <row r="727" spans="1:12" x14ac:dyDescent="0.3">
      <c r="A727" t="s">
        <v>223</v>
      </c>
      <c r="B727">
        <v>2024</v>
      </c>
      <c r="C727" t="s">
        <v>102</v>
      </c>
      <c r="D727">
        <v>438</v>
      </c>
      <c r="E727">
        <v>271</v>
      </c>
      <c r="F727">
        <v>47</v>
      </c>
      <c r="G727">
        <v>21</v>
      </c>
      <c r="H727">
        <v>15</v>
      </c>
      <c r="I727">
        <v>15</v>
      </c>
      <c r="J727">
        <v>161.62</v>
      </c>
      <c r="K727">
        <v>29.2</v>
      </c>
      <c r="L727">
        <f>_xlfn.XLOOKUP(C727, dim_teams[team_name], dim_teams[team_id], "Not found", 0)</f>
        <v>19</v>
      </c>
    </row>
    <row r="728" spans="1:12" x14ac:dyDescent="0.3">
      <c r="A728" t="s">
        <v>223</v>
      </c>
      <c r="B728">
        <v>2025</v>
      </c>
      <c r="C728" t="s">
        <v>33</v>
      </c>
      <c r="D728">
        <v>202</v>
      </c>
      <c r="E728">
        <v>161</v>
      </c>
      <c r="F728">
        <v>18</v>
      </c>
      <c r="G728">
        <v>8</v>
      </c>
      <c r="H728">
        <v>10</v>
      </c>
      <c r="I728">
        <v>9</v>
      </c>
      <c r="J728">
        <v>125.47</v>
      </c>
      <c r="K728">
        <v>20.2</v>
      </c>
      <c r="L728">
        <f>_xlfn.XLOOKUP(C728, dim_teams[team_name], dim_teams[team_id], "Not found", 0)</f>
        <v>15</v>
      </c>
    </row>
    <row r="729" spans="1:12" x14ac:dyDescent="0.3">
      <c r="A729" t="s">
        <v>224</v>
      </c>
      <c r="B729">
        <v>2021</v>
      </c>
      <c r="C729" t="s">
        <v>76</v>
      </c>
      <c r="D729">
        <v>6</v>
      </c>
      <c r="E729">
        <v>11</v>
      </c>
      <c r="F729">
        <v>0</v>
      </c>
      <c r="G729">
        <v>0</v>
      </c>
      <c r="H729">
        <v>1</v>
      </c>
      <c r="I729">
        <v>2</v>
      </c>
      <c r="J729">
        <v>54.55</v>
      </c>
      <c r="K729">
        <v>6</v>
      </c>
      <c r="L729">
        <f>_xlfn.XLOOKUP(C729, dim_teams[team_name], dim_teams[team_id], "Not found", 0)</f>
        <v>16</v>
      </c>
    </row>
    <row r="730" spans="1:12" x14ac:dyDescent="0.3">
      <c r="A730" t="s">
        <v>224</v>
      </c>
      <c r="B730">
        <v>2022</v>
      </c>
      <c r="C730" t="s">
        <v>23</v>
      </c>
      <c r="D730">
        <v>8</v>
      </c>
      <c r="E730">
        <v>7</v>
      </c>
      <c r="F730">
        <v>1</v>
      </c>
      <c r="G730">
        <v>0</v>
      </c>
      <c r="H730">
        <v>1</v>
      </c>
      <c r="I730">
        <v>1</v>
      </c>
      <c r="J730">
        <v>114.29</v>
      </c>
      <c r="K730">
        <v>8</v>
      </c>
      <c r="L730">
        <f>_xlfn.XLOOKUP(C730, dim_teams[team_name], dim_teams[team_id], "Not found", 0)</f>
        <v>7</v>
      </c>
    </row>
    <row r="731" spans="1:12" x14ac:dyDescent="0.3">
      <c r="A731" t="s">
        <v>225</v>
      </c>
      <c r="B731">
        <v>2009</v>
      </c>
      <c r="C731" t="s">
        <v>12</v>
      </c>
      <c r="D731">
        <v>4</v>
      </c>
      <c r="E731">
        <v>5</v>
      </c>
      <c r="F731">
        <v>0</v>
      </c>
      <c r="G731">
        <v>0</v>
      </c>
      <c r="H731">
        <v>1</v>
      </c>
      <c r="I731">
        <v>2</v>
      </c>
      <c r="J731">
        <v>80</v>
      </c>
      <c r="K731">
        <v>4</v>
      </c>
      <c r="L731">
        <f>_xlfn.XLOOKUP(C731, dim_teams[team_name], dim_teams[team_id], "Not found", 0)</f>
        <v>8</v>
      </c>
    </row>
    <row r="732" spans="1:12" x14ac:dyDescent="0.3">
      <c r="A732" t="s">
        <v>226</v>
      </c>
      <c r="B732">
        <v>2010</v>
      </c>
      <c r="C732" t="s">
        <v>17</v>
      </c>
      <c r="D732">
        <v>164</v>
      </c>
      <c r="E732">
        <v>153</v>
      </c>
      <c r="F732">
        <v>19</v>
      </c>
      <c r="G732">
        <v>1</v>
      </c>
      <c r="H732">
        <v>8</v>
      </c>
      <c r="I732">
        <v>9</v>
      </c>
      <c r="J732">
        <v>107.19</v>
      </c>
      <c r="K732">
        <v>20.5</v>
      </c>
      <c r="L732">
        <f>_xlfn.XLOOKUP(C732, dim_teams[team_name], dim_teams[team_id], "Not found", 0)</f>
        <v>5</v>
      </c>
    </row>
    <row r="733" spans="1:12" x14ac:dyDescent="0.3">
      <c r="A733" t="s">
        <v>226</v>
      </c>
      <c r="B733">
        <v>2011</v>
      </c>
      <c r="C733" t="s">
        <v>17</v>
      </c>
      <c r="D733">
        <v>19</v>
      </c>
      <c r="E733">
        <v>19</v>
      </c>
      <c r="F733">
        <v>3</v>
      </c>
      <c r="G733">
        <v>0</v>
      </c>
      <c r="H733">
        <v>1</v>
      </c>
      <c r="I733">
        <v>2</v>
      </c>
      <c r="J733">
        <v>100</v>
      </c>
      <c r="K733">
        <v>19</v>
      </c>
      <c r="L733">
        <f>_xlfn.XLOOKUP(C733, dim_teams[team_name], dim_teams[team_id], "Not found", 0)</f>
        <v>5</v>
      </c>
    </row>
    <row r="734" spans="1:12" x14ac:dyDescent="0.3">
      <c r="A734" t="s">
        <v>227</v>
      </c>
      <c r="B734">
        <v>2022</v>
      </c>
      <c r="C734" t="s">
        <v>13</v>
      </c>
      <c r="D734">
        <v>2</v>
      </c>
      <c r="E734">
        <v>8</v>
      </c>
      <c r="F734">
        <v>0</v>
      </c>
      <c r="G734">
        <v>0</v>
      </c>
      <c r="H734">
        <v>0</v>
      </c>
      <c r="I734">
        <v>1</v>
      </c>
      <c r="J734">
        <v>25</v>
      </c>
      <c r="L734">
        <f>_xlfn.XLOOKUP(C734, dim_teams[team_name], dim_teams[team_id], "Not found", 0)</f>
        <v>11</v>
      </c>
    </row>
    <row r="735" spans="1:12" x14ac:dyDescent="0.3">
      <c r="A735" t="s">
        <v>227</v>
      </c>
      <c r="B735">
        <v>2023</v>
      </c>
      <c r="C735" t="s">
        <v>13</v>
      </c>
      <c r="D735">
        <v>1</v>
      </c>
      <c r="E735">
        <v>5</v>
      </c>
      <c r="F735">
        <v>0</v>
      </c>
      <c r="G735">
        <v>0</v>
      </c>
      <c r="H735">
        <v>0</v>
      </c>
      <c r="I735">
        <v>1</v>
      </c>
      <c r="J735">
        <v>20</v>
      </c>
      <c r="L735">
        <f>_xlfn.XLOOKUP(C735, dim_teams[team_name], dim_teams[team_id], "Not found", 0)</f>
        <v>11</v>
      </c>
    </row>
    <row r="736" spans="1:12" x14ac:dyDescent="0.3">
      <c r="A736" t="s">
        <v>227</v>
      </c>
      <c r="B736">
        <v>2025</v>
      </c>
      <c r="C736" t="s">
        <v>17</v>
      </c>
      <c r="D736">
        <v>2</v>
      </c>
      <c r="E736">
        <v>2</v>
      </c>
      <c r="F736">
        <v>0</v>
      </c>
      <c r="G736">
        <v>0</v>
      </c>
      <c r="H736">
        <v>0</v>
      </c>
      <c r="I736">
        <v>1</v>
      </c>
      <c r="J736">
        <v>100</v>
      </c>
      <c r="L736">
        <f>_xlfn.XLOOKUP(C736, dim_teams[team_name], dim_teams[team_id], "Not found", 0)</f>
        <v>5</v>
      </c>
    </row>
    <row r="737" spans="1:12" x14ac:dyDescent="0.3">
      <c r="A737" t="s">
        <v>228</v>
      </c>
      <c r="B737">
        <v>2024</v>
      </c>
      <c r="C737" t="s">
        <v>23</v>
      </c>
      <c r="D737">
        <v>14</v>
      </c>
      <c r="E737">
        <v>22</v>
      </c>
      <c r="F737">
        <v>0</v>
      </c>
      <c r="G737">
        <v>1</v>
      </c>
      <c r="H737">
        <v>4</v>
      </c>
      <c r="I737">
        <v>5</v>
      </c>
      <c r="J737">
        <v>63.64</v>
      </c>
      <c r="K737">
        <v>3.5</v>
      </c>
      <c r="L737">
        <f>_xlfn.XLOOKUP(C737, dim_teams[team_name], dim_teams[team_id], "Not found", 0)</f>
        <v>7</v>
      </c>
    </row>
    <row r="738" spans="1:12" x14ac:dyDescent="0.3">
      <c r="A738" t="s">
        <v>228</v>
      </c>
      <c r="B738">
        <v>2025</v>
      </c>
      <c r="C738" t="s">
        <v>29</v>
      </c>
      <c r="D738">
        <v>17</v>
      </c>
      <c r="E738">
        <v>10</v>
      </c>
      <c r="F738">
        <v>2</v>
      </c>
      <c r="G738">
        <v>1</v>
      </c>
      <c r="H738">
        <v>2</v>
      </c>
      <c r="I738">
        <v>2</v>
      </c>
      <c r="J738">
        <v>170</v>
      </c>
      <c r="K738">
        <v>8.5</v>
      </c>
      <c r="L738">
        <f>_xlfn.XLOOKUP(C738, dim_teams[team_name], dim_teams[team_id], "Not found", 0)</f>
        <v>18</v>
      </c>
    </row>
    <row r="739" spans="1:12" x14ac:dyDescent="0.3">
      <c r="A739" t="s">
        <v>229</v>
      </c>
      <c r="B739">
        <v>2008</v>
      </c>
      <c r="C739" t="s">
        <v>32</v>
      </c>
      <c r="D739">
        <v>534</v>
      </c>
      <c r="E739">
        <v>378</v>
      </c>
      <c r="F739">
        <v>68</v>
      </c>
      <c r="G739">
        <v>8</v>
      </c>
      <c r="H739">
        <v>14</v>
      </c>
      <c r="I739">
        <v>14</v>
      </c>
      <c r="J739">
        <v>141.27000000000001</v>
      </c>
      <c r="K739">
        <v>38.14</v>
      </c>
      <c r="L739">
        <f>_xlfn.XLOOKUP(C739, dim_teams[team_name], dim_teams[team_id], "Not found", 0)</f>
        <v>6</v>
      </c>
    </row>
    <row r="740" spans="1:12" x14ac:dyDescent="0.3">
      <c r="A740" t="s">
        <v>229</v>
      </c>
      <c r="B740">
        <v>2009</v>
      </c>
      <c r="C740" t="s">
        <v>32</v>
      </c>
      <c r="D740">
        <v>286</v>
      </c>
      <c r="E740">
        <v>276</v>
      </c>
      <c r="F740">
        <v>32</v>
      </c>
      <c r="G740">
        <v>2</v>
      </c>
      <c r="H740">
        <v>13</v>
      </c>
      <c r="I740">
        <v>15</v>
      </c>
      <c r="J740">
        <v>103.62</v>
      </c>
      <c r="K740">
        <v>22</v>
      </c>
      <c r="L740">
        <f>_xlfn.XLOOKUP(C740, dim_teams[team_name], dim_teams[team_id], "Not found", 0)</f>
        <v>6</v>
      </c>
    </row>
    <row r="741" spans="1:12" x14ac:dyDescent="0.3">
      <c r="A741" t="s">
        <v>229</v>
      </c>
      <c r="B741">
        <v>2010</v>
      </c>
      <c r="C741" t="s">
        <v>32</v>
      </c>
      <c r="D741">
        <v>277</v>
      </c>
      <c r="E741">
        <v>217</v>
      </c>
      <c r="F741">
        <v>32</v>
      </c>
      <c r="G741">
        <v>2</v>
      </c>
      <c r="H741">
        <v>10</v>
      </c>
      <c r="I741">
        <v>10</v>
      </c>
      <c r="J741">
        <v>127.65</v>
      </c>
      <c r="K741">
        <v>27.7</v>
      </c>
      <c r="L741">
        <f>_xlfn.XLOOKUP(C741, dim_teams[team_name], dim_teams[team_id], "Not found", 0)</f>
        <v>6</v>
      </c>
    </row>
    <row r="742" spans="1:12" x14ac:dyDescent="0.3">
      <c r="A742" t="s">
        <v>229</v>
      </c>
      <c r="B742">
        <v>2011</v>
      </c>
      <c r="C742" t="s">
        <v>19</v>
      </c>
      <c r="D742">
        <v>378</v>
      </c>
      <c r="E742">
        <v>314</v>
      </c>
      <c r="F742">
        <v>44</v>
      </c>
      <c r="G742">
        <v>3</v>
      </c>
      <c r="H742">
        <v>11</v>
      </c>
      <c r="I742">
        <v>15</v>
      </c>
      <c r="J742">
        <v>120.38</v>
      </c>
      <c r="K742">
        <v>34.36</v>
      </c>
      <c r="L742">
        <f>_xlfn.XLOOKUP(C742, dim_teams[team_name], dim_teams[team_id], "Not found", 0)</f>
        <v>1</v>
      </c>
    </row>
    <row r="743" spans="1:12" x14ac:dyDescent="0.3">
      <c r="A743" t="s">
        <v>229</v>
      </c>
      <c r="B743">
        <v>2012</v>
      </c>
      <c r="C743" t="s">
        <v>19</v>
      </c>
      <c r="D743">
        <v>590</v>
      </c>
      <c r="E743">
        <v>411</v>
      </c>
      <c r="F743">
        <v>64</v>
      </c>
      <c r="G743">
        <v>17</v>
      </c>
      <c r="H743">
        <v>14</v>
      </c>
      <c r="I743">
        <v>17</v>
      </c>
      <c r="J743">
        <v>143.55000000000001</v>
      </c>
      <c r="K743">
        <v>42.14</v>
      </c>
      <c r="L743">
        <f>_xlfn.XLOOKUP(C743, dim_teams[team_name], dim_teams[team_id], "Not found", 0)</f>
        <v>1</v>
      </c>
    </row>
    <row r="744" spans="1:12" x14ac:dyDescent="0.3">
      <c r="A744" t="s">
        <v>229</v>
      </c>
      <c r="B744">
        <v>2013</v>
      </c>
      <c r="C744" t="s">
        <v>19</v>
      </c>
      <c r="D744">
        <v>406</v>
      </c>
      <c r="E744">
        <v>342</v>
      </c>
      <c r="F744">
        <v>51</v>
      </c>
      <c r="G744">
        <v>5</v>
      </c>
      <c r="H744">
        <v>15</v>
      </c>
      <c r="I744">
        <v>15</v>
      </c>
      <c r="J744">
        <v>118.71</v>
      </c>
      <c r="K744">
        <v>27.07</v>
      </c>
      <c r="L744">
        <f>_xlfn.XLOOKUP(C744, dim_teams[team_name], dim_teams[team_id], "Not found", 0)</f>
        <v>1</v>
      </c>
    </row>
    <row r="745" spans="1:12" x14ac:dyDescent="0.3">
      <c r="A745" t="s">
        <v>229</v>
      </c>
      <c r="B745">
        <v>2014</v>
      </c>
      <c r="C745" t="s">
        <v>19</v>
      </c>
      <c r="D745">
        <v>335</v>
      </c>
      <c r="E745">
        <v>290</v>
      </c>
      <c r="F745">
        <v>36</v>
      </c>
      <c r="G745">
        <v>4</v>
      </c>
      <c r="H745">
        <v>14</v>
      </c>
      <c r="I745">
        <v>16</v>
      </c>
      <c r="J745">
        <v>115.52</v>
      </c>
      <c r="K745">
        <v>23.93</v>
      </c>
      <c r="L745">
        <f>_xlfn.XLOOKUP(C745, dim_teams[team_name], dim_teams[team_id], "Not found", 0)</f>
        <v>1</v>
      </c>
    </row>
    <row r="746" spans="1:12" x14ac:dyDescent="0.3">
      <c r="A746" t="s">
        <v>229</v>
      </c>
      <c r="B746">
        <v>2015</v>
      </c>
      <c r="C746" t="s">
        <v>19</v>
      </c>
      <c r="D746">
        <v>327</v>
      </c>
      <c r="E746">
        <v>278</v>
      </c>
      <c r="F746">
        <v>41</v>
      </c>
      <c r="G746">
        <v>4</v>
      </c>
      <c r="H746">
        <v>14</v>
      </c>
      <c r="I746">
        <v>13</v>
      </c>
      <c r="J746">
        <v>117.63</v>
      </c>
      <c r="K746">
        <v>23.36</v>
      </c>
      <c r="L746">
        <f>_xlfn.XLOOKUP(C746, dim_teams[team_name], dim_teams[team_id], "Not found", 0)</f>
        <v>1</v>
      </c>
    </row>
    <row r="747" spans="1:12" x14ac:dyDescent="0.3">
      <c r="A747" t="s">
        <v>229</v>
      </c>
      <c r="B747">
        <v>2016</v>
      </c>
      <c r="C747" t="s">
        <v>19</v>
      </c>
      <c r="D747">
        <v>501</v>
      </c>
      <c r="E747">
        <v>411</v>
      </c>
      <c r="F747">
        <v>54</v>
      </c>
      <c r="G747">
        <v>6</v>
      </c>
      <c r="H747">
        <v>12</v>
      </c>
      <c r="I747">
        <v>15</v>
      </c>
      <c r="J747">
        <v>121.9</v>
      </c>
      <c r="K747">
        <v>41.75</v>
      </c>
      <c r="L747">
        <f>_xlfn.XLOOKUP(C747, dim_teams[team_name], dim_teams[team_id], "Not found", 0)</f>
        <v>1</v>
      </c>
    </row>
    <row r="748" spans="1:12" x14ac:dyDescent="0.3">
      <c r="A748" t="s">
        <v>229</v>
      </c>
      <c r="B748">
        <v>2017</v>
      </c>
      <c r="C748" t="s">
        <v>19</v>
      </c>
      <c r="D748">
        <v>498</v>
      </c>
      <c r="E748">
        <v>389</v>
      </c>
      <c r="F748">
        <v>62</v>
      </c>
      <c r="G748">
        <v>7</v>
      </c>
      <c r="H748">
        <v>14</v>
      </c>
      <c r="I748">
        <v>16</v>
      </c>
      <c r="J748">
        <v>128.02000000000001</v>
      </c>
      <c r="K748">
        <v>35.57</v>
      </c>
      <c r="L748">
        <f>_xlfn.XLOOKUP(C748, dim_teams[team_name], dim_teams[team_id], "Not found", 0)</f>
        <v>1</v>
      </c>
    </row>
    <row r="749" spans="1:12" x14ac:dyDescent="0.3">
      <c r="A749" t="s">
        <v>229</v>
      </c>
      <c r="B749">
        <v>2018</v>
      </c>
      <c r="C749" t="s">
        <v>32</v>
      </c>
      <c r="D749">
        <v>85</v>
      </c>
      <c r="E749">
        <v>88</v>
      </c>
      <c r="F749">
        <v>8</v>
      </c>
      <c r="G749">
        <v>1</v>
      </c>
      <c r="H749">
        <v>4</v>
      </c>
      <c r="I749">
        <v>5</v>
      </c>
      <c r="J749">
        <v>96.59</v>
      </c>
      <c r="K749">
        <v>21.25</v>
      </c>
      <c r="L749">
        <f>_xlfn.XLOOKUP(C749, dim_teams[team_name], dim_teams[team_id], "Not found", 0)</f>
        <v>6</v>
      </c>
    </row>
    <row r="750" spans="1:12" x14ac:dyDescent="0.3">
      <c r="A750" t="s">
        <v>230</v>
      </c>
      <c r="B750">
        <v>2012</v>
      </c>
      <c r="C750" t="s">
        <v>17</v>
      </c>
      <c r="D750">
        <v>15</v>
      </c>
      <c r="E750">
        <v>16</v>
      </c>
      <c r="F750">
        <v>1</v>
      </c>
      <c r="G750">
        <v>0</v>
      </c>
      <c r="H750">
        <v>2</v>
      </c>
      <c r="I750">
        <v>2</v>
      </c>
      <c r="J750">
        <v>93.75</v>
      </c>
      <c r="K750">
        <v>7.5</v>
      </c>
      <c r="L750">
        <f>_xlfn.XLOOKUP(C750, dim_teams[team_name], dim_teams[team_id], "Not found", 0)</f>
        <v>5</v>
      </c>
    </row>
    <row r="751" spans="1:12" x14ac:dyDescent="0.3">
      <c r="A751" t="s">
        <v>230</v>
      </c>
      <c r="B751">
        <v>2015</v>
      </c>
      <c r="C751" t="s">
        <v>19</v>
      </c>
      <c r="D751">
        <v>7</v>
      </c>
      <c r="E751">
        <v>6</v>
      </c>
      <c r="F751">
        <v>0</v>
      </c>
      <c r="G751">
        <v>0</v>
      </c>
      <c r="H751">
        <v>0</v>
      </c>
      <c r="I751">
        <v>2</v>
      </c>
      <c r="J751">
        <v>116.67</v>
      </c>
      <c r="L751">
        <f>_xlfn.XLOOKUP(C751, dim_teams[team_name], dim_teams[team_id], "Not found", 0)</f>
        <v>1</v>
      </c>
    </row>
    <row r="752" spans="1:12" x14ac:dyDescent="0.3">
      <c r="A752" t="s">
        <v>231</v>
      </c>
      <c r="B752">
        <v>2008</v>
      </c>
      <c r="C752" t="s">
        <v>17</v>
      </c>
      <c r="D752">
        <v>441</v>
      </c>
      <c r="E752">
        <v>361</v>
      </c>
      <c r="F752">
        <v>54</v>
      </c>
      <c r="G752">
        <v>8</v>
      </c>
      <c r="H752">
        <v>12</v>
      </c>
      <c r="I752">
        <v>11</v>
      </c>
      <c r="J752">
        <v>122.16</v>
      </c>
      <c r="K752">
        <v>36.75</v>
      </c>
      <c r="L752">
        <f>_xlfn.XLOOKUP(C752, dim_teams[team_name], dim_teams[team_id], "Not found", 0)</f>
        <v>5</v>
      </c>
    </row>
    <row r="753" spans="1:12" x14ac:dyDescent="0.3">
      <c r="A753" t="s">
        <v>231</v>
      </c>
      <c r="B753">
        <v>2009</v>
      </c>
      <c r="C753" t="s">
        <v>17</v>
      </c>
      <c r="D753">
        <v>212</v>
      </c>
      <c r="E753">
        <v>213</v>
      </c>
      <c r="F753">
        <v>27</v>
      </c>
      <c r="G753">
        <v>1</v>
      </c>
      <c r="H753">
        <v>11</v>
      </c>
      <c r="I753">
        <v>12</v>
      </c>
      <c r="J753">
        <v>99.53</v>
      </c>
      <c r="K753">
        <v>19.27</v>
      </c>
      <c r="L753">
        <f>_xlfn.XLOOKUP(C753, dim_teams[team_name], dim_teams[team_id], "Not found", 0)</f>
        <v>5</v>
      </c>
    </row>
    <row r="754" spans="1:12" x14ac:dyDescent="0.3">
      <c r="A754" t="s">
        <v>231</v>
      </c>
      <c r="B754">
        <v>2010</v>
      </c>
      <c r="C754" t="s">
        <v>17</v>
      </c>
      <c r="D754">
        <v>44</v>
      </c>
      <c r="E754">
        <v>39</v>
      </c>
      <c r="F754">
        <v>7</v>
      </c>
      <c r="G754">
        <v>0</v>
      </c>
      <c r="H754">
        <v>3</v>
      </c>
      <c r="I754">
        <v>2</v>
      </c>
      <c r="J754">
        <v>112.82</v>
      </c>
      <c r="K754">
        <v>14.67</v>
      </c>
      <c r="L754">
        <f>_xlfn.XLOOKUP(C754, dim_teams[team_name], dim_teams[team_id], "Not found", 0)</f>
        <v>5</v>
      </c>
    </row>
    <row r="755" spans="1:12" x14ac:dyDescent="0.3">
      <c r="A755" t="s">
        <v>231</v>
      </c>
      <c r="B755">
        <v>2011</v>
      </c>
      <c r="C755" t="s">
        <v>37</v>
      </c>
      <c r="D755">
        <v>42</v>
      </c>
      <c r="E755">
        <v>51</v>
      </c>
      <c r="F755">
        <v>6</v>
      </c>
      <c r="G755">
        <v>0</v>
      </c>
      <c r="H755">
        <v>4</v>
      </c>
      <c r="I755">
        <v>4</v>
      </c>
      <c r="J755">
        <v>82.35</v>
      </c>
      <c r="K755">
        <v>10.5</v>
      </c>
      <c r="L755">
        <f>_xlfn.XLOOKUP(C755, dim_teams[team_name], dim_teams[team_id], "Not found", 0)</f>
        <v>10</v>
      </c>
    </row>
    <row r="756" spans="1:12" x14ac:dyDescent="0.3">
      <c r="A756" t="s">
        <v>232</v>
      </c>
      <c r="B756">
        <v>2019</v>
      </c>
      <c r="C756" t="s">
        <v>54</v>
      </c>
      <c r="D756">
        <v>3</v>
      </c>
      <c r="E756">
        <v>7</v>
      </c>
      <c r="F756">
        <v>0</v>
      </c>
      <c r="G756">
        <v>0</v>
      </c>
      <c r="H756">
        <v>2</v>
      </c>
      <c r="I756">
        <v>3</v>
      </c>
      <c r="J756">
        <v>42.86</v>
      </c>
      <c r="K756">
        <v>1.5</v>
      </c>
      <c r="L756">
        <f>_xlfn.XLOOKUP(C756, dim_teams[team_name], dim_teams[team_id], "Not found", 0)</f>
        <v>4</v>
      </c>
    </row>
    <row r="757" spans="1:12" x14ac:dyDescent="0.3">
      <c r="A757" t="s">
        <v>233</v>
      </c>
      <c r="B757">
        <v>2008</v>
      </c>
      <c r="C757" t="s">
        <v>32</v>
      </c>
      <c r="D757">
        <v>4</v>
      </c>
      <c r="E757">
        <v>5</v>
      </c>
      <c r="F757">
        <v>1</v>
      </c>
      <c r="G757">
        <v>0</v>
      </c>
      <c r="H757">
        <v>1</v>
      </c>
      <c r="I757">
        <v>2</v>
      </c>
      <c r="J757">
        <v>80</v>
      </c>
      <c r="K757">
        <v>4</v>
      </c>
      <c r="L757">
        <f>_xlfn.XLOOKUP(C757, dim_teams[team_name], dim_teams[team_id], "Not found", 0)</f>
        <v>6</v>
      </c>
    </row>
    <row r="758" spans="1:12" x14ac:dyDescent="0.3">
      <c r="A758" t="s">
        <v>234</v>
      </c>
      <c r="B758">
        <v>2021</v>
      </c>
      <c r="C758" t="s">
        <v>17</v>
      </c>
      <c r="D758">
        <v>26</v>
      </c>
      <c r="E758">
        <v>32</v>
      </c>
      <c r="F758">
        <v>1</v>
      </c>
      <c r="G758">
        <v>2</v>
      </c>
      <c r="H758">
        <v>2</v>
      </c>
      <c r="I758">
        <v>3</v>
      </c>
      <c r="J758">
        <v>81.25</v>
      </c>
      <c r="K758">
        <v>13</v>
      </c>
      <c r="L758">
        <f>_xlfn.XLOOKUP(C758, dim_teams[team_name], dim_teams[team_id], "Not found", 0)</f>
        <v>5</v>
      </c>
    </row>
    <row r="759" spans="1:12" x14ac:dyDescent="0.3">
      <c r="A759" t="s">
        <v>234</v>
      </c>
      <c r="B759">
        <v>2023</v>
      </c>
      <c r="C759" t="s">
        <v>13</v>
      </c>
      <c r="D759">
        <v>39</v>
      </c>
      <c r="E759">
        <v>22</v>
      </c>
      <c r="F759">
        <v>2</v>
      </c>
      <c r="G759">
        <v>4</v>
      </c>
      <c r="H759">
        <v>5</v>
      </c>
      <c r="I759">
        <v>5</v>
      </c>
      <c r="J759">
        <v>177.27</v>
      </c>
      <c r="K759">
        <v>7.8</v>
      </c>
      <c r="L759">
        <f>_xlfn.XLOOKUP(C759, dim_teams[team_name], dim_teams[team_id], "Not found", 0)</f>
        <v>11</v>
      </c>
    </row>
    <row r="760" spans="1:12" x14ac:dyDescent="0.3">
      <c r="A760" t="s">
        <v>235</v>
      </c>
      <c r="B760">
        <v>2013</v>
      </c>
      <c r="C760" t="s">
        <v>13</v>
      </c>
      <c r="D760">
        <v>241</v>
      </c>
      <c r="E760">
        <v>277</v>
      </c>
      <c r="F760">
        <v>17</v>
      </c>
      <c r="G760">
        <v>1</v>
      </c>
      <c r="H760">
        <v>14</v>
      </c>
      <c r="I760">
        <v>17</v>
      </c>
      <c r="J760">
        <v>87</v>
      </c>
      <c r="K760">
        <v>17.21</v>
      </c>
      <c r="L760">
        <f>_xlfn.XLOOKUP(C760, dim_teams[team_name], dim_teams[team_id], "Not found", 0)</f>
        <v>11</v>
      </c>
    </row>
    <row r="761" spans="1:12" x14ac:dyDescent="0.3">
      <c r="A761" t="s">
        <v>235</v>
      </c>
      <c r="B761">
        <v>2015</v>
      </c>
      <c r="C761" t="s">
        <v>13</v>
      </c>
      <c r="D761">
        <v>39</v>
      </c>
      <c r="E761">
        <v>34</v>
      </c>
      <c r="F761">
        <v>6</v>
      </c>
      <c r="G761">
        <v>0</v>
      </c>
      <c r="H761">
        <v>4</v>
      </c>
      <c r="I761">
        <v>4</v>
      </c>
      <c r="J761">
        <v>114.71</v>
      </c>
      <c r="K761">
        <v>9.75</v>
      </c>
      <c r="L761">
        <f>_xlfn.XLOOKUP(C761, dim_teams[team_name], dim_teams[team_id], "Not found", 0)</f>
        <v>11</v>
      </c>
    </row>
    <row r="762" spans="1:12" x14ac:dyDescent="0.3">
      <c r="A762" t="s">
        <v>235</v>
      </c>
      <c r="B762">
        <v>2019</v>
      </c>
      <c r="C762" t="s">
        <v>33</v>
      </c>
      <c r="D762">
        <v>4</v>
      </c>
      <c r="E762">
        <v>8</v>
      </c>
      <c r="F762">
        <v>0</v>
      </c>
      <c r="G762">
        <v>0</v>
      </c>
      <c r="H762">
        <v>2</v>
      </c>
      <c r="I762">
        <v>2</v>
      </c>
      <c r="J762">
        <v>50</v>
      </c>
      <c r="K762">
        <v>2</v>
      </c>
      <c r="L762">
        <f>_xlfn.XLOOKUP(C762, dim_teams[team_name], dim_teams[team_id], "Not found", 0)</f>
        <v>15</v>
      </c>
    </row>
    <row r="763" spans="1:12" x14ac:dyDescent="0.3">
      <c r="A763" t="s">
        <v>236</v>
      </c>
      <c r="B763">
        <v>2021</v>
      </c>
      <c r="C763" t="s">
        <v>21</v>
      </c>
      <c r="D763">
        <v>2</v>
      </c>
      <c r="E763">
        <v>4</v>
      </c>
      <c r="F763">
        <v>0</v>
      </c>
      <c r="G763">
        <v>0</v>
      </c>
      <c r="H763">
        <v>1</v>
      </c>
      <c r="I763">
        <v>2</v>
      </c>
      <c r="J763">
        <v>50</v>
      </c>
      <c r="K763">
        <v>2</v>
      </c>
      <c r="L763">
        <f>_xlfn.XLOOKUP(C763, dim_teams[team_name], dim_teams[team_id], "Not found", 0)</f>
        <v>2</v>
      </c>
    </row>
    <row r="764" spans="1:12" x14ac:dyDescent="0.3">
      <c r="A764" t="s">
        <v>237</v>
      </c>
      <c r="B764">
        <v>2009</v>
      </c>
      <c r="C764" t="s">
        <v>25</v>
      </c>
      <c r="D764">
        <v>45</v>
      </c>
      <c r="E764">
        <v>39</v>
      </c>
      <c r="F764">
        <v>7</v>
      </c>
      <c r="G764">
        <v>0</v>
      </c>
      <c r="H764">
        <v>3</v>
      </c>
      <c r="I764">
        <v>2</v>
      </c>
      <c r="J764">
        <v>115.38</v>
      </c>
      <c r="K764">
        <v>15</v>
      </c>
      <c r="L764">
        <f>_xlfn.XLOOKUP(C764, dim_teams[team_name], dim_teams[team_id], "Not found", 0)</f>
        <v>3</v>
      </c>
    </row>
    <row r="765" spans="1:12" x14ac:dyDescent="0.3">
      <c r="A765" t="s">
        <v>237</v>
      </c>
      <c r="B765">
        <v>2010</v>
      </c>
      <c r="C765" t="s">
        <v>25</v>
      </c>
      <c r="D765">
        <v>18</v>
      </c>
      <c r="E765">
        <v>27</v>
      </c>
      <c r="F765">
        <v>2</v>
      </c>
      <c r="G765">
        <v>0</v>
      </c>
      <c r="H765">
        <v>2</v>
      </c>
      <c r="I765">
        <v>1</v>
      </c>
      <c r="J765">
        <v>66.67</v>
      </c>
      <c r="K765">
        <v>9</v>
      </c>
      <c r="L765">
        <f>_xlfn.XLOOKUP(C765, dim_teams[team_name], dim_teams[team_id], "Not found", 0)</f>
        <v>3</v>
      </c>
    </row>
    <row r="766" spans="1:12" x14ac:dyDescent="0.3">
      <c r="A766" t="s">
        <v>237</v>
      </c>
      <c r="B766">
        <v>2014</v>
      </c>
      <c r="C766" t="s">
        <v>54</v>
      </c>
      <c r="D766">
        <v>257</v>
      </c>
      <c r="E766">
        <v>188</v>
      </c>
      <c r="F766">
        <v>19</v>
      </c>
      <c r="G766">
        <v>10</v>
      </c>
      <c r="H766">
        <v>10</v>
      </c>
      <c r="I766">
        <v>16</v>
      </c>
      <c r="J766">
        <v>136.69999999999999</v>
      </c>
      <c r="K766">
        <v>25.7</v>
      </c>
      <c r="L766">
        <f>_xlfn.XLOOKUP(C766, dim_teams[team_name], dim_teams[team_id], "Not found", 0)</f>
        <v>4</v>
      </c>
    </row>
    <row r="767" spans="1:12" x14ac:dyDescent="0.3">
      <c r="A767" t="s">
        <v>237</v>
      </c>
      <c r="B767">
        <v>2015</v>
      </c>
      <c r="C767" t="s">
        <v>54</v>
      </c>
      <c r="D767">
        <v>259</v>
      </c>
      <c r="E767">
        <v>190</v>
      </c>
      <c r="F767">
        <v>22</v>
      </c>
      <c r="G767">
        <v>7</v>
      </c>
      <c r="H767">
        <v>10</v>
      </c>
      <c r="I767">
        <v>12</v>
      </c>
      <c r="J767">
        <v>136.32</v>
      </c>
      <c r="K767">
        <v>25.9</v>
      </c>
      <c r="L767">
        <f>_xlfn.XLOOKUP(C767, dim_teams[team_name], dim_teams[team_id], "Not found", 0)</f>
        <v>4</v>
      </c>
    </row>
    <row r="768" spans="1:12" x14ac:dyDescent="0.3">
      <c r="A768" t="s">
        <v>237</v>
      </c>
      <c r="B768">
        <v>2016</v>
      </c>
      <c r="C768" t="s">
        <v>45</v>
      </c>
      <c r="D768">
        <v>84</v>
      </c>
      <c r="E768">
        <v>97</v>
      </c>
      <c r="F768">
        <v>9</v>
      </c>
      <c r="G768">
        <v>2</v>
      </c>
      <c r="H768">
        <v>4</v>
      </c>
      <c r="I768">
        <v>5</v>
      </c>
      <c r="J768">
        <v>86.6</v>
      </c>
      <c r="K768">
        <v>21</v>
      </c>
      <c r="L768">
        <f>_xlfn.XLOOKUP(C768, dim_teams[team_name], dim_teams[team_id], "Not found", 0)</f>
        <v>12</v>
      </c>
    </row>
    <row r="769" spans="1:12" x14ac:dyDescent="0.3">
      <c r="A769" t="s">
        <v>238</v>
      </c>
      <c r="B769">
        <v>2012</v>
      </c>
      <c r="C769" t="s">
        <v>32</v>
      </c>
      <c r="D769">
        <v>6</v>
      </c>
      <c r="E769">
        <v>11</v>
      </c>
      <c r="F769">
        <v>0</v>
      </c>
      <c r="G769">
        <v>0</v>
      </c>
      <c r="H769">
        <v>1</v>
      </c>
      <c r="I769">
        <v>2</v>
      </c>
      <c r="J769">
        <v>54.55</v>
      </c>
      <c r="K769">
        <v>6</v>
      </c>
      <c r="L769">
        <f>_xlfn.XLOOKUP(C769, dim_teams[team_name], dim_teams[team_id], "Not found", 0)</f>
        <v>6</v>
      </c>
    </row>
    <row r="770" spans="1:12" x14ac:dyDescent="0.3">
      <c r="A770" t="s">
        <v>238</v>
      </c>
      <c r="B770">
        <v>2013</v>
      </c>
      <c r="C770" t="s">
        <v>23</v>
      </c>
      <c r="D770">
        <v>36</v>
      </c>
      <c r="E770">
        <v>27</v>
      </c>
      <c r="F770">
        <v>1</v>
      </c>
      <c r="G770">
        <v>4</v>
      </c>
      <c r="H770">
        <v>2</v>
      </c>
      <c r="I770">
        <v>3</v>
      </c>
      <c r="J770">
        <v>133.33000000000001</v>
      </c>
      <c r="K770">
        <v>18</v>
      </c>
      <c r="L770">
        <f>_xlfn.XLOOKUP(C770, dim_teams[team_name], dim_teams[team_id], "Not found", 0)</f>
        <v>7</v>
      </c>
    </row>
    <row r="771" spans="1:12" x14ac:dyDescent="0.3">
      <c r="A771" t="s">
        <v>238</v>
      </c>
      <c r="B771">
        <v>2014</v>
      </c>
      <c r="C771" t="s">
        <v>54</v>
      </c>
      <c r="D771">
        <v>552</v>
      </c>
      <c r="E771">
        <v>291</v>
      </c>
      <c r="F771">
        <v>48</v>
      </c>
      <c r="G771">
        <v>36</v>
      </c>
      <c r="H771">
        <v>17</v>
      </c>
      <c r="I771">
        <v>16</v>
      </c>
      <c r="J771">
        <v>189.69</v>
      </c>
      <c r="K771">
        <v>32.47</v>
      </c>
      <c r="L771">
        <f>_xlfn.XLOOKUP(C771, dim_teams[team_name], dim_teams[team_id], "Not found", 0)</f>
        <v>4</v>
      </c>
    </row>
    <row r="772" spans="1:12" x14ac:dyDescent="0.3">
      <c r="A772" t="s">
        <v>238</v>
      </c>
      <c r="B772">
        <v>2015</v>
      </c>
      <c r="C772" t="s">
        <v>54</v>
      </c>
      <c r="D772">
        <v>146</v>
      </c>
      <c r="E772">
        <v>113</v>
      </c>
      <c r="F772">
        <v>13</v>
      </c>
      <c r="G772">
        <v>8</v>
      </c>
      <c r="H772">
        <v>11</v>
      </c>
      <c r="I772">
        <v>11</v>
      </c>
      <c r="J772">
        <v>129.19999999999999</v>
      </c>
      <c r="K772">
        <v>13.27</v>
      </c>
      <c r="L772">
        <f>_xlfn.XLOOKUP(C772, dim_teams[team_name], dim_teams[team_id], "Not found", 0)</f>
        <v>4</v>
      </c>
    </row>
    <row r="773" spans="1:12" x14ac:dyDescent="0.3">
      <c r="A773" t="s">
        <v>238</v>
      </c>
      <c r="B773">
        <v>2016</v>
      </c>
      <c r="C773" t="s">
        <v>54</v>
      </c>
      <c r="D773">
        <v>179</v>
      </c>
      <c r="E773">
        <v>124</v>
      </c>
      <c r="F773">
        <v>14</v>
      </c>
      <c r="G773">
        <v>8</v>
      </c>
      <c r="H773">
        <v>9</v>
      </c>
      <c r="I773">
        <v>10</v>
      </c>
      <c r="J773">
        <v>144.35</v>
      </c>
      <c r="K773">
        <v>19.89</v>
      </c>
      <c r="L773">
        <f>_xlfn.XLOOKUP(C773, dim_teams[team_name], dim_teams[team_id], "Not found", 0)</f>
        <v>4</v>
      </c>
    </row>
    <row r="774" spans="1:12" x14ac:dyDescent="0.3">
      <c r="A774" t="s">
        <v>238</v>
      </c>
      <c r="B774">
        <v>2017</v>
      </c>
      <c r="C774" t="s">
        <v>54</v>
      </c>
      <c r="D774">
        <v>310</v>
      </c>
      <c r="E774">
        <v>178</v>
      </c>
      <c r="F774">
        <v>20</v>
      </c>
      <c r="G774">
        <v>26</v>
      </c>
      <c r="H774">
        <v>10</v>
      </c>
      <c r="I774">
        <v>13</v>
      </c>
      <c r="J774">
        <v>174.16</v>
      </c>
      <c r="K774">
        <v>31</v>
      </c>
      <c r="L774">
        <f>_xlfn.XLOOKUP(C774, dim_teams[team_name], dim_teams[team_id], "Not found", 0)</f>
        <v>4</v>
      </c>
    </row>
    <row r="775" spans="1:12" x14ac:dyDescent="0.3">
      <c r="A775" t="s">
        <v>238</v>
      </c>
      <c r="B775">
        <v>2018</v>
      </c>
      <c r="C775" t="s">
        <v>32</v>
      </c>
      <c r="D775">
        <v>169</v>
      </c>
      <c r="E775">
        <v>120</v>
      </c>
      <c r="F775">
        <v>14</v>
      </c>
      <c r="G775">
        <v>9</v>
      </c>
      <c r="H775">
        <v>12</v>
      </c>
      <c r="I775">
        <v>12</v>
      </c>
      <c r="J775">
        <v>140.83000000000001</v>
      </c>
      <c r="K775">
        <v>14.08</v>
      </c>
      <c r="L775">
        <f>_xlfn.XLOOKUP(C775, dim_teams[team_name], dim_teams[team_id], "Not found", 0)</f>
        <v>6</v>
      </c>
    </row>
    <row r="776" spans="1:12" x14ac:dyDescent="0.3">
      <c r="A776" t="s">
        <v>238</v>
      </c>
      <c r="B776">
        <v>2020</v>
      </c>
      <c r="C776" t="s">
        <v>54</v>
      </c>
      <c r="D776">
        <v>108</v>
      </c>
      <c r="E776">
        <v>105</v>
      </c>
      <c r="F776">
        <v>9</v>
      </c>
      <c r="G776">
        <v>0</v>
      </c>
      <c r="H776">
        <v>7</v>
      </c>
      <c r="I776">
        <v>11</v>
      </c>
      <c r="J776">
        <v>102.86</v>
      </c>
      <c r="K776">
        <v>15.43</v>
      </c>
      <c r="L776">
        <f>_xlfn.XLOOKUP(C776, dim_teams[team_name], dim_teams[team_id], "Not found", 0)</f>
        <v>4</v>
      </c>
    </row>
    <row r="777" spans="1:12" x14ac:dyDescent="0.3">
      <c r="A777" t="s">
        <v>238</v>
      </c>
      <c r="B777">
        <v>2021</v>
      </c>
      <c r="C777" t="s">
        <v>21</v>
      </c>
      <c r="D777">
        <v>513</v>
      </c>
      <c r="E777">
        <v>354</v>
      </c>
      <c r="F777">
        <v>48</v>
      </c>
      <c r="G777">
        <v>21</v>
      </c>
      <c r="H777">
        <v>11</v>
      </c>
      <c r="I777">
        <v>14</v>
      </c>
      <c r="J777">
        <v>144.91999999999999</v>
      </c>
      <c r="K777">
        <v>46.64</v>
      </c>
      <c r="L777">
        <f>_xlfn.XLOOKUP(C777, dim_teams[team_name], dim_teams[team_id], "Not found", 0)</f>
        <v>2</v>
      </c>
    </row>
    <row r="778" spans="1:12" x14ac:dyDescent="0.3">
      <c r="A778" t="s">
        <v>238</v>
      </c>
      <c r="B778">
        <v>2022</v>
      </c>
      <c r="C778" t="s">
        <v>21</v>
      </c>
      <c r="D778">
        <v>301</v>
      </c>
      <c r="E778">
        <v>177</v>
      </c>
      <c r="F778">
        <v>31</v>
      </c>
      <c r="G778">
        <v>15</v>
      </c>
      <c r="H778">
        <v>10</v>
      </c>
      <c r="I778">
        <v>13</v>
      </c>
      <c r="J778">
        <v>170.06</v>
      </c>
      <c r="K778">
        <v>30.1</v>
      </c>
      <c r="L778">
        <f>_xlfn.XLOOKUP(C778, dim_teams[team_name], dim_teams[team_id], "Not found", 0)</f>
        <v>2</v>
      </c>
    </row>
    <row r="779" spans="1:12" x14ac:dyDescent="0.3">
      <c r="A779" t="s">
        <v>238</v>
      </c>
      <c r="B779">
        <v>2023</v>
      </c>
      <c r="C779" t="s">
        <v>21</v>
      </c>
      <c r="D779">
        <v>400</v>
      </c>
      <c r="E779">
        <v>218</v>
      </c>
      <c r="F779">
        <v>29</v>
      </c>
      <c r="G779">
        <v>31</v>
      </c>
      <c r="H779">
        <v>12</v>
      </c>
      <c r="I779">
        <v>14</v>
      </c>
      <c r="J779">
        <v>183.49</v>
      </c>
      <c r="K779">
        <v>33.33</v>
      </c>
      <c r="L779">
        <f>_xlfn.XLOOKUP(C779, dim_teams[team_name], dim_teams[team_id], "Not found", 0)</f>
        <v>2</v>
      </c>
    </row>
    <row r="780" spans="1:12" x14ac:dyDescent="0.3">
      <c r="A780" t="s">
        <v>238</v>
      </c>
      <c r="B780">
        <v>2024</v>
      </c>
      <c r="C780" t="s">
        <v>102</v>
      </c>
      <c r="D780">
        <v>52</v>
      </c>
      <c r="E780">
        <v>43</v>
      </c>
      <c r="F780">
        <v>6</v>
      </c>
      <c r="G780">
        <v>2</v>
      </c>
      <c r="H780">
        <v>9</v>
      </c>
      <c r="I780">
        <v>9</v>
      </c>
      <c r="J780">
        <v>120.93</v>
      </c>
      <c r="K780">
        <v>5.78</v>
      </c>
      <c r="L780">
        <f>_xlfn.XLOOKUP(C780, dim_teams[team_name], dim_teams[team_id], "Not found", 0)</f>
        <v>19</v>
      </c>
    </row>
    <row r="781" spans="1:12" x14ac:dyDescent="0.3">
      <c r="A781" t="s">
        <v>238</v>
      </c>
      <c r="B781">
        <v>2025</v>
      </c>
      <c r="C781" t="s">
        <v>76</v>
      </c>
      <c r="D781">
        <v>48</v>
      </c>
      <c r="E781">
        <v>49</v>
      </c>
      <c r="F781">
        <v>5</v>
      </c>
      <c r="G781">
        <v>1</v>
      </c>
      <c r="H781">
        <v>6</v>
      </c>
      <c r="I781">
        <v>6</v>
      </c>
      <c r="J781">
        <v>97.96</v>
      </c>
      <c r="K781">
        <v>8</v>
      </c>
      <c r="L781">
        <f>_xlfn.XLOOKUP(C781, dim_teams[team_name], dim_teams[team_id], "Not found", 0)</f>
        <v>16</v>
      </c>
    </row>
    <row r="782" spans="1:12" x14ac:dyDescent="0.3">
      <c r="A782" t="s">
        <v>239</v>
      </c>
      <c r="B782">
        <v>2009</v>
      </c>
      <c r="C782" t="s">
        <v>23</v>
      </c>
      <c r="D782">
        <v>15</v>
      </c>
      <c r="E782">
        <v>16</v>
      </c>
      <c r="F782">
        <v>1</v>
      </c>
      <c r="G782">
        <v>0</v>
      </c>
      <c r="H782">
        <v>1</v>
      </c>
      <c r="I782">
        <v>1</v>
      </c>
      <c r="J782">
        <v>93.75</v>
      </c>
      <c r="K782">
        <v>15</v>
      </c>
      <c r="L782">
        <f>_xlfn.XLOOKUP(C782, dim_teams[team_name], dim_teams[team_id], "Not found", 0)</f>
        <v>7</v>
      </c>
    </row>
    <row r="783" spans="1:12" x14ac:dyDescent="0.3">
      <c r="A783" t="s">
        <v>240</v>
      </c>
      <c r="B783">
        <v>2024</v>
      </c>
      <c r="C783" t="s">
        <v>33</v>
      </c>
      <c r="D783">
        <v>19</v>
      </c>
      <c r="E783">
        <v>15</v>
      </c>
      <c r="F783">
        <v>1</v>
      </c>
      <c r="G783">
        <v>1</v>
      </c>
      <c r="H783">
        <v>1</v>
      </c>
      <c r="I783">
        <v>1</v>
      </c>
      <c r="J783">
        <v>126.67</v>
      </c>
      <c r="K783">
        <v>19</v>
      </c>
      <c r="L783">
        <f>_xlfn.XLOOKUP(C783, dim_teams[team_name], dim_teams[team_id], "Not found", 0)</f>
        <v>15</v>
      </c>
    </row>
    <row r="784" spans="1:12" x14ac:dyDescent="0.3">
      <c r="A784" t="s">
        <v>241</v>
      </c>
      <c r="B784">
        <v>2012</v>
      </c>
      <c r="C784" t="s">
        <v>54</v>
      </c>
      <c r="D784">
        <v>86</v>
      </c>
      <c r="E784">
        <v>52</v>
      </c>
      <c r="F784">
        <v>12</v>
      </c>
      <c r="G784">
        <v>2</v>
      </c>
      <c r="H784">
        <v>3</v>
      </c>
      <c r="I784">
        <v>4</v>
      </c>
      <c r="J784">
        <v>165.38</v>
      </c>
      <c r="K784">
        <v>28.67</v>
      </c>
      <c r="L784">
        <f>_xlfn.XLOOKUP(C784, dim_teams[team_name], dim_teams[team_id], "Not found", 0)</f>
        <v>4</v>
      </c>
    </row>
    <row r="785" spans="1:12" x14ac:dyDescent="0.3">
      <c r="A785" t="s">
        <v>241</v>
      </c>
      <c r="B785">
        <v>2013</v>
      </c>
      <c r="C785" t="s">
        <v>54</v>
      </c>
      <c r="D785">
        <v>108</v>
      </c>
      <c r="E785">
        <v>95</v>
      </c>
      <c r="F785">
        <v>10</v>
      </c>
      <c r="G785">
        <v>3</v>
      </c>
      <c r="H785">
        <v>9</v>
      </c>
      <c r="I785">
        <v>9</v>
      </c>
      <c r="J785">
        <v>113.68</v>
      </c>
      <c r="K785">
        <v>12</v>
      </c>
      <c r="L785">
        <f>_xlfn.XLOOKUP(C785, dim_teams[team_name], dim_teams[team_id], "Not found", 0)</f>
        <v>4</v>
      </c>
    </row>
    <row r="786" spans="1:12" x14ac:dyDescent="0.3">
      <c r="A786" t="s">
        <v>241</v>
      </c>
      <c r="B786">
        <v>2015</v>
      </c>
      <c r="C786" t="s">
        <v>54</v>
      </c>
      <c r="D786">
        <v>35</v>
      </c>
      <c r="E786">
        <v>39</v>
      </c>
      <c r="F786">
        <v>3</v>
      </c>
      <c r="G786">
        <v>1</v>
      </c>
      <c r="H786">
        <v>5</v>
      </c>
      <c r="I786">
        <v>5</v>
      </c>
      <c r="J786">
        <v>89.74</v>
      </c>
      <c r="K786">
        <v>7</v>
      </c>
      <c r="L786">
        <f>_xlfn.XLOOKUP(C786, dim_teams[team_name], dim_teams[team_id], "Not found", 0)</f>
        <v>4</v>
      </c>
    </row>
    <row r="787" spans="1:12" x14ac:dyDescent="0.3">
      <c r="A787" t="s">
        <v>241</v>
      </c>
      <c r="B787">
        <v>2016</v>
      </c>
      <c r="C787" t="s">
        <v>54</v>
      </c>
      <c r="D787">
        <v>113</v>
      </c>
      <c r="E787">
        <v>86</v>
      </c>
      <c r="F787">
        <v>11</v>
      </c>
      <c r="G787">
        <v>3</v>
      </c>
      <c r="H787">
        <v>6</v>
      </c>
      <c r="I787">
        <v>6</v>
      </c>
      <c r="J787">
        <v>131.4</v>
      </c>
      <c r="K787">
        <v>18.829999999999998</v>
      </c>
      <c r="L787">
        <f>_xlfn.XLOOKUP(C787, dim_teams[team_name], dim_teams[team_id], "Not found", 0)</f>
        <v>4</v>
      </c>
    </row>
    <row r="788" spans="1:12" x14ac:dyDescent="0.3">
      <c r="A788" t="s">
        <v>241</v>
      </c>
      <c r="B788">
        <v>2019</v>
      </c>
      <c r="C788" t="s">
        <v>21</v>
      </c>
      <c r="D788">
        <v>98</v>
      </c>
      <c r="E788">
        <v>70</v>
      </c>
      <c r="F788">
        <v>11</v>
      </c>
      <c r="G788">
        <v>2</v>
      </c>
      <c r="H788">
        <v>3</v>
      </c>
      <c r="I788">
        <v>3</v>
      </c>
      <c r="J788">
        <v>140</v>
      </c>
      <c r="K788">
        <v>32.67</v>
      </c>
      <c r="L788">
        <f>_xlfn.XLOOKUP(C788, dim_teams[team_name], dim_teams[team_id], "Not found", 0)</f>
        <v>2</v>
      </c>
    </row>
    <row r="789" spans="1:12" x14ac:dyDescent="0.3">
      <c r="A789" t="s">
        <v>241</v>
      </c>
      <c r="B789">
        <v>2020</v>
      </c>
      <c r="C789" t="s">
        <v>21</v>
      </c>
      <c r="D789">
        <v>71</v>
      </c>
      <c r="E789">
        <v>80</v>
      </c>
      <c r="F789">
        <v>8</v>
      </c>
      <c r="G789">
        <v>0</v>
      </c>
      <c r="H789">
        <v>1</v>
      </c>
      <c r="I789">
        <v>5</v>
      </c>
      <c r="J789">
        <v>88.75</v>
      </c>
      <c r="K789">
        <v>71</v>
      </c>
      <c r="L789">
        <f>_xlfn.XLOOKUP(C789, dim_teams[team_name], dim_teams[team_id], "Not found", 0)</f>
        <v>2</v>
      </c>
    </row>
    <row r="790" spans="1:12" x14ac:dyDescent="0.3">
      <c r="A790" t="s">
        <v>242</v>
      </c>
      <c r="B790">
        <v>2008</v>
      </c>
      <c r="C790" t="s">
        <v>12</v>
      </c>
      <c r="D790">
        <v>2</v>
      </c>
      <c r="E790">
        <v>5</v>
      </c>
      <c r="F790">
        <v>0</v>
      </c>
      <c r="G790">
        <v>0</v>
      </c>
      <c r="H790">
        <v>1</v>
      </c>
      <c r="I790">
        <v>1</v>
      </c>
      <c r="J790">
        <v>40</v>
      </c>
      <c r="K790">
        <v>2</v>
      </c>
      <c r="L790">
        <f>_xlfn.XLOOKUP(C790, dim_teams[team_name], dim_teams[team_id], "Not found", 0)</f>
        <v>8</v>
      </c>
    </row>
    <row r="791" spans="1:12" x14ac:dyDescent="0.3">
      <c r="A791" t="s">
        <v>243</v>
      </c>
      <c r="B791">
        <v>2018</v>
      </c>
      <c r="C791" t="s">
        <v>17</v>
      </c>
      <c r="D791">
        <v>57</v>
      </c>
      <c r="E791">
        <v>47</v>
      </c>
      <c r="F791">
        <v>5</v>
      </c>
      <c r="G791">
        <v>1</v>
      </c>
      <c r="H791">
        <v>3</v>
      </c>
      <c r="I791">
        <v>4</v>
      </c>
      <c r="J791">
        <v>121.28</v>
      </c>
      <c r="K791">
        <v>19</v>
      </c>
      <c r="L791">
        <f>_xlfn.XLOOKUP(C791, dim_teams[team_name], dim_teams[team_id], "Not found", 0)</f>
        <v>5</v>
      </c>
    </row>
    <row r="792" spans="1:12" x14ac:dyDescent="0.3">
      <c r="A792" t="s">
        <v>243</v>
      </c>
      <c r="B792">
        <v>2019</v>
      </c>
      <c r="C792" t="s">
        <v>21</v>
      </c>
      <c r="D792">
        <v>9</v>
      </c>
      <c r="E792">
        <v>9</v>
      </c>
      <c r="F792">
        <v>0</v>
      </c>
      <c r="G792">
        <v>0</v>
      </c>
      <c r="H792">
        <v>2</v>
      </c>
      <c r="I792">
        <v>2</v>
      </c>
      <c r="J792">
        <v>100</v>
      </c>
      <c r="K792">
        <v>4.5</v>
      </c>
      <c r="L792">
        <f>_xlfn.XLOOKUP(C792, dim_teams[team_name], dim_teams[team_id], "Not found", 0)</f>
        <v>2</v>
      </c>
    </row>
    <row r="793" spans="1:12" x14ac:dyDescent="0.3">
      <c r="A793" t="s">
        <v>243</v>
      </c>
      <c r="B793">
        <v>2023</v>
      </c>
      <c r="C793" t="s">
        <v>13</v>
      </c>
      <c r="D793">
        <v>448</v>
      </c>
      <c r="E793">
        <v>251</v>
      </c>
      <c r="F793">
        <v>32</v>
      </c>
      <c r="G793">
        <v>25</v>
      </c>
      <c r="H793">
        <v>9</v>
      </c>
      <c r="I793">
        <v>11</v>
      </c>
      <c r="J793">
        <v>178.49</v>
      </c>
      <c r="K793">
        <v>49.78</v>
      </c>
      <c r="L793">
        <f>_xlfn.XLOOKUP(C793, dim_teams[team_name], dim_teams[team_id], "Not found", 0)</f>
        <v>11</v>
      </c>
    </row>
    <row r="794" spans="1:12" x14ac:dyDescent="0.3">
      <c r="A794" t="s">
        <v>243</v>
      </c>
      <c r="B794">
        <v>2024</v>
      </c>
      <c r="C794" t="s">
        <v>13</v>
      </c>
      <c r="D794">
        <v>479</v>
      </c>
      <c r="E794">
        <v>277</v>
      </c>
      <c r="F794">
        <v>19</v>
      </c>
      <c r="G794">
        <v>38</v>
      </c>
      <c r="H794">
        <v>12</v>
      </c>
      <c r="I794">
        <v>15</v>
      </c>
      <c r="J794">
        <v>172.92</v>
      </c>
      <c r="K794">
        <v>39.92</v>
      </c>
      <c r="L794">
        <f>_xlfn.XLOOKUP(C794, dim_teams[team_name], dim_teams[team_id], "Not found", 0)</f>
        <v>11</v>
      </c>
    </row>
    <row r="795" spans="1:12" x14ac:dyDescent="0.3">
      <c r="A795" t="s">
        <v>243</v>
      </c>
      <c r="B795">
        <v>2025</v>
      </c>
      <c r="C795" t="s">
        <v>13</v>
      </c>
      <c r="D795">
        <v>487</v>
      </c>
      <c r="E795">
        <v>279</v>
      </c>
      <c r="F795">
        <v>42</v>
      </c>
      <c r="G795">
        <v>25</v>
      </c>
      <c r="H795">
        <v>10</v>
      </c>
      <c r="I795">
        <v>13</v>
      </c>
      <c r="J795">
        <v>174.55</v>
      </c>
      <c r="K795">
        <v>48.7</v>
      </c>
      <c r="L795">
        <f>_xlfn.XLOOKUP(C795, dim_teams[team_name], dim_teams[team_id], "Not found", 0)</f>
        <v>11</v>
      </c>
    </row>
    <row r="796" spans="1:12" x14ac:dyDescent="0.3">
      <c r="A796" t="s">
        <v>244</v>
      </c>
      <c r="B796">
        <v>2023</v>
      </c>
      <c r="C796" t="s">
        <v>13</v>
      </c>
      <c r="D796">
        <v>190</v>
      </c>
      <c r="E796">
        <v>153</v>
      </c>
      <c r="F796">
        <v>23</v>
      </c>
      <c r="G796">
        <v>4</v>
      </c>
      <c r="H796">
        <v>9</v>
      </c>
      <c r="I796">
        <v>11</v>
      </c>
      <c r="J796">
        <v>124.18</v>
      </c>
      <c r="K796">
        <v>21.11</v>
      </c>
      <c r="L796">
        <f>_xlfn.XLOOKUP(C796, dim_teams[team_name], dim_teams[team_id], "Not found", 0)</f>
        <v>11</v>
      </c>
    </row>
    <row r="797" spans="1:12" x14ac:dyDescent="0.3">
      <c r="A797" t="s">
        <v>245</v>
      </c>
      <c r="B797">
        <v>2022</v>
      </c>
      <c r="C797" t="s">
        <v>17</v>
      </c>
      <c r="D797">
        <v>22</v>
      </c>
      <c r="E797">
        <v>24</v>
      </c>
      <c r="F797">
        <v>2</v>
      </c>
      <c r="G797">
        <v>0</v>
      </c>
      <c r="H797">
        <v>2</v>
      </c>
      <c r="I797">
        <v>3</v>
      </c>
      <c r="J797">
        <v>91.67</v>
      </c>
      <c r="K797">
        <v>11</v>
      </c>
      <c r="L797">
        <f>_xlfn.XLOOKUP(C797, dim_teams[team_name], dim_teams[team_id], "Not found", 0)</f>
        <v>5</v>
      </c>
    </row>
    <row r="798" spans="1:12" x14ac:dyDescent="0.3">
      <c r="A798" t="s">
        <v>246</v>
      </c>
      <c r="B798">
        <v>2019</v>
      </c>
      <c r="C798" t="s">
        <v>19</v>
      </c>
      <c r="D798">
        <v>1</v>
      </c>
      <c r="E798">
        <v>5</v>
      </c>
      <c r="F798">
        <v>0</v>
      </c>
      <c r="G798">
        <v>0</v>
      </c>
      <c r="H798">
        <v>0</v>
      </c>
      <c r="I798">
        <v>1</v>
      </c>
      <c r="J798">
        <v>20</v>
      </c>
      <c r="L798">
        <f>_xlfn.XLOOKUP(C798, dim_teams[team_name], dim_teams[team_id], "Not found", 0)</f>
        <v>1</v>
      </c>
    </row>
    <row r="799" spans="1:12" x14ac:dyDescent="0.3">
      <c r="A799" t="s">
        <v>247</v>
      </c>
      <c r="B799">
        <v>2008</v>
      </c>
      <c r="C799" t="s">
        <v>12</v>
      </c>
      <c r="D799">
        <v>167</v>
      </c>
      <c r="E799">
        <v>153</v>
      </c>
      <c r="F799">
        <v>17</v>
      </c>
      <c r="G799">
        <v>8</v>
      </c>
      <c r="H799">
        <v>9</v>
      </c>
      <c r="I799">
        <v>9</v>
      </c>
      <c r="J799">
        <v>109.15</v>
      </c>
      <c r="K799">
        <v>18.559999999999999</v>
      </c>
      <c r="L799">
        <f>_xlfn.XLOOKUP(C799, dim_teams[team_name], dim_teams[team_id], "Not found", 0)</f>
        <v>8</v>
      </c>
    </row>
    <row r="800" spans="1:12" x14ac:dyDescent="0.3">
      <c r="A800" t="s">
        <v>247</v>
      </c>
      <c r="B800">
        <v>2009</v>
      </c>
      <c r="C800" t="s">
        <v>12</v>
      </c>
      <c r="D800">
        <v>371</v>
      </c>
      <c r="E800">
        <v>330</v>
      </c>
      <c r="F800">
        <v>32</v>
      </c>
      <c r="G800">
        <v>12</v>
      </c>
      <c r="H800">
        <v>11</v>
      </c>
      <c r="I800">
        <v>14</v>
      </c>
      <c r="J800">
        <v>112.42</v>
      </c>
      <c r="K800">
        <v>33.729999999999997</v>
      </c>
      <c r="L800">
        <f>_xlfn.XLOOKUP(C800, dim_teams[team_name], dim_teams[team_id], "Not found", 0)</f>
        <v>8</v>
      </c>
    </row>
    <row r="801" spans="1:12" x14ac:dyDescent="0.3">
      <c r="A801" t="s">
        <v>247</v>
      </c>
      <c r="B801">
        <v>2010</v>
      </c>
      <c r="C801" t="s">
        <v>12</v>
      </c>
      <c r="D801">
        <v>267</v>
      </c>
      <c r="E801">
        <v>234</v>
      </c>
      <c r="F801">
        <v>26</v>
      </c>
      <c r="G801">
        <v>9</v>
      </c>
      <c r="H801">
        <v>10</v>
      </c>
      <c r="I801">
        <v>10</v>
      </c>
      <c r="J801">
        <v>114.1</v>
      </c>
      <c r="K801">
        <v>26.7</v>
      </c>
      <c r="L801">
        <f>_xlfn.XLOOKUP(C801, dim_teams[team_name], dim_teams[team_id], "Not found", 0)</f>
        <v>8</v>
      </c>
    </row>
    <row r="802" spans="1:12" x14ac:dyDescent="0.3">
      <c r="A802" t="s">
        <v>247</v>
      </c>
      <c r="B802">
        <v>2012</v>
      </c>
      <c r="C802" t="s">
        <v>23</v>
      </c>
      <c r="D802">
        <v>81</v>
      </c>
      <c r="E802">
        <v>88</v>
      </c>
      <c r="F802">
        <v>8</v>
      </c>
      <c r="G802">
        <v>2</v>
      </c>
      <c r="H802">
        <v>2</v>
      </c>
      <c r="I802">
        <v>3</v>
      </c>
      <c r="J802">
        <v>92.05</v>
      </c>
      <c r="K802">
        <v>40.5</v>
      </c>
      <c r="L802">
        <f>_xlfn.XLOOKUP(C802, dim_teams[team_name], dim_teams[team_id], "Not found", 0)</f>
        <v>7</v>
      </c>
    </row>
    <row r="803" spans="1:12" x14ac:dyDescent="0.3">
      <c r="A803" t="s">
        <v>248</v>
      </c>
      <c r="B803">
        <v>2015</v>
      </c>
      <c r="C803" t="s">
        <v>23</v>
      </c>
      <c r="D803">
        <v>112</v>
      </c>
      <c r="E803">
        <v>60</v>
      </c>
      <c r="F803">
        <v>9</v>
      </c>
      <c r="G803">
        <v>8</v>
      </c>
      <c r="H803">
        <v>5</v>
      </c>
      <c r="I803">
        <v>8</v>
      </c>
      <c r="J803">
        <v>186.67</v>
      </c>
      <c r="K803">
        <v>22.4</v>
      </c>
      <c r="L803">
        <f>_xlfn.XLOOKUP(C803, dim_teams[team_name], dim_teams[team_id], "Not found", 0)</f>
        <v>7</v>
      </c>
    </row>
    <row r="804" spans="1:12" x14ac:dyDescent="0.3">
      <c r="A804" t="s">
        <v>248</v>
      </c>
      <c r="B804">
        <v>2016</v>
      </c>
      <c r="C804" t="s">
        <v>23</v>
      </c>
      <c r="D804">
        <v>44</v>
      </c>
      <c r="E804">
        <v>63</v>
      </c>
      <c r="F804">
        <v>4</v>
      </c>
      <c r="G804">
        <v>0</v>
      </c>
      <c r="H804">
        <v>7</v>
      </c>
      <c r="I804">
        <v>9</v>
      </c>
      <c r="J804">
        <v>69.84</v>
      </c>
      <c r="K804">
        <v>6.29</v>
      </c>
      <c r="L804">
        <f>_xlfn.XLOOKUP(C804, dim_teams[team_name], dim_teams[team_id], "Not found", 0)</f>
        <v>7</v>
      </c>
    </row>
    <row r="805" spans="1:12" x14ac:dyDescent="0.3">
      <c r="A805" t="s">
        <v>248</v>
      </c>
      <c r="B805">
        <v>2017</v>
      </c>
      <c r="C805" t="s">
        <v>23</v>
      </c>
      <c r="D805">
        <v>250</v>
      </c>
      <c r="E805">
        <v>159</v>
      </c>
      <c r="F805">
        <v>11</v>
      </c>
      <c r="G805">
        <v>20</v>
      </c>
      <c r="H805">
        <v>9</v>
      </c>
      <c r="I805">
        <v>16</v>
      </c>
      <c r="J805">
        <v>157.22999999999999</v>
      </c>
      <c r="K805">
        <v>27.78</v>
      </c>
      <c r="L805">
        <f>_xlfn.XLOOKUP(C805, dim_teams[team_name], dim_teams[team_id], "Not found", 0)</f>
        <v>7</v>
      </c>
    </row>
    <row r="806" spans="1:12" x14ac:dyDescent="0.3">
      <c r="A806" t="s">
        <v>248</v>
      </c>
      <c r="B806">
        <v>2018</v>
      </c>
      <c r="C806" t="s">
        <v>23</v>
      </c>
      <c r="D806">
        <v>260</v>
      </c>
      <c r="E806">
        <v>195</v>
      </c>
      <c r="F806">
        <v>20</v>
      </c>
      <c r="G806">
        <v>11</v>
      </c>
      <c r="H806">
        <v>9</v>
      </c>
      <c r="I806">
        <v>13</v>
      </c>
      <c r="J806">
        <v>133.33000000000001</v>
      </c>
      <c r="K806">
        <v>28.89</v>
      </c>
      <c r="L806">
        <f>_xlfn.XLOOKUP(C806, dim_teams[team_name], dim_teams[team_id], "Not found", 0)</f>
        <v>7</v>
      </c>
    </row>
    <row r="807" spans="1:12" x14ac:dyDescent="0.3">
      <c r="A807" t="s">
        <v>248</v>
      </c>
      <c r="B807">
        <v>2019</v>
      </c>
      <c r="C807" t="s">
        <v>23</v>
      </c>
      <c r="D807">
        <v>409</v>
      </c>
      <c r="E807">
        <v>211</v>
      </c>
      <c r="F807">
        <v>28</v>
      </c>
      <c r="G807">
        <v>30</v>
      </c>
      <c r="H807">
        <v>9</v>
      </c>
      <c r="I807">
        <v>15</v>
      </c>
      <c r="J807">
        <v>193.84</v>
      </c>
      <c r="K807">
        <v>45.44</v>
      </c>
      <c r="L807">
        <f>_xlfn.XLOOKUP(C807, dim_teams[team_name], dim_teams[team_id], "Not found", 0)</f>
        <v>7</v>
      </c>
    </row>
    <row r="808" spans="1:12" x14ac:dyDescent="0.3">
      <c r="A808" t="s">
        <v>248</v>
      </c>
      <c r="B808">
        <v>2020</v>
      </c>
      <c r="C808" t="s">
        <v>23</v>
      </c>
      <c r="D808">
        <v>283</v>
      </c>
      <c r="E808">
        <v>158</v>
      </c>
      <c r="F808">
        <v>14</v>
      </c>
      <c r="G808">
        <v>25</v>
      </c>
      <c r="H808">
        <v>8</v>
      </c>
      <c r="I808">
        <v>13</v>
      </c>
      <c r="J808">
        <v>179.11</v>
      </c>
      <c r="K808">
        <v>35.380000000000003</v>
      </c>
      <c r="L808">
        <f>_xlfn.XLOOKUP(C808, dim_teams[team_name], dim_teams[team_id], "Not found", 0)</f>
        <v>7</v>
      </c>
    </row>
    <row r="809" spans="1:12" x14ac:dyDescent="0.3">
      <c r="A809" t="s">
        <v>248</v>
      </c>
      <c r="B809">
        <v>2021</v>
      </c>
      <c r="C809" t="s">
        <v>23</v>
      </c>
      <c r="D809">
        <v>127</v>
      </c>
      <c r="E809">
        <v>111</v>
      </c>
      <c r="F809">
        <v>11</v>
      </c>
      <c r="G809">
        <v>5</v>
      </c>
      <c r="H809">
        <v>9</v>
      </c>
      <c r="I809">
        <v>11</v>
      </c>
      <c r="J809">
        <v>114.41</v>
      </c>
      <c r="K809">
        <v>14.11</v>
      </c>
      <c r="L809">
        <f>_xlfn.XLOOKUP(C809, dim_teams[team_name], dim_teams[team_id], "Not found", 0)</f>
        <v>7</v>
      </c>
    </row>
    <row r="810" spans="1:12" x14ac:dyDescent="0.3">
      <c r="A810" t="s">
        <v>248</v>
      </c>
      <c r="B810">
        <v>2022</v>
      </c>
      <c r="C810" t="s">
        <v>29</v>
      </c>
      <c r="D810">
        <v>487</v>
      </c>
      <c r="E810">
        <v>370</v>
      </c>
      <c r="F810">
        <v>49</v>
      </c>
      <c r="G810">
        <v>12</v>
      </c>
      <c r="H810">
        <v>10</v>
      </c>
      <c r="I810">
        <v>15</v>
      </c>
      <c r="J810">
        <v>131.62</v>
      </c>
      <c r="K810">
        <v>48.7</v>
      </c>
      <c r="L810">
        <f>_xlfn.XLOOKUP(C810, dim_teams[team_name], dim_teams[team_id], "Not found", 0)</f>
        <v>18</v>
      </c>
    </row>
    <row r="811" spans="1:12" x14ac:dyDescent="0.3">
      <c r="A811" t="s">
        <v>248</v>
      </c>
      <c r="B811">
        <v>2023</v>
      </c>
      <c r="C811" t="s">
        <v>29</v>
      </c>
      <c r="D811">
        <v>346</v>
      </c>
      <c r="E811">
        <v>251</v>
      </c>
      <c r="F811">
        <v>26</v>
      </c>
      <c r="G811">
        <v>15</v>
      </c>
      <c r="H811">
        <v>11</v>
      </c>
      <c r="I811">
        <v>15</v>
      </c>
      <c r="J811">
        <v>137.85</v>
      </c>
      <c r="K811">
        <v>31.45</v>
      </c>
      <c r="L811">
        <f>_xlfn.XLOOKUP(C811, dim_teams[team_name], dim_teams[team_id], "Not found", 0)</f>
        <v>18</v>
      </c>
    </row>
    <row r="812" spans="1:12" x14ac:dyDescent="0.3">
      <c r="A812" t="s">
        <v>248</v>
      </c>
      <c r="B812">
        <v>2024</v>
      </c>
      <c r="C812" t="s">
        <v>23</v>
      </c>
      <c r="D812">
        <v>216</v>
      </c>
      <c r="E812">
        <v>151</v>
      </c>
      <c r="F812">
        <v>17</v>
      </c>
      <c r="G812">
        <v>11</v>
      </c>
      <c r="H812">
        <v>12</v>
      </c>
      <c r="I812">
        <v>13</v>
      </c>
      <c r="J812">
        <v>143.05000000000001</v>
      </c>
      <c r="K812">
        <v>18</v>
      </c>
      <c r="L812">
        <f>_xlfn.XLOOKUP(C812, dim_teams[team_name], dim_teams[team_id], "Not found", 0)</f>
        <v>7</v>
      </c>
    </row>
    <row r="813" spans="1:12" x14ac:dyDescent="0.3">
      <c r="A813" t="s">
        <v>248</v>
      </c>
      <c r="B813">
        <v>2025</v>
      </c>
      <c r="C813" t="s">
        <v>23</v>
      </c>
      <c r="D813">
        <v>224</v>
      </c>
      <c r="E813">
        <v>137</v>
      </c>
      <c r="F813">
        <v>18</v>
      </c>
      <c r="G813">
        <v>13</v>
      </c>
      <c r="H813">
        <v>10</v>
      </c>
      <c r="I813">
        <v>12</v>
      </c>
      <c r="J813">
        <v>163.5</v>
      </c>
      <c r="K813">
        <v>22.4</v>
      </c>
      <c r="L813">
        <f>_xlfn.XLOOKUP(C813, dim_teams[team_name], dim_teams[team_id], "Not found", 0)</f>
        <v>7</v>
      </c>
    </row>
    <row r="814" spans="1:12" x14ac:dyDescent="0.3">
      <c r="A814" t="s">
        <v>249</v>
      </c>
      <c r="B814">
        <v>2016</v>
      </c>
      <c r="C814" t="s">
        <v>54</v>
      </c>
      <c r="D814">
        <v>157</v>
      </c>
      <c r="E814">
        <v>119</v>
      </c>
      <c r="F814">
        <v>20</v>
      </c>
      <c r="G814">
        <v>4</v>
      </c>
      <c r="H814">
        <v>6</v>
      </c>
      <c r="I814">
        <v>6</v>
      </c>
      <c r="J814">
        <v>131.93</v>
      </c>
      <c r="K814">
        <v>26.17</v>
      </c>
      <c r="L814">
        <f>_xlfn.XLOOKUP(C814, dim_teams[team_name], dim_teams[team_id], "Not found", 0)</f>
        <v>4</v>
      </c>
    </row>
    <row r="815" spans="1:12" x14ac:dyDescent="0.3">
      <c r="A815" t="s">
        <v>249</v>
      </c>
      <c r="B815">
        <v>2017</v>
      </c>
      <c r="C815" t="s">
        <v>54</v>
      </c>
      <c r="D815">
        <v>420</v>
      </c>
      <c r="E815">
        <v>287</v>
      </c>
      <c r="F815">
        <v>40</v>
      </c>
      <c r="G815">
        <v>17</v>
      </c>
      <c r="H815">
        <v>7</v>
      </c>
      <c r="I815">
        <v>10</v>
      </c>
      <c r="J815">
        <v>146.34</v>
      </c>
      <c r="K815">
        <v>60</v>
      </c>
      <c r="L815">
        <f>_xlfn.XLOOKUP(C815, dim_teams[team_name], dim_teams[team_id], "Not found", 0)</f>
        <v>4</v>
      </c>
    </row>
    <row r="816" spans="1:12" x14ac:dyDescent="0.3">
      <c r="A816" t="s">
        <v>250</v>
      </c>
      <c r="B816">
        <v>2022</v>
      </c>
      <c r="C816" t="s">
        <v>23</v>
      </c>
      <c r="D816">
        <v>43</v>
      </c>
      <c r="E816">
        <v>48</v>
      </c>
      <c r="F816">
        <v>5</v>
      </c>
      <c r="G816">
        <v>0</v>
      </c>
      <c r="H816">
        <v>2</v>
      </c>
      <c r="I816">
        <v>2</v>
      </c>
      <c r="J816">
        <v>89.58</v>
      </c>
      <c r="K816">
        <v>21.5</v>
      </c>
      <c r="L816">
        <f>_xlfn.XLOOKUP(C816, dim_teams[team_name], dim_teams[team_id], "Not found", 0)</f>
        <v>7</v>
      </c>
    </row>
    <row r="817" spans="1:12" x14ac:dyDescent="0.3">
      <c r="A817" t="s">
        <v>250</v>
      </c>
      <c r="B817">
        <v>2023</v>
      </c>
      <c r="C817" t="s">
        <v>23</v>
      </c>
      <c r="D817">
        <v>23</v>
      </c>
      <c r="E817">
        <v>17</v>
      </c>
      <c r="F817">
        <v>4</v>
      </c>
      <c r="G817">
        <v>0</v>
      </c>
      <c r="H817">
        <v>1</v>
      </c>
      <c r="I817">
        <v>3</v>
      </c>
      <c r="J817">
        <v>135.29</v>
      </c>
      <c r="K817">
        <v>23</v>
      </c>
      <c r="L817">
        <f>_xlfn.XLOOKUP(C817, dim_teams[team_name], dim_teams[team_id], "Not found", 0)</f>
        <v>7</v>
      </c>
    </row>
    <row r="818" spans="1:12" x14ac:dyDescent="0.3">
      <c r="A818" t="s">
        <v>251</v>
      </c>
      <c r="B818">
        <v>2012</v>
      </c>
      <c r="C818" t="s">
        <v>21</v>
      </c>
      <c r="D818">
        <v>15</v>
      </c>
      <c r="E818">
        <v>15</v>
      </c>
      <c r="F818">
        <v>1</v>
      </c>
      <c r="G818">
        <v>0</v>
      </c>
      <c r="H818">
        <v>2</v>
      </c>
      <c r="I818">
        <v>3</v>
      </c>
      <c r="J818">
        <v>100</v>
      </c>
      <c r="K818">
        <v>7.5</v>
      </c>
      <c r="L818">
        <f>_xlfn.XLOOKUP(C818, dim_teams[team_name], dim_teams[team_id], "Not found", 0)</f>
        <v>2</v>
      </c>
    </row>
    <row r="819" spans="1:12" x14ac:dyDescent="0.3">
      <c r="A819" t="s">
        <v>251</v>
      </c>
      <c r="B819">
        <v>2014</v>
      </c>
      <c r="C819" t="s">
        <v>21</v>
      </c>
      <c r="D819">
        <v>13</v>
      </c>
      <c r="E819">
        <v>7</v>
      </c>
      <c r="F819">
        <v>1</v>
      </c>
      <c r="G819">
        <v>1</v>
      </c>
      <c r="H819">
        <v>2</v>
      </c>
      <c r="I819">
        <v>3</v>
      </c>
      <c r="J819">
        <v>185.71</v>
      </c>
      <c r="K819">
        <v>6.5</v>
      </c>
      <c r="L819">
        <f>_xlfn.XLOOKUP(C819, dim_teams[team_name], dim_teams[team_id], "Not found", 0)</f>
        <v>2</v>
      </c>
    </row>
    <row r="820" spans="1:12" x14ac:dyDescent="0.3">
      <c r="A820" t="s">
        <v>251</v>
      </c>
      <c r="B820">
        <v>2015</v>
      </c>
      <c r="C820" t="s">
        <v>21</v>
      </c>
      <c r="D820">
        <v>19</v>
      </c>
      <c r="E820">
        <v>12</v>
      </c>
      <c r="F820">
        <v>0</v>
      </c>
      <c r="G820">
        <v>2</v>
      </c>
      <c r="H820">
        <v>4</v>
      </c>
      <c r="I820">
        <v>6</v>
      </c>
      <c r="J820">
        <v>158.33000000000001</v>
      </c>
      <c r="K820">
        <v>4.75</v>
      </c>
      <c r="L820">
        <f>_xlfn.XLOOKUP(C820, dim_teams[team_name], dim_teams[team_id], "Not found", 0)</f>
        <v>2</v>
      </c>
    </row>
    <row r="821" spans="1:12" x14ac:dyDescent="0.3">
      <c r="A821" t="s">
        <v>251</v>
      </c>
      <c r="B821">
        <v>2018</v>
      </c>
      <c r="C821" t="s">
        <v>32</v>
      </c>
      <c r="D821">
        <v>60</v>
      </c>
      <c r="E821">
        <v>33</v>
      </c>
      <c r="F821">
        <v>1</v>
      </c>
      <c r="G821">
        <v>6</v>
      </c>
      <c r="H821">
        <v>0</v>
      </c>
      <c r="I821">
        <v>2</v>
      </c>
      <c r="J821">
        <v>181.82</v>
      </c>
      <c r="L821">
        <f>_xlfn.XLOOKUP(C821, dim_teams[team_name], dim_teams[team_id], "Not found", 0)</f>
        <v>6</v>
      </c>
    </row>
    <row r="822" spans="1:12" x14ac:dyDescent="0.3">
      <c r="A822" t="s">
        <v>251</v>
      </c>
      <c r="B822">
        <v>2019</v>
      </c>
      <c r="C822" t="s">
        <v>33</v>
      </c>
      <c r="D822">
        <v>0</v>
      </c>
      <c r="E822">
        <v>2</v>
      </c>
      <c r="F822">
        <v>0</v>
      </c>
      <c r="G822">
        <v>0</v>
      </c>
      <c r="H822">
        <v>1</v>
      </c>
      <c r="I822">
        <v>1</v>
      </c>
      <c r="J822">
        <v>0</v>
      </c>
      <c r="K822">
        <v>0</v>
      </c>
      <c r="L822">
        <f>_xlfn.XLOOKUP(C822, dim_teams[team_name], dim_teams[team_id], "Not found", 0)</f>
        <v>15</v>
      </c>
    </row>
    <row r="823" spans="1:12" x14ac:dyDescent="0.3">
      <c r="A823" t="s">
        <v>251</v>
      </c>
      <c r="B823">
        <v>2020</v>
      </c>
      <c r="C823" t="s">
        <v>33</v>
      </c>
      <c r="D823">
        <v>21</v>
      </c>
      <c r="E823">
        <v>24</v>
      </c>
      <c r="F823">
        <v>2</v>
      </c>
      <c r="G823">
        <v>0</v>
      </c>
      <c r="H823">
        <v>2</v>
      </c>
      <c r="I823">
        <v>2</v>
      </c>
      <c r="J823">
        <v>87.5</v>
      </c>
      <c r="K823">
        <v>10.5</v>
      </c>
      <c r="L823">
        <f>_xlfn.XLOOKUP(C823, dim_teams[team_name], dim_teams[team_id], "Not found", 0)</f>
        <v>15</v>
      </c>
    </row>
    <row r="824" spans="1:12" x14ac:dyDescent="0.3">
      <c r="A824" t="s">
        <v>251</v>
      </c>
      <c r="B824">
        <v>2021</v>
      </c>
      <c r="C824" t="s">
        <v>21</v>
      </c>
      <c r="D824">
        <v>59</v>
      </c>
      <c r="E824">
        <v>46</v>
      </c>
      <c r="F824">
        <v>6</v>
      </c>
      <c r="G824">
        <v>2</v>
      </c>
      <c r="H824">
        <v>6</v>
      </c>
      <c r="I824">
        <v>7</v>
      </c>
      <c r="J824">
        <v>128.26</v>
      </c>
      <c r="K824">
        <v>9.83</v>
      </c>
      <c r="L824">
        <f>_xlfn.XLOOKUP(C824, dim_teams[team_name], dim_teams[team_id], "Not found", 0)</f>
        <v>2</v>
      </c>
    </row>
    <row r="825" spans="1:12" x14ac:dyDescent="0.3">
      <c r="A825" t="s">
        <v>251</v>
      </c>
      <c r="B825">
        <v>2022</v>
      </c>
      <c r="C825" t="s">
        <v>21</v>
      </c>
      <c r="D825">
        <v>43</v>
      </c>
      <c r="E825">
        <v>39</v>
      </c>
      <c r="F825">
        <v>4</v>
      </c>
      <c r="G825">
        <v>2</v>
      </c>
      <c r="H825">
        <v>4</v>
      </c>
      <c r="I825">
        <v>7</v>
      </c>
      <c r="J825">
        <v>110.26</v>
      </c>
      <c r="K825">
        <v>10.75</v>
      </c>
      <c r="L825">
        <f>_xlfn.XLOOKUP(C825, dim_teams[team_name], dim_teams[team_id], "Not found", 0)</f>
        <v>2</v>
      </c>
    </row>
    <row r="826" spans="1:12" x14ac:dyDescent="0.3">
      <c r="A826" t="s">
        <v>251</v>
      </c>
      <c r="B826">
        <v>2023</v>
      </c>
      <c r="C826" t="s">
        <v>21</v>
      </c>
      <c r="D826">
        <v>6</v>
      </c>
      <c r="E826">
        <v>6</v>
      </c>
      <c r="F826">
        <v>0</v>
      </c>
      <c r="G826">
        <v>1</v>
      </c>
      <c r="H826">
        <v>2</v>
      </c>
      <c r="I826">
        <v>2</v>
      </c>
      <c r="J826">
        <v>100</v>
      </c>
      <c r="K826">
        <v>3</v>
      </c>
      <c r="L826">
        <f>_xlfn.XLOOKUP(C826, dim_teams[team_name], dim_teams[team_id], "Not found", 0)</f>
        <v>2</v>
      </c>
    </row>
    <row r="827" spans="1:12" x14ac:dyDescent="0.3">
      <c r="A827" t="s">
        <v>251</v>
      </c>
      <c r="B827">
        <v>2024</v>
      </c>
      <c r="C827" t="s">
        <v>76</v>
      </c>
      <c r="D827">
        <v>13</v>
      </c>
      <c r="E827">
        <v>19</v>
      </c>
      <c r="F827">
        <v>1</v>
      </c>
      <c r="G827">
        <v>1</v>
      </c>
      <c r="H827">
        <v>3</v>
      </c>
      <c r="I827">
        <v>4</v>
      </c>
      <c r="J827">
        <v>68.42</v>
      </c>
      <c r="K827">
        <v>4.33</v>
      </c>
      <c r="L827">
        <f>_xlfn.XLOOKUP(C827, dim_teams[team_name], dim_teams[team_id], "Not found", 0)</f>
        <v>16</v>
      </c>
    </row>
    <row r="828" spans="1:12" x14ac:dyDescent="0.3">
      <c r="A828" t="s">
        <v>251</v>
      </c>
      <c r="B828">
        <v>2025</v>
      </c>
      <c r="C828" t="s">
        <v>13</v>
      </c>
      <c r="D828">
        <v>21</v>
      </c>
      <c r="E828">
        <v>26</v>
      </c>
      <c r="F828">
        <v>0</v>
      </c>
      <c r="G828">
        <v>0</v>
      </c>
      <c r="H828">
        <v>2</v>
      </c>
      <c r="I828">
        <v>4</v>
      </c>
      <c r="J828">
        <v>80.77</v>
      </c>
      <c r="K828">
        <v>10.5</v>
      </c>
      <c r="L828">
        <f>_xlfn.XLOOKUP(C828, dim_teams[team_name], dim_teams[team_id], "Not found", 0)</f>
        <v>11</v>
      </c>
    </row>
    <row r="829" spans="1:12" x14ac:dyDescent="0.3">
      <c r="A829" t="s">
        <v>252</v>
      </c>
      <c r="B829">
        <v>2008</v>
      </c>
      <c r="C829" t="s">
        <v>23</v>
      </c>
      <c r="D829">
        <v>30</v>
      </c>
      <c r="E829">
        <v>17</v>
      </c>
      <c r="F829">
        <v>1</v>
      </c>
      <c r="G829">
        <v>3</v>
      </c>
      <c r="H829">
        <v>2</v>
      </c>
      <c r="I829">
        <v>3</v>
      </c>
      <c r="J829">
        <v>176.47</v>
      </c>
      <c r="K829">
        <v>15</v>
      </c>
      <c r="L829">
        <f>_xlfn.XLOOKUP(C829, dim_teams[team_name], dim_teams[team_id], "Not found", 0)</f>
        <v>7</v>
      </c>
    </row>
    <row r="830" spans="1:12" x14ac:dyDescent="0.3">
      <c r="A830" t="s">
        <v>252</v>
      </c>
      <c r="B830">
        <v>2009</v>
      </c>
      <c r="C830" t="s">
        <v>23</v>
      </c>
      <c r="D830">
        <v>84</v>
      </c>
      <c r="E830">
        <v>53</v>
      </c>
      <c r="F830">
        <v>6</v>
      </c>
      <c r="G830">
        <v>5</v>
      </c>
      <c r="H830">
        <v>9</v>
      </c>
      <c r="I830">
        <v>10</v>
      </c>
      <c r="J830">
        <v>158.49</v>
      </c>
      <c r="K830">
        <v>9.33</v>
      </c>
      <c r="L830">
        <f>_xlfn.XLOOKUP(C830, dim_teams[team_name], dim_teams[team_id], "Not found", 0)</f>
        <v>7</v>
      </c>
    </row>
    <row r="831" spans="1:12" x14ac:dyDescent="0.3">
      <c r="A831" t="s">
        <v>252</v>
      </c>
      <c r="B831">
        <v>2010</v>
      </c>
      <c r="C831" t="s">
        <v>23</v>
      </c>
      <c r="D831">
        <v>105</v>
      </c>
      <c r="E831">
        <v>60</v>
      </c>
      <c r="F831">
        <v>12</v>
      </c>
      <c r="G831">
        <v>5</v>
      </c>
      <c r="H831">
        <v>6</v>
      </c>
      <c r="I831">
        <v>7</v>
      </c>
      <c r="J831">
        <v>175</v>
      </c>
      <c r="K831">
        <v>17.5</v>
      </c>
      <c r="L831">
        <f>_xlfn.XLOOKUP(C831, dim_teams[team_name], dim_teams[team_id], "Not found", 0)</f>
        <v>7</v>
      </c>
    </row>
    <row r="832" spans="1:12" x14ac:dyDescent="0.3">
      <c r="A832" t="s">
        <v>252</v>
      </c>
      <c r="B832">
        <v>2011</v>
      </c>
      <c r="C832" t="s">
        <v>23</v>
      </c>
      <c r="D832">
        <v>103</v>
      </c>
      <c r="E832">
        <v>71</v>
      </c>
      <c r="F832">
        <v>9</v>
      </c>
      <c r="G832">
        <v>6</v>
      </c>
      <c r="H832">
        <v>4</v>
      </c>
      <c r="I832">
        <v>8</v>
      </c>
      <c r="J832">
        <v>145.07</v>
      </c>
      <c r="K832">
        <v>25.75</v>
      </c>
      <c r="L832">
        <f>_xlfn.XLOOKUP(C832, dim_teams[team_name], dim_teams[team_id], "Not found", 0)</f>
        <v>7</v>
      </c>
    </row>
    <row r="833" spans="1:12" x14ac:dyDescent="0.3">
      <c r="A833" t="s">
        <v>252</v>
      </c>
      <c r="B833">
        <v>2012</v>
      </c>
      <c r="C833" t="s">
        <v>23</v>
      </c>
      <c r="D833">
        <v>108</v>
      </c>
      <c r="E833">
        <v>80</v>
      </c>
      <c r="F833">
        <v>14</v>
      </c>
      <c r="G833">
        <v>3</v>
      </c>
      <c r="H833">
        <v>9</v>
      </c>
      <c r="I833">
        <v>11</v>
      </c>
      <c r="J833">
        <v>135</v>
      </c>
      <c r="K833">
        <v>12</v>
      </c>
      <c r="L833">
        <f>_xlfn.XLOOKUP(C833, dim_teams[team_name], dim_teams[team_id], "Not found", 0)</f>
        <v>7</v>
      </c>
    </row>
    <row r="834" spans="1:12" x14ac:dyDescent="0.3">
      <c r="A834" t="s">
        <v>252</v>
      </c>
      <c r="B834">
        <v>2013</v>
      </c>
      <c r="C834" t="s">
        <v>23</v>
      </c>
      <c r="D834">
        <v>116</v>
      </c>
      <c r="E834">
        <v>79</v>
      </c>
      <c r="F834">
        <v>12</v>
      </c>
      <c r="G834">
        <v>5</v>
      </c>
      <c r="H834">
        <v>5</v>
      </c>
      <c r="I834">
        <v>13</v>
      </c>
      <c r="J834">
        <v>146.84</v>
      </c>
      <c r="K834">
        <v>23.2</v>
      </c>
      <c r="L834">
        <f>_xlfn.XLOOKUP(C834, dim_teams[team_name], dim_teams[team_id], "Not found", 0)</f>
        <v>7</v>
      </c>
    </row>
    <row r="835" spans="1:12" x14ac:dyDescent="0.3">
      <c r="A835" t="s">
        <v>252</v>
      </c>
      <c r="B835">
        <v>2014</v>
      </c>
      <c r="C835" t="s">
        <v>23</v>
      </c>
      <c r="D835">
        <v>28</v>
      </c>
      <c r="E835">
        <v>25</v>
      </c>
      <c r="F835">
        <v>2</v>
      </c>
      <c r="G835">
        <v>2</v>
      </c>
      <c r="H835">
        <v>6</v>
      </c>
      <c r="I835">
        <v>7</v>
      </c>
      <c r="J835">
        <v>112</v>
      </c>
      <c r="K835">
        <v>4.67</v>
      </c>
      <c r="L835">
        <f>_xlfn.XLOOKUP(C835, dim_teams[team_name], dim_teams[team_id], "Not found", 0)</f>
        <v>7</v>
      </c>
    </row>
    <row r="836" spans="1:12" x14ac:dyDescent="0.3">
      <c r="A836" t="s">
        <v>252</v>
      </c>
      <c r="B836">
        <v>2015</v>
      </c>
      <c r="C836" t="s">
        <v>23</v>
      </c>
      <c r="D836">
        <v>117</v>
      </c>
      <c r="E836">
        <v>72</v>
      </c>
      <c r="F836">
        <v>9</v>
      </c>
      <c r="G836">
        <v>9</v>
      </c>
      <c r="H836">
        <v>7</v>
      </c>
      <c r="I836">
        <v>9</v>
      </c>
      <c r="J836">
        <v>162.5</v>
      </c>
      <c r="K836">
        <v>16.71</v>
      </c>
      <c r="L836">
        <f>_xlfn.XLOOKUP(C836, dim_teams[team_name], dim_teams[team_id], "Not found", 0)</f>
        <v>7</v>
      </c>
    </row>
    <row r="837" spans="1:12" x14ac:dyDescent="0.3">
      <c r="A837" t="s">
        <v>252</v>
      </c>
      <c r="B837">
        <v>2016</v>
      </c>
      <c r="C837" t="s">
        <v>23</v>
      </c>
      <c r="D837">
        <v>92</v>
      </c>
      <c r="E837">
        <v>84</v>
      </c>
      <c r="F837">
        <v>11</v>
      </c>
      <c r="G837">
        <v>2</v>
      </c>
      <c r="H837">
        <v>3</v>
      </c>
      <c r="I837">
        <v>7</v>
      </c>
      <c r="J837">
        <v>109.52</v>
      </c>
      <c r="K837">
        <v>30.67</v>
      </c>
      <c r="L837">
        <f>_xlfn.XLOOKUP(C837, dim_teams[team_name], dim_teams[team_id], "Not found", 0)</f>
        <v>7</v>
      </c>
    </row>
    <row r="838" spans="1:12" x14ac:dyDescent="0.3">
      <c r="A838" t="s">
        <v>252</v>
      </c>
      <c r="B838">
        <v>2017</v>
      </c>
      <c r="C838" t="s">
        <v>23</v>
      </c>
      <c r="D838">
        <v>16</v>
      </c>
      <c r="E838">
        <v>16</v>
      </c>
      <c r="F838">
        <v>0</v>
      </c>
      <c r="G838">
        <v>1</v>
      </c>
      <c r="H838">
        <v>2</v>
      </c>
      <c r="I838">
        <v>7</v>
      </c>
      <c r="J838">
        <v>100</v>
      </c>
      <c r="K838">
        <v>8</v>
      </c>
      <c r="L838">
        <f>_xlfn.XLOOKUP(C838, dim_teams[team_name], dim_teams[team_id], "Not found", 0)</f>
        <v>7</v>
      </c>
    </row>
    <row r="839" spans="1:12" x14ac:dyDescent="0.3">
      <c r="A839" t="s">
        <v>252</v>
      </c>
      <c r="B839">
        <v>2018</v>
      </c>
      <c r="C839" t="s">
        <v>25</v>
      </c>
      <c r="D839">
        <v>29</v>
      </c>
      <c r="E839">
        <v>35</v>
      </c>
      <c r="F839">
        <v>3</v>
      </c>
      <c r="G839">
        <v>1</v>
      </c>
      <c r="H839">
        <v>2</v>
      </c>
      <c r="I839">
        <v>3</v>
      </c>
      <c r="J839">
        <v>82.86</v>
      </c>
      <c r="K839">
        <v>14.5</v>
      </c>
      <c r="L839">
        <f>_xlfn.XLOOKUP(C839, dim_teams[team_name], dim_teams[team_id], "Not found", 0)</f>
        <v>3</v>
      </c>
    </row>
    <row r="840" spans="1:12" x14ac:dyDescent="0.3">
      <c r="A840" t="s">
        <v>252</v>
      </c>
      <c r="B840">
        <v>2019</v>
      </c>
      <c r="C840" t="s">
        <v>25</v>
      </c>
      <c r="D840">
        <v>1</v>
      </c>
      <c r="E840">
        <v>3</v>
      </c>
      <c r="F840">
        <v>0</v>
      </c>
      <c r="G840">
        <v>0</v>
      </c>
      <c r="H840">
        <v>1</v>
      </c>
      <c r="I840">
        <v>1</v>
      </c>
      <c r="J840">
        <v>33.33</v>
      </c>
      <c r="K840">
        <v>1</v>
      </c>
      <c r="L840">
        <f>_xlfn.XLOOKUP(C840, dim_teams[team_name], dim_teams[team_id], "Not found", 0)</f>
        <v>3</v>
      </c>
    </row>
    <row r="841" spans="1:12" x14ac:dyDescent="0.3">
      <c r="A841" t="s">
        <v>252</v>
      </c>
      <c r="B841">
        <v>2021</v>
      </c>
      <c r="C841" t="s">
        <v>19</v>
      </c>
      <c r="D841">
        <v>4</v>
      </c>
      <c r="E841">
        <v>4</v>
      </c>
      <c r="F841">
        <v>0</v>
      </c>
      <c r="G841">
        <v>0</v>
      </c>
      <c r="H841">
        <v>0</v>
      </c>
      <c r="I841">
        <v>2</v>
      </c>
      <c r="J841">
        <v>100</v>
      </c>
      <c r="L841">
        <f>_xlfn.XLOOKUP(C841, dim_teams[team_name], dim_teams[team_id], "Not found", 0)</f>
        <v>1</v>
      </c>
    </row>
    <row r="842" spans="1:12" x14ac:dyDescent="0.3">
      <c r="A842" t="s">
        <v>253</v>
      </c>
      <c r="B842">
        <v>2010</v>
      </c>
      <c r="C842" t="s">
        <v>12</v>
      </c>
      <c r="D842">
        <v>0</v>
      </c>
      <c r="E842">
        <v>1</v>
      </c>
      <c r="F842">
        <v>0</v>
      </c>
      <c r="G842">
        <v>0</v>
      </c>
      <c r="H842">
        <v>1</v>
      </c>
      <c r="I842">
        <v>1</v>
      </c>
      <c r="J842">
        <v>0</v>
      </c>
      <c r="K842">
        <v>0</v>
      </c>
      <c r="L842">
        <f>_xlfn.XLOOKUP(C842, dim_teams[team_name], dim_teams[team_id], "Not found", 0)</f>
        <v>8</v>
      </c>
    </row>
    <row r="843" spans="1:12" x14ac:dyDescent="0.3">
      <c r="A843" t="s">
        <v>253</v>
      </c>
      <c r="B843">
        <v>2012</v>
      </c>
      <c r="C843" t="s">
        <v>54</v>
      </c>
      <c r="D843">
        <v>15</v>
      </c>
      <c r="E843">
        <v>7</v>
      </c>
      <c r="F843">
        <v>3</v>
      </c>
      <c r="G843">
        <v>0</v>
      </c>
      <c r="H843">
        <v>1</v>
      </c>
      <c r="I843">
        <v>2</v>
      </c>
      <c r="J843">
        <v>214.29</v>
      </c>
      <c r="K843">
        <v>15</v>
      </c>
      <c r="L843">
        <f>_xlfn.XLOOKUP(C843, dim_teams[team_name], dim_teams[team_id], "Not found", 0)</f>
        <v>4</v>
      </c>
    </row>
    <row r="844" spans="1:12" x14ac:dyDescent="0.3">
      <c r="A844" t="s">
        <v>253</v>
      </c>
      <c r="B844">
        <v>2013</v>
      </c>
      <c r="C844" t="s">
        <v>54</v>
      </c>
      <c r="D844">
        <v>3</v>
      </c>
      <c r="E844">
        <v>4</v>
      </c>
      <c r="F844">
        <v>0</v>
      </c>
      <c r="G844">
        <v>0</v>
      </c>
      <c r="H844">
        <v>0</v>
      </c>
      <c r="I844">
        <v>1</v>
      </c>
      <c r="J844">
        <v>75</v>
      </c>
      <c r="L844">
        <f>_xlfn.XLOOKUP(C844, dim_teams[team_name], dim_teams[team_id], "Not found", 0)</f>
        <v>4</v>
      </c>
    </row>
    <row r="845" spans="1:12" x14ac:dyDescent="0.3">
      <c r="A845" t="s">
        <v>254</v>
      </c>
      <c r="B845">
        <v>2019</v>
      </c>
      <c r="C845" t="s">
        <v>54</v>
      </c>
      <c r="D845">
        <v>20</v>
      </c>
      <c r="E845">
        <v>12</v>
      </c>
      <c r="F845">
        <v>2</v>
      </c>
      <c r="G845">
        <v>1</v>
      </c>
      <c r="H845">
        <v>0</v>
      </c>
      <c r="I845">
        <v>1</v>
      </c>
      <c r="J845">
        <v>166.67</v>
      </c>
      <c r="L845">
        <f>_xlfn.XLOOKUP(C845, dim_teams[team_name], dim_teams[team_id], "Not found", 0)</f>
        <v>4</v>
      </c>
    </row>
    <row r="846" spans="1:12" x14ac:dyDescent="0.3">
      <c r="A846" t="s">
        <v>254</v>
      </c>
      <c r="B846">
        <v>2021</v>
      </c>
      <c r="C846" t="s">
        <v>76</v>
      </c>
      <c r="D846">
        <v>64</v>
      </c>
      <c r="E846">
        <v>58</v>
      </c>
      <c r="F846">
        <v>3</v>
      </c>
      <c r="G846">
        <v>2</v>
      </c>
      <c r="H846">
        <v>0</v>
      </c>
      <c r="I846">
        <v>5</v>
      </c>
      <c r="J846">
        <v>110.34</v>
      </c>
      <c r="L846">
        <f>_xlfn.XLOOKUP(C846, dim_teams[team_name], dim_teams[team_id], "Not found", 0)</f>
        <v>16</v>
      </c>
    </row>
    <row r="847" spans="1:12" x14ac:dyDescent="0.3">
      <c r="A847" t="s">
        <v>254</v>
      </c>
      <c r="B847">
        <v>2022</v>
      </c>
      <c r="C847" t="s">
        <v>76</v>
      </c>
      <c r="D847">
        <v>22</v>
      </c>
      <c r="E847">
        <v>25</v>
      </c>
      <c r="F847">
        <v>1</v>
      </c>
      <c r="G847">
        <v>2</v>
      </c>
      <c r="H847">
        <v>3</v>
      </c>
      <c r="I847">
        <v>3</v>
      </c>
      <c r="J847">
        <v>88</v>
      </c>
      <c r="K847">
        <v>7.33</v>
      </c>
      <c r="L847">
        <f>_xlfn.XLOOKUP(C847, dim_teams[team_name], dim_teams[team_id], "Not found", 0)</f>
        <v>16</v>
      </c>
    </row>
    <row r="848" spans="1:12" x14ac:dyDescent="0.3">
      <c r="A848" t="s">
        <v>254</v>
      </c>
      <c r="B848">
        <v>2023</v>
      </c>
      <c r="C848" t="s">
        <v>76</v>
      </c>
      <c r="D848">
        <v>52</v>
      </c>
      <c r="E848">
        <v>41</v>
      </c>
      <c r="F848">
        <v>5</v>
      </c>
      <c r="G848">
        <v>2</v>
      </c>
      <c r="H848">
        <v>7</v>
      </c>
      <c r="I848">
        <v>8</v>
      </c>
      <c r="J848">
        <v>126.83</v>
      </c>
      <c r="K848">
        <v>7.43</v>
      </c>
      <c r="L848">
        <f>_xlfn.XLOOKUP(C848, dim_teams[team_name], dim_teams[team_id], "Not found", 0)</f>
        <v>16</v>
      </c>
    </row>
    <row r="849" spans="1:12" x14ac:dyDescent="0.3">
      <c r="A849" t="s">
        <v>254</v>
      </c>
      <c r="B849">
        <v>2024</v>
      </c>
      <c r="C849" t="s">
        <v>76</v>
      </c>
      <c r="D849">
        <v>75</v>
      </c>
      <c r="E849">
        <v>54</v>
      </c>
      <c r="F849">
        <v>8</v>
      </c>
      <c r="G849">
        <v>2</v>
      </c>
      <c r="H849">
        <v>2</v>
      </c>
      <c r="I849">
        <v>7</v>
      </c>
      <c r="J849">
        <v>138.88999999999999</v>
      </c>
      <c r="K849">
        <v>37.5</v>
      </c>
      <c r="L849">
        <f>_xlfn.XLOOKUP(C849, dim_teams[team_name], dim_teams[team_id], "Not found", 0)</f>
        <v>16</v>
      </c>
    </row>
    <row r="850" spans="1:12" x14ac:dyDescent="0.3">
      <c r="A850" t="s">
        <v>254</v>
      </c>
      <c r="B850">
        <v>2025</v>
      </c>
      <c r="C850" t="s">
        <v>76</v>
      </c>
      <c r="D850">
        <v>11</v>
      </c>
      <c r="E850">
        <v>13</v>
      </c>
      <c r="F850">
        <v>0</v>
      </c>
      <c r="G850">
        <v>1</v>
      </c>
      <c r="H850">
        <v>1</v>
      </c>
      <c r="I850">
        <v>2</v>
      </c>
      <c r="J850">
        <v>84.62</v>
      </c>
      <c r="K850">
        <v>11</v>
      </c>
      <c r="L850">
        <f>_xlfn.XLOOKUP(C850, dim_teams[team_name], dim_teams[team_id], "Not found", 0)</f>
        <v>16</v>
      </c>
    </row>
    <row r="851" spans="1:12" x14ac:dyDescent="0.3">
      <c r="A851" t="s">
        <v>255</v>
      </c>
      <c r="B851">
        <v>2011</v>
      </c>
      <c r="C851" t="s">
        <v>37</v>
      </c>
      <c r="D851">
        <v>14</v>
      </c>
      <c r="E851">
        <v>20</v>
      </c>
      <c r="F851">
        <v>0</v>
      </c>
      <c r="G851">
        <v>0</v>
      </c>
      <c r="H851">
        <v>1</v>
      </c>
      <c r="I851">
        <v>2</v>
      </c>
      <c r="J851">
        <v>70</v>
      </c>
      <c r="K851">
        <v>14</v>
      </c>
      <c r="L851">
        <f>_xlfn.XLOOKUP(C851, dim_teams[team_name], dim_teams[team_id], "Not found", 0)</f>
        <v>10</v>
      </c>
    </row>
    <row r="852" spans="1:12" x14ac:dyDescent="0.3">
      <c r="A852" t="s">
        <v>255</v>
      </c>
      <c r="B852">
        <v>2012</v>
      </c>
      <c r="C852" t="s">
        <v>37</v>
      </c>
      <c r="D852">
        <v>6</v>
      </c>
      <c r="E852">
        <v>6</v>
      </c>
      <c r="F852">
        <v>0</v>
      </c>
      <c r="G852">
        <v>0</v>
      </c>
      <c r="H852">
        <v>1</v>
      </c>
      <c r="I852">
        <v>1</v>
      </c>
      <c r="J852">
        <v>100</v>
      </c>
      <c r="K852">
        <v>6</v>
      </c>
      <c r="L852">
        <f>_xlfn.XLOOKUP(C852, dim_teams[team_name], dim_teams[team_id], "Not found", 0)</f>
        <v>10</v>
      </c>
    </row>
    <row r="853" spans="1:12" x14ac:dyDescent="0.3">
      <c r="A853" t="s">
        <v>255</v>
      </c>
      <c r="B853">
        <v>2023</v>
      </c>
      <c r="C853" t="s">
        <v>76</v>
      </c>
      <c r="D853">
        <v>76</v>
      </c>
      <c r="E853">
        <v>58</v>
      </c>
      <c r="F853">
        <v>8</v>
      </c>
      <c r="G853">
        <v>3</v>
      </c>
      <c r="H853">
        <v>2</v>
      </c>
      <c r="I853">
        <v>3</v>
      </c>
      <c r="J853">
        <v>131.03</v>
      </c>
      <c r="K853">
        <v>38</v>
      </c>
      <c r="L853">
        <f>_xlfn.XLOOKUP(C853, dim_teams[team_name], dim_teams[team_id], "Not found", 0)</f>
        <v>16</v>
      </c>
    </row>
    <row r="854" spans="1:12" x14ac:dyDescent="0.3">
      <c r="A854" t="s">
        <v>255</v>
      </c>
      <c r="B854">
        <v>2024</v>
      </c>
      <c r="C854" t="s">
        <v>76</v>
      </c>
      <c r="D854">
        <v>27</v>
      </c>
      <c r="E854">
        <v>34</v>
      </c>
      <c r="F854">
        <v>2</v>
      </c>
      <c r="G854">
        <v>0</v>
      </c>
      <c r="H854">
        <v>2</v>
      </c>
      <c r="I854">
        <v>2</v>
      </c>
      <c r="J854">
        <v>79.41</v>
      </c>
      <c r="K854">
        <v>13.5</v>
      </c>
      <c r="L854">
        <f>_xlfn.XLOOKUP(C854, dim_teams[team_name], dim_teams[team_id], "Not found", 0)</f>
        <v>16</v>
      </c>
    </row>
    <row r="855" spans="1:12" x14ac:dyDescent="0.3">
      <c r="A855" t="s">
        <v>256</v>
      </c>
      <c r="B855">
        <v>2022</v>
      </c>
      <c r="C855" t="s">
        <v>19</v>
      </c>
      <c r="D855">
        <v>2</v>
      </c>
      <c r="E855">
        <v>2</v>
      </c>
      <c r="F855">
        <v>0</v>
      </c>
      <c r="G855">
        <v>0</v>
      </c>
      <c r="H855">
        <v>1</v>
      </c>
      <c r="I855">
        <v>2</v>
      </c>
      <c r="J855">
        <v>100</v>
      </c>
      <c r="K855">
        <v>2</v>
      </c>
      <c r="L855">
        <f>_xlfn.XLOOKUP(C855, dim_teams[team_name], dim_teams[team_id], "Not found", 0)</f>
        <v>1</v>
      </c>
    </row>
    <row r="856" spans="1:12" x14ac:dyDescent="0.3">
      <c r="A856" t="s">
        <v>256</v>
      </c>
      <c r="B856">
        <v>2023</v>
      </c>
      <c r="C856" t="s">
        <v>19</v>
      </c>
      <c r="D856">
        <v>0</v>
      </c>
      <c r="E856">
        <v>1</v>
      </c>
      <c r="F856">
        <v>0</v>
      </c>
      <c r="G856">
        <v>0</v>
      </c>
      <c r="H856">
        <v>1</v>
      </c>
      <c r="I856">
        <v>1</v>
      </c>
      <c r="J856">
        <v>0</v>
      </c>
      <c r="K856">
        <v>0</v>
      </c>
      <c r="L856">
        <f>_xlfn.XLOOKUP(C856, dim_teams[team_name], dim_teams[team_id], "Not found", 0)</f>
        <v>1</v>
      </c>
    </row>
    <row r="857" spans="1:12" x14ac:dyDescent="0.3">
      <c r="A857" t="s">
        <v>256</v>
      </c>
      <c r="B857">
        <v>2025</v>
      </c>
      <c r="C857" t="s">
        <v>19</v>
      </c>
      <c r="D857">
        <v>57</v>
      </c>
      <c r="E857">
        <v>52</v>
      </c>
      <c r="F857">
        <v>5</v>
      </c>
      <c r="G857">
        <v>3</v>
      </c>
      <c r="H857">
        <v>5</v>
      </c>
      <c r="I857">
        <v>7</v>
      </c>
      <c r="J857">
        <v>109.62</v>
      </c>
      <c r="K857">
        <v>11.4</v>
      </c>
      <c r="L857">
        <f>_xlfn.XLOOKUP(C857, dim_teams[team_name], dim_teams[team_id], "Not found", 0)</f>
        <v>1</v>
      </c>
    </row>
    <row r="858" spans="1:12" x14ac:dyDescent="0.3">
      <c r="A858" t="s">
        <v>257</v>
      </c>
      <c r="B858">
        <v>2011</v>
      </c>
      <c r="C858" t="s">
        <v>12</v>
      </c>
      <c r="D858">
        <v>7</v>
      </c>
      <c r="E858">
        <v>4</v>
      </c>
      <c r="F858">
        <v>1</v>
      </c>
      <c r="G858">
        <v>0</v>
      </c>
      <c r="H858">
        <v>0</v>
      </c>
      <c r="I858">
        <v>1</v>
      </c>
      <c r="J858">
        <v>175</v>
      </c>
      <c r="L858">
        <f>_xlfn.XLOOKUP(C858, dim_teams[team_name], dim_teams[team_id], "Not found", 0)</f>
        <v>8</v>
      </c>
    </row>
    <row r="859" spans="1:12" x14ac:dyDescent="0.3">
      <c r="A859" t="s">
        <v>258</v>
      </c>
      <c r="B859">
        <v>2008</v>
      </c>
      <c r="C859" t="s">
        <v>19</v>
      </c>
      <c r="D859">
        <v>11</v>
      </c>
      <c r="E859">
        <v>11</v>
      </c>
      <c r="F859">
        <v>1</v>
      </c>
      <c r="G859">
        <v>0</v>
      </c>
      <c r="H859">
        <v>1</v>
      </c>
      <c r="I859">
        <v>5</v>
      </c>
      <c r="J859">
        <v>100</v>
      </c>
      <c r="K859">
        <v>11</v>
      </c>
      <c r="L859">
        <f>_xlfn.XLOOKUP(C859, dim_teams[team_name], dim_teams[team_id], "Not found", 0)</f>
        <v>1</v>
      </c>
    </row>
    <row r="860" spans="1:12" x14ac:dyDescent="0.3">
      <c r="A860" t="s">
        <v>258</v>
      </c>
      <c r="B860">
        <v>2009</v>
      </c>
      <c r="C860" t="s">
        <v>19</v>
      </c>
      <c r="D860">
        <v>16</v>
      </c>
      <c r="E860">
        <v>13</v>
      </c>
      <c r="F860">
        <v>1</v>
      </c>
      <c r="G860">
        <v>1</v>
      </c>
      <c r="H860">
        <v>2</v>
      </c>
      <c r="I860">
        <v>3</v>
      </c>
      <c r="J860">
        <v>123.08</v>
      </c>
      <c r="K860">
        <v>8</v>
      </c>
      <c r="L860">
        <f>_xlfn.XLOOKUP(C860, dim_teams[team_name], dim_teams[team_id], "Not found", 0)</f>
        <v>1</v>
      </c>
    </row>
    <row r="861" spans="1:12" x14ac:dyDescent="0.3">
      <c r="A861" t="s">
        <v>258</v>
      </c>
      <c r="B861">
        <v>2010</v>
      </c>
      <c r="C861" t="s">
        <v>19</v>
      </c>
      <c r="D861">
        <v>6</v>
      </c>
      <c r="E861">
        <v>17</v>
      </c>
      <c r="F861">
        <v>0</v>
      </c>
      <c r="G861">
        <v>0</v>
      </c>
      <c r="H861">
        <v>2</v>
      </c>
      <c r="I861">
        <v>2</v>
      </c>
      <c r="J861">
        <v>35.29</v>
      </c>
      <c r="K861">
        <v>3</v>
      </c>
      <c r="L861">
        <f>_xlfn.XLOOKUP(C861, dim_teams[team_name], dim_teams[team_id], "Not found", 0)</f>
        <v>1</v>
      </c>
    </row>
    <row r="862" spans="1:12" x14ac:dyDescent="0.3">
      <c r="A862" t="s">
        <v>258</v>
      </c>
      <c r="B862">
        <v>2011</v>
      </c>
      <c r="C862" t="s">
        <v>12</v>
      </c>
      <c r="D862">
        <v>4</v>
      </c>
      <c r="E862">
        <v>5</v>
      </c>
      <c r="F862">
        <v>0</v>
      </c>
      <c r="G862">
        <v>0</v>
      </c>
      <c r="H862">
        <v>0</v>
      </c>
      <c r="I862">
        <v>4</v>
      </c>
      <c r="J862">
        <v>80</v>
      </c>
      <c r="L862">
        <f>_xlfn.XLOOKUP(C862, dim_teams[team_name], dim_teams[team_id], "Not found", 0)</f>
        <v>8</v>
      </c>
    </row>
    <row r="863" spans="1:12" x14ac:dyDescent="0.3">
      <c r="A863" t="s">
        <v>258</v>
      </c>
      <c r="B863">
        <v>2017</v>
      </c>
      <c r="C863" t="s">
        <v>54</v>
      </c>
      <c r="D863">
        <v>8</v>
      </c>
      <c r="E863">
        <v>12</v>
      </c>
      <c r="F863">
        <v>1</v>
      </c>
      <c r="G863">
        <v>0</v>
      </c>
      <c r="H863">
        <v>2</v>
      </c>
      <c r="I863">
        <v>3</v>
      </c>
      <c r="J863">
        <v>66.67</v>
      </c>
      <c r="K863">
        <v>4</v>
      </c>
      <c r="L863">
        <f>_xlfn.XLOOKUP(C863, dim_teams[team_name], dim_teams[team_id], "Not found", 0)</f>
        <v>4</v>
      </c>
    </row>
    <row r="864" spans="1:12" x14ac:dyDescent="0.3">
      <c r="A864" t="s">
        <v>258</v>
      </c>
      <c r="B864">
        <v>2019</v>
      </c>
      <c r="C864" t="s">
        <v>33</v>
      </c>
      <c r="D864">
        <v>10</v>
      </c>
      <c r="E864">
        <v>3</v>
      </c>
      <c r="F864">
        <v>1</v>
      </c>
      <c r="G864">
        <v>1</v>
      </c>
      <c r="H864">
        <v>0</v>
      </c>
      <c r="I864">
        <v>1</v>
      </c>
      <c r="J864">
        <v>333.33</v>
      </c>
      <c r="L864">
        <f>_xlfn.XLOOKUP(C864, dim_teams[team_name], dim_teams[team_id], "Not found", 0)</f>
        <v>15</v>
      </c>
    </row>
    <row r="865" spans="1:12" x14ac:dyDescent="0.3">
      <c r="A865" t="s">
        <v>258</v>
      </c>
      <c r="B865">
        <v>2023</v>
      </c>
      <c r="C865" t="s">
        <v>33</v>
      </c>
      <c r="D865">
        <v>1</v>
      </c>
      <c r="E865">
        <v>1</v>
      </c>
      <c r="F865">
        <v>0</v>
      </c>
      <c r="G865">
        <v>0</v>
      </c>
      <c r="H865">
        <v>0</v>
      </c>
      <c r="I865">
        <v>1</v>
      </c>
      <c r="J865">
        <v>100</v>
      </c>
      <c r="L865">
        <f>_xlfn.XLOOKUP(C865, dim_teams[team_name], dim_teams[team_id], "Not found", 0)</f>
        <v>15</v>
      </c>
    </row>
    <row r="866" spans="1:12" x14ac:dyDescent="0.3">
      <c r="A866" t="s">
        <v>258</v>
      </c>
      <c r="B866">
        <v>2024</v>
      </c>
      <c r="C866" t="s">
        <v>33</v>
      </c>
      <c r="D866">
        <v>1</v>
      </c>
      <c r="E866">
        <v>7</v>
      </c>
      <c r="F866">
        <v>0</v>
      </c>
      <c r="G866">
        <v>0</v>
      </c>
      <c r="H866">
        <v>0</v>
      </c>
      <c r="I866">
        <v>2</v>
      </c>
      <c r="J866">
        <v>14.29</v>
      </c>
      <c r="L866">
        <f>_xlfn.XLOOKUP(C866, dim_teams[team_name], dim_teams[team_id], "Not found", 0)</f>
        <v>15</v>
      </c>
    </row>
    <row r="867" spans="1:12" x14ac:dyDescent="0.3">
      <c r="A867" t="s">
        <v>259</v>
      </c>
      <c r="B867">
        <v>2020</v>
      </c>
      <c r="C867" t="s">
        <v>21</v>
      </c>
      <c r="D867">
        <v>15</v>
      </c>
      <c r="E867">
        <v>11</v>
      </c>
      <c r="F867">
        <v>1</v>
      </c>
      <c r="G867">
        <v>1</v>
      </c>
      <c r="H867">
        <v>3</v>
      </c>
      <c r="I867">
        <v>4</v>
      </c>
      <c r="J867">
        <v>136.36000000000001</v>
      </c>
      <c r="K867">
        <v>5</v>
      </c>
      <c r="L867">
        <f>_xlfn.XLOOKUP(C867, dim_teams[team_name], dim_teams[team_id], "Not found", 0)</f>
        <v>2</v>
      </c>
    </row>
    <row r="868" spans="1:12" x14ac:dyDescent="0.3">
      <c r="A868" t="s">
        <v>260</v>
      </c>
      <c r="B868">
        <v>2013</v>
      </c>
      <c r="C868" t="s">
        <v>37</v>
      </c>
      <c r="D868">
        <v>0</v>
      </c>
      <c r="E868">
        <v>2</v>
      </c>
      <c r="F868">
        <v>0</v>
      </c>
      <c r="G868">
        <v>0</v>
      </c>
      <c r="H868">
        <v>1</v>
      </c>
      <c r="I868">
        <v>1</v>
      </c>
      <c r="J868">
        <v>0</v>
      </c>
      <c r="K868">
        <v>0</v>
      </c>
      <c r="L868">
        <f>_xlfn.XLOOKUP(C868, dim_teams[team_name], dim_teams[team_id], "Not found", 0)</f>
        <v>10</v>
      </c>
    </row>
    <row r="869" spans="1:12" x14ac:dyDescent="0.3">
      <c r="A869" t="s">
        <v>261</v>
      </c>
      <c r="B869">
        <v>2008</v>
      </c>
      <c r="C869" t="s">
        <v>54</v>
      </c>
      <c r="D869">
        <v>131</v>
      </c>
      <c r="E869">
        <v>115</v>
      </c>
      <c r="F869">
        <v>9</v>
      </c>
      <c r="G869">
        <v>6</v>
      </c>
      <c r="H869">
        <v>5</v>
      </c>
      <c r="I869">
        <v>10</v>
      </c>
      <c r="J869">
        <v>113.91</v>
      </c>
      <c r="K869">
        <v>26.2</v>
      </c>
      <c r="L869">
        <f>_xlfn.XLOOKUP(C869, dim_teams[team_name], dim_teams[team_id], "Not found", 0)</f>
        <v>4</v>
      </c>
    </row>
    <row r="870" spans="1:12" x14ac:dyDescent="0.3">
      <c r="A870" t="s">
        <v>261</v>
      </c>
      <c r="B870">
        <v>2009</v>
      </c>
      <c r="C870" t="s">
        <v>54</v>
      </c>
      <c r="D870">
        <v>196</v>
      </c>
      <c r="E870">
        <v>158</v>
      </c>
      <c r="F870">
        <v>17</v>
      </c>
      <c r="G870">
        <v>6</v>
      </c>
      <c r="H870">
        <v>11</v>
      </c>
      <c r="I870">
        <v>12</v>
      </c>
      <c r="J870">
        <v>124.05</v>
      </c>
      <c r="K870">
        <v>17.82</v>
      </c>
      <c r="L870">
        <f>_xlfn.XLOOKUP(C870, dim_teams[team_name], dim_teams[team_id], "Not found", 0)</f>
        <v>4</v>
      </c>
    </row>
    <row r="871" spans="1:12" x14ac:dyDescent="0.3">
      <c r="A871" t="s">
        <v>261</v>
      </c>
      <c r="B871">
        <v>2010</v>
      </c>
      <c r="C871" t="s">
        <v>54</v>
      </c>
      <c r="D871">
        <v>276</v>
      </c>
      <c r="E871">
        <v>186</v>
      </c>
      <c r="F871">
        <v>21</v>
      </c>
      <c r="G871">
        <v>10</v>
      </c>
      <c r="H871">
        <v>8</v>
      </c>
      <c r="I871">
        <v>13</v>
      </c>
      <c r="J871">
        <v>148.38999999999999</v>
      </c>
      <c r="K871">
        <v>34.5</v>
      </c>
      <c r="L871">
        <f>_xlfn.XLOOKUP(C871, dim_teams[team_name], dim_teams[team_id], "Not found", 0)</f>
        <v>4</v>
      </c>
    </row>
    <row r="872" spans="1:12" x14ac:dyDescent="0.3">
      <c r="A872" t="s">
        <v>261</v>
      </c>
      <c r="B872">
        <v>2011</v>
      </c>
      <c r="C872" t="s">
        <v>32</v>
      </c>
      <c r="D872">
        <v>150</v>
      </c>
      <c r="E872">
        <v>137</v>
      </c>
      <c r="F872">
        <v>12</v>
      </c>
      <c r="G872">
        <v>6</v>
      </c>
      <c r="H872">
        <v>7</v>
      </c>
      <c r="I872">
        <v>12</v>
      </c>
      <c r="J872">
        <v>109.49</v>
      </c>
      <c r="K872">
        <v>21.43</v>
      </c>
      <c r="L872">
        <f>_xlfn.XLOOKUP(C872, dim_teams[team_name], dim_teams[team_id], "Not found", 0)</f>
        <v>6</v>
      </c>
    </row>
    <row r="873" spans="1:12" x14ac:dyDescent="0.3">
      <c r="A873" t="s">
        <v>261</v>
      </c>
      <c r="B873">
        <v>2012</v>
      </c>
      <c r="C873" t="s">
        <v>32</v>
      </c>
      <c r="D873">
        <v>176</v>
      </c>
      <c r="E873">
        <v>126</v>
      </c>
      <c r="F873">
        <v>14</v>
      </c>
      <c r="G873">
        <v>6</v>
      </c>
      <c r="H873">
        <v>7</v>
      </c>
      <c r="I873">
        <v>12</v>
      </c>
      <c r="J873">
        <v>139.68</v>
      </c>
      <c r="K873">
        <v>25.14</v>
      </c>
      <c r="L873">
        <f>_xlfn.XLOOKUP(C873, dim_teams[team_name], dim_teams[team_id], "Not found", 0)</f>
        <v>6</v>
      </c>
    </row>
    <row r="874" spans="1:12" x14ac:dyDescent="0.3">
      <c r="A874" t="s">
        <v>261</v>
      </c>
      <c r="B874">
        <v>2013</v>
      </c>
      <c r="C874" t="s">
        <v>32</v>
      </c>
      <c r="D874">
        <v>153</v>
      </c>
      <c r="E874">
        <v>155</v>
      </c>
      <c r="F874">
        <v>10</v>
      </c>
      <c r="G874">
        <v>4</v>
      </c>
      <c r="H874">
        <v>8</v>
      </c>
      <c r="I874">
        <v>13</v>
      </c>
      <c r="J874">
        <v>98.71</v>
      </c>
      <c r="K874">
        <v>19.12</v>
      </c>
      <c r="L874">
        <f>_xlfn.XLOOKUP(C874, dim_teams[team_name], dim_teams[team_id], "Not found", 0)</f>
        <v>6</v>
      </c>
    </row>
    <row r="875" spans="1:12" x14ac:dyDescent="0.3">
      <c r="A875" t="s">
        <v>261</v>
      </c>
      <c r="B875">
        <v>2014</v>
      </c>
      <c r="C875" t="s">
        <v>13</v>
      </c>
      <c r="D875">
        <v>55</v>
      </c>
      <c r="E875">
        <v>54</v>
      </c>
      <c r="F875">
        <v>5</v>
      </c>
      <c r="G875">
        <v>0</v>
      </c>
      <c r="H875">
        <v>4</v>
      </c>
      <c r="I875">
        <v>6</v>
      </c>
      <c r="J875">
        <v>101.85</v>
      </c>
      <c r="K875">
        <v>13.75</v>
      </c>
      <c r="L875">
        <f>_xlfn.XLOOKUP(C875, dim_teams[team_name], dim_teams[team_id], "Not found", 0)</f>
        <v>11</v>
      </c>
    </row>
    <row r="876" spans="1:12" x14ac:dyDescent="0.3">
      <c r="A876" t="s">
        <v>261</v>
      </c>
      <c r="B876">
        <v>2016</v>
      </c>
      <c r="C876" t="s">
        <v>45</v>
      </c>
      <c r="D876">
        <v>11</v>
      </c>
      <c r="E876">
        <v>13</v>
      </c>
      <c r="F876">
        <v>0</v>
      </c>
      <c r="G876">
        <v>0</v>
      </c>
      <c r="H876">
        <v>2</v>
      </c>
      <c r="I876">
        <v>3</v>
      </c>
      <c r="J876">
        <v>84.62</v>
      </c>
      <c r="K876">
        <v>5.5</v>
      </c>
      <c r="L876">
        <f>_xlfn.XLOOKUP(C876, dim_teams[team_name], dim_teams[team_id], "Not found", 0)</f>
        <v>12</v>
      </c>
    </row>
    <row r="877" spans="1:12" x14ac:dyDescent="0.3">
      <c r="A877" t="s">
        <v>261</v>
      </c>
      <c r="B877">
        <v>2017</v>
      </c>
      <c r="C877" t="s">
        <v>66</v>
      </c>
      <c r="D877">
        <v>2</v>
      </c>
      <c r="E877">
        <v>3</v>
      </c>
      <c r="F877">
        <v>0</v>
      </c>
      <c r="G877">
        <v>0</v>
      </c>
      <c r="H877">
        <v>1</v>
      </c>
      <c r="I877">
        <v>1</v>
      </c>
      <c r="J877">
        <v>66.67</v>
      </c>
      <c r="K877">
        <v>2</v>
      </c>
      <c r="L877">
        <f>_xlfn.XLOOKUP(C877, dim_teams[team_name], dim_teams[team_id], "Not found", 0)</f>
        <v>13</v>
      </c>
    </row>
    <row r="878" spans="1:12" x14ac:dyDescent="0.3">
      <c r="A878" t="s">
        <v>262</v>
      </c>
      <c r="B878">
        <v>2011</v>
      </c>
      <c r="C878" t="s">
        <v>12</v>
      </c>
      <c r="D878">
        <v>28</v>
      </c>
      <c r="E878">
        <v>37</v>
      </c>
      <c r="F878">
        <v>3</v>
      </c>
      <c r="G878">
        <v>0</v>
      </c>
      <c r="H878">
        <v>2</v>
      </c>
      <c r="I878">
        <v>2</v>
      </c>
      <c r="J878">
        <v>75.680000000000007</v>
      </c>
      <c r="K878">
        <v>14</v>
      </c>
      <c r="L878">
        <f>_xlfn.XLOOKUP(C878, dim_teams[team_name], dim_teams[team_id], "Not found", 0)</f>
        <v>8</v>
      </c>
    </row>
    <row r="879" spans="1:12" x14ac:dyDescent="0.3">
      <c r="A879" t="s">
        <v>262</v>
      </c>
      <c r="B879">
        <v>2012</v>
      </c>
      <c r="C879" t="s">
        <v>12</v>
      </c>
      <c r="D879">
        <v>15</v>
      </c>
      <c r="E879">
        <v>21</v>
      </c>
      <c r="F879">
        <v>0</v>
      </c>
      <c r="G879">
        <v>0</v>
      </c>
      <c r="H879">
        <v>2</v>
      </c>
      <c r="I879">
        <v>3</v>
      </c>
      <c r="J879">
        <v>71.430000000000007</v>
      </c>
      <c r="K879">
        <v>7.5</v>
      </c>
      <c r="L879">
        <f>_xlfn.XLOOKUP(C879, dim_teams[team_name], dim_teams[team_id], "Not found", 0)</f>
        <v>8</v>
      </c>
    </row>
    <row r="880" spans="1:12" x14ac:dyDescent="0.3">
      <c r="A880" t="s">
        <v>262</v>
      </c>
      <c r="B880">
        <v>2017</v>
      </c>
      <c r="C880" t="s">
        <v>19</v>
      </c>
      <c r="D880">
        <v>33</v>
      </c>
      <c r="E880">
        <v>39</v>
      </c>
      <c r="F880">
        <v>3</v>
      </c>
      <c r="G880">
        <v>0</v>
      </c>
      <c r="H880">
        <v>1</v>
      </c>
      <c r="I880">
        <v>2</v>
      </c>
      <c r="J880">
        <v>84.62</v>
      </c>
      <c r="K880">
        <v>33</v>
      </c>
      <c r="L880">
        <f>_xlfn.XLOOKUP(C880, dim_teams[team_name], dim_teams[team_id], "Not found", 0)</f>
        <v>1</v>
      </c>
    </row>
    <row r="881" spans="1:12" x14ac:dyDescent="0.3">
      <c r="A881" t="s">
        <v>263</v>
      </c>
      <c r="B881">
        <v>2018</v>
      </c>
      <c r="C881" t="s">
        <v>17</v>
      </c>
      <c r="D881">
        <v>1</v>
      </c>
      <c r="E881">
        <v>6</v>
      </c>
      <c r="F881">
        <v>0</v>
      </c>
      <c r="G881">
        <v>0</v>
      </c>
      <c r="H881">
        <v>1</v>
      </c>
      <c r="I881">
        <v>1</v>
      </c>
      <c r="J881">
        <v>16.670000000000002</v>
      </c>
      <c r="K881">
        <v>1</v>
      </c>
      <c r="L881">
        <f>_xlfn.XLOOKUP(C881, dim_teams[team_name], dim_teams[team_id], "Not found", 0)</f>
        <v>5</v>
      </c>
    </row>
    <row r="882" spans="1:12" x14ac:dyDescent="0.3">
      <c r="A882" t="s">
        <v>263</v>
      </c>
      <c r="B882">
        <v>2019</v>
      </c>
      <c r="C882" t="s">
        <v>17</v>
      </c>
      <c r="D882">
        <v>6</v>
      </c>
      <c r="E882">
        <v>11</v>
      </c>
      <c r="F882">
        <v>0</v>
      </c>
      <c r="G882">
        <v>0</v>
      </c>
      <c r="H882">
        <v>1</v>
      </c>
      <c r="I882">
        <v>1</v>
      </c>
      <c r="J882">
        <v>54.55</v>
      </c>
      <c r="K882">
        <v>6</v>
      </c>
      <c r="L882">
        <f>_xlfn.XLOOKUP(C882, dim_teams[team_name], dim_teams[team_id], "Not found", 0)</f>
        <v>5</v>
      </c>
    </row>
    <row r="883" spans="1:12" x14ac:dyDescent="0.3">
      <c r="A883" t="s">
        <v>264</v>
      </c>
      <c r="B883">
        <v>2014</v>
      </c>
      <c r="C883" t="s">
        <v>32</v>
      </c>
      <c r="D883">
        <v>8</v>
      </c>
      <c r="E883">
        <v>10</v>
      </c>
      <c r="F883">
        <v>2</v>
      </c>
      <c r="G883">
        <v>0</v>
      </c>
      <c r="H883">
        <v>2</v>
      </c>
      <c r="I883">
        <v>2</v>
      </c>
      <c r="J883">
        <v>80</v>
      </c>
      <c r="K883">
        <v>4</v>
      </c>
      <c r="L883">
        <f>_xlfn.XLOOKUP(C883, dim_teams[team_name], dim_teams[team_id], "Not found", 0)</f>
        <v>6</v>
      </c>
    </row>
    <row r="884" spans="1:12" x14ac:dyDescent="0.3">
      <c r="A884" t="s">
        <v>264</v>
      </c>
      <c r="B884">
        <v>2015</v>
      </c>
      <c r="C884" t="s">
        <v>32</v>
      </c>
      <c r="D884">
        <v>5</v>
      </c>
      <c r="E884">
        <v>6</v>
      </c>
      <c r="F884">
        <v>0</v>
      </c>
      <c r="G884">
        <v>0</v>
      </c>
      <c r="H884">
        <v>1</v>
      </c>
      <c r="I884">
        <v>2</v>
      </c>
      <c r="J884">
        <v>83.33</v>
      </c>
      <c r="K884">
        <v>5</v>
      </c>
      <c r="L884">
        <f>_xlfn.XLOOKUP(C884, dim_teams[team_name], dim_teams[team_id], "Not found", 0)</f>
        <v>6</v>
      </c>
    </row>
    <row r="885" spans="1:12" x14ac:dyDescent="0.3">
      <c r="A885" t="s">
        <v>264</v>
      </c>
      <c r="B885">
        <v>2016</v>
      </c>
      <c r="C885" t="s">
        <v>32</v>
      </c>
      <c r="D885">
        <v>5</v>
      </c>
      <c r="E885">
        <v>7</v>
      </c>
      <c r="F885">
        <v>1</v>
      </c>
      <c r="G885">
        <v>0</v>
      </c>
      <c r="H885">
        <v>1</v>
      </c>
      <c r="I885">
        <v>1</v>
      </c>
      <c r="J885">
        <v>71.430000000000007</v>
      </c>
      <c r="K885">
        <v>5</v>
      </c>
      <c r="L885">
        <f>_xlfn.XLOOKUP(C885, dim_teams[team_name], dim_teams[team_id], "Not found", 0)</f>
        <v>6</v>
      </c>
    </row>
    <row r="886" spans="1:12" x14ac:dyDescent="0.3">
      <c r="A886" t="s">
        <v>264</v>
      </c>
      <c r="B886">
        <v>2017</v>
      </c>
      <c r="C886" t="s">
        <v>46</v>
      </c>
      <c r="D886">
        <v>0</v>
      </c>
      <c r="E886">
        <v>2</v>
      </c>
      <c r="F886">
        <v>0</v>
      </c>
      <c r="G886">
        <v>0</v>
      </c>
      <c r="H886">
        <v>0</v>
      </c>
      <c r="I886">
        <v>1</v>
      </c>
      <c r="J886">
        <v>0</v>
      </c>
      <c r="L886">
        <f>_xlfn.XLOOKUP(C886, dim_teams[team_name], dim_teams[team_id], "Not found", 0)</f>
        <v>14</v>
      </c>
    </row>
    <row r="887" spans="1:12" x14ac:dyDescent="0.3">
      <c r="A887" t="s">
        <v>264</v>
      </c>
      <c r="B887">
        <v>2018</v>
      </c>
      <c r="C887" t="s">
        <v>25</v>
      </c>
      <c r="D887">
        <v>2</v>
      </c>
      <c r="E887">
        <v>2</v>
      </c>
      <c r="F887">
        <v>0</v>
      </c>
      <c r="G887">
        <v>0</v>
      </c>
      <c r="H887">
        <v>0</v>
      </c>
      <c r="I887">
        <v>1</v>
      </c>
      <c r="J887">
        <v>100</v>
      </c>
      <c r="L887">
        <f>_xlfn.XLOOKUP(C887, dim_teams[team_name], dim_teams[team_id], "Not found", 0)</f>
        <v>3</v>
      </c>
    </row>
    <row r="888" spans="1:12" x14ac:dyDescent="0.3">
      <c r="A888" t="s">
        <v>264</v>
      </c>
      <c r="B888">
        <v>2020</v>
      </c>
      <c r="C888" t="s">
        <v>25</v>
      </c>
      <c r="D888">
        <v>13</v>
      </c>
      <c r="E888">
        <v>10</v>
      </c>
      <c r="F888">
        <v>2</v>
      </c>
      <c r="G888">
        <v>0</v>
      </c>
      <c r="H888">
        <v>0</v>
      </c>
      <c r="I888">
        <v>1</v>
      </c>
      <c r="J888">
        <v>130</v>
      </c>
      <c r="L888">
        <f>_xlfn.XLOOKUP(C888, dim_teams[team_name], dim_teams[team_id], "Not found", 0)</f>
        <v>3</v>
      </c>
    </row>
    <row r="889" spans="1:12" x14ac:dyDescent="0.3">
      <c r="A889" t="s">
        <v>265</v>
      </c>
      <c r="B889">
        <v>2008</v>
      </c>
      <c r="C889" t="s">
        <v>19</v>
      </c>
      <c r="D889">
        <v>1</v>
      </c>
      <c r="E889">
        <v>2</v>
      </c>
      <c r="F889">
        <v>0</v>
      </c>
      <c r="G889">
        <v>0</v>
      </c>
      <c r="H889">
        <v>0</v>
      </c>
      <c r="I889">
        <v>1</v>
      </c>
      <c r="J889">
        <v>50</v>
      </c>
      <c r="L889">
        <f>_xlfn.XLOOKUP(C889, dim_teams[team_name], dim_teams[team_id], "Not found", 0)</f>
        <v>1</v>
      </c>
    </row>
    <row r="890" spans="1:12" x14ac:dyDescent="0.3">
      <c r="A890" t="s">
        <v>265</v>
      </c>
      <c r="B890">
        <v>2010</v>
      </c>
      <c r="C890" t="s">
        <v>19</v>
      </c>
      <c r="D890">
        <v>0</v>
      </c>
      <c r="E890">
        <v>1</v>
      </c>
      <c r="F890">
        <v>0</v>
      </c>
      <c r="G890">
        <v>0</v>
      </c>
      <c r="H890">
        <v>0</v>
      </c>
      <c r="I890">
        <v>1</v>
      </c>
      <c r="J890">
        <v>0</v>
      </c>
      <c r="L890">
        <f>_xlfn.XLOOKUP(C890, dim_teams[team_name], dim_teams[team_id], "Not found", 0)</f>
        <v>1</v>
      </c>
    </row>
    <row r="891" spans="1:12" x14ac:dyDescent="0.3">
      <c r="A891" t="s">
        <v>265</v>
      </c>
      <c r="B891">
        <v>2011</v>
      </c>
      <c r="C891" t="s">
        <v>19</v>
      </c>
      <c r="D891">
        <v>15</v>
      </c>
      <c r="E891">
        <v>12</v>
      </c>
      <c r="F891">
        <v>1</v>
      </c>
      <c r="G891">
        <v>0</v>
      </c>
      <c r="H891">
        <v>0</v>
      </c>
      <c r="I891">
        <v>2</v>
      </c>
      <c r="J891">
        <v>125</v>
      </c>
      <c r="L891">
        <f>_xlfn.XLOOKUP(C891, dim_teams[team_name], dim_teams[team_id], "Not found", 0)</f>
        <v>1</v>
      </c>
    </row>
    <row r="892" spans="1:12" x14ac:dyDescent="0.3">
      <c r="A892" t="s">
        <v>265</v>
      </c>
      <c r="B892">
        <v>2012</v>
      </c>
      <c r="C892" t="s">
        <v>19</v>
      </c>
      <c r="D892">
        <v>2</v>
      </c>
      <c r="E892">
        <v>3</v>
      </c>
      <c r="F892">
        <v>0</v>
      </c>
      <c r="G892">
        <v>0</v>
      </c>
      <c r="H892">
        <v>0</v>
      </c>
      <c r="I892">
        <v>2</v>
      </c>
      <c r="J892">
        <v>66.67</v>
      </c>
      <c r="L892">
        <f>_xlfn.XLOOKUP(C892, dim_teams[team_name], dim_teams[team_id], "Not found", 0)</f>
        <v>1</v>
      </c>
    </row>
    <row r="893" spans="1:12" x14ac:dyDescent="0.3">
      <c r="A893" t="s">
        <v>265</v>
      </c>
      <c r="B893">
        <v>2013</v>
      </c>
      <c r="C893" t="s">
        <v>19</v>
      </c>
      <c r="D893">
        <v>8</v>
      </c>
      <c r="E893">
        <v>14</v>
      </c>
      <c r="F893">
        <v>0</v>
      </c>
      <c r="G893">
        <v>0</v>
      </c>
      <c r="H893">
        <v>0</v>
      </c>
      <c r="I893">
        <v>2</v>
      </c>
      <c r="J893">
        <v>57.14</v>
      </c>
      <c r="L893">
        <f>_xlfn.XLOOKUP(C893, dim_teams[team_name], dim_teams[team_id], "Not found", 0)</f>
        <v>1</v>
      </c>
    </row>
    <row r="894" spans="1:12" x14ac:dyDescent="0.3">
      <c r="A894" t="s">
        <v>265</v>
      </c>
      <c r="B894">
        <v>2015</v>
      </c>
      <c r="C894" t="s">
        <v>21</v>
      </c>
      <c r="D894">
        <v>20</v>
      </c>
      <c r="E894">
        <v>17</v>
      </c>
      <c r="F894">
        <v>4</v>
      </c>
      <c r="G894">
        <v>0</v>
      </c>
      <c r="H894">
        <v>1</v>
      </c>
      <c r="I894">
        <v>2</v>
      </c>
      <c r="J894">
        <v>117.65</v>
      </c>
      <c r="K894">
        <v>20</v>
      </c>
      <c r="L894">
        <f>_xlfn.XLOOKUP(C894, dim_teams[team_name], dim_teams[team_id], "Not found", 0)</f>
        <v>2</v>
      </c>
    </row>
    <row r="895" spans="1:12" x14ac:dyDescent="0.3">
      <c r="A895" t="s">
        <v>265</v>
      </c>
      <c r="B895">
        <v>2016</v>
      </c>
      <c r="C895" t="s">
        <v>21</v>
      </c>
      <c r="D895">
        <v>37</v>
      </c>
      <c r="E895">
        <v>26</v>
      </c>
      <c r="F895">
        <v>4</v>
      </c>
      <c r="G895">
        <v>1</v>
      </c>
      <c r="H895">
        <v>0</v>
      </c>
      <c r="I895">
        <v>2</v>
      </c>
      <c r="J895">
        <v>142.31</v>
      </c>
      <c r="L895">
        <f>_xlfn.XLOOKUP(C895, dim_teams[team_name], dim_teams[team_id], "Not found", 0)</f>
        <v>2</v>
      </c>
    </row>
    <row r="896" spans="1:12" x14ac:dyDescent="0.3">
      <c r="A896" t="s">
        <v>265</v>
      </c>
      <c r="B896">
        <v>2017</v>
      </c>
      <c r="C896" t="s">
        <v>21</v>
      </c>
      <c r="D896">
        <v>5</v>
      </c>
      <c r="E896">
        <v>7</v>
      </c>
      <c r="F896">
        <v>0</v>
      </c>
      <c r="G896">
        <v>0</v>
      </c>
      <c r="H896">
        <v>0</v>
      </c>
      <c r="I896">
        <v>1</v>
      </c>
      <c r="J896">
        <v>71.430000000000007</v>
      </c>
      <c r="L896">
        <f>_xlfn.XLOOKUP(C896, dim_teams[team_name], dim_teams[team_id], "Not found", 0)</f>
        <v>2</v>
      </c>
    </row>
    <row r="897" spans="1:12" x14ac:dyDescent="0.3">
      <c r="A897" t="s">
        <v>266</v>
      </c>
      <c r="B897">
        <v>2016</v>
      </c>
      <c r="C897" t="s">
        <v>66</v>
      </c>
      <c r="D897">
        <v>42</v>
      </c>
      <c r="E897">
        <v>41</v>
      </c>
      <c r="F897">
        <v>5</v>
      </c>
      <c r="G897">
        <v>0</v>
      </c>
      <c r="H897">
        <v>4</v>
      </c>
      <c r="I897">
        <v>5</v>
      </c>
      <c r="J897">
        <v>102.44</v>
      </c>
      <c r="K897">
        <v>10.5</v>
      </c>
      <c r="L897">
        <f>_xlfn.XLOOKUP(C897, dim_teams[team_name], dim_teams[team_id], "Not found", 0)</f>
        <v>13</v>
      </c>
    </row>
    <row r="898" spans="1:12" x14ac:dyDescent="0.3">
      <c r="A898" t="s">
        <v>266</v>
      </c>
      <c r="B898">
        <v>2017</v>
      </c>
      <c r="C898" t="s">
        <v>66</v>
      </c>
      <c r="D898">
        <v>277</v>
      </c>
      <c r="E898">
        <v>205</v>
      </c>
      <c r="F898">
        <v>29</v>
      </c>
      <c r="G898">
        <v>13</v>
      </c>
      <c r="H898">
        <v>10</v>
      </c>
      <c r="I898">
        <v>10</v>
      </c>
      <c r="J898">
        <v>135.12</v>
      </c>
      <c r="K898">
        <v>27.7</v>
      </c>
      <c r="L898">
        <f>_xlfn.XLOOKUP(C898, dim_teams[team_name], dim_teams[team_id], "Not found", 0)</f>
        <v>13</v>
      </c>
    </row>
    <row r="899" spans="1:12" x14ac:dyDescent="0.3">
      <c r="A899" t="s">
        <v>266</v>
      </c>
      <c r="B899">
        <v>2018</v>
      </c>
      <c r="C899" t="s">
        <v>23</v>
      </c>
      <c r="D899">
        <v>275</v>
      </c>
      <c r="E899">
        <v>184</v>
      </c>
      <c r="F899">
        <v>22</v>
      </c>
      <c r="G899">
        <v>17</v>
      </c>
      <c r="H899">
        <v>12</v>
      </c>
      <c r="I899">
        <v>12</v>
      </c>
      <c r="J899">
        <v>149.46</v>
      </c>
      <c r="K899">
        <v>22.92</v>
      </c>
      <c r="L899">
        <f>_xlfn.XLOOKUP(C899, dim_teams[team_name], dim_teams[team_id], "Not found", 0)</f>
        <v>7</v>
      </c>
    </row>
    <row r="900" spans="1:12" x14ac:dyDescent="0.3">
      <c r="A900" t="s">
        <v>266</v>
      </c>
      <c r="B900">
        <v>2019</v>
      </c>
      <c r="C900" t="s">
        <v>23</v>
      </c>
      <c r="D900">
        <v>101</v>
      </c>
      <c r="E900">
        <v>100</v>
      </c>
      <c r="F900">
        <v>8</v>
      </c>
      <c r="G900">
        <v>4</v>
      </c>
      <c r="H900">
        <v>5</v>
      </c>
      <c r="I900">
        <v>6</v>
      </c>
      <c r="J900">
        <v>101</v>
      </c>
      <c r="K900">
        <v>20.2</v>
      </c>
      <c r="L900">
        <f>_xlfn.XLOOKUP(C900, dim_teams[team_name], dim_teams[team_id], "Not found", 0)</f>
        <v>7</v>
      </c>
    </row>
    <row r="901" spans="1:12" x14ac:dyDescent="0.3">
      <c r="A901" t="s">
        <v>266</v>
      </c>
      <c r="B901">
        <v>2020</v>
      </c>
      <c r="C901" t="s">
        <v>23</v>
      </c>
      <c r="D901">
        <v>516</v>
      </c>
      <c r="E901">
        <v>353</v>
      </c>
      <c r="F901">
        <v>36</v>
      </c>
      <c r="G901">
        <v>30</v>
      </c>
      <c r="H901">
        <v>9</v>
      </c>
      <c r="I901">
        <v>13</v>
      </c>
      <c r="J901">
        <v>146.18</v>
      </c>
      <c r="K901">
        <v>57.33</v>
      </c>
      <c r="L901">
        <f>_xlfn.XLOOKUP(C901, dim_teams[team_name], dim_teams[team_id], "Not found", 0)</f>
        <v>7</v>
      </c>
    </row>
    <row r="902" spans="1:12" x14ac:dyDescent="0.3">
      <c r="A902" t="s">
        <v>266</v>
      </c>
      <c r="B902">
        <v>2021</v>
      </c>
      <c r="C902" t="s">
        <v>23</v>
      </c>
      <c r="D902">
        <v>241</v>
      </c>
      <c r="E902">
        <v>177</v>
      </c>
      <c r="F902">
        <v>21</v>
      </c>
      <c r="G902">
        <v>10</v>
      </c>
      <c r="H902">
        <v>9</v>
      </c>
      <c r="I902">
        <v>10</v>
      </c>
      <c r="J902">
        <v>136.16</v>
      </c>
      <c r="K902">
        <v>26.78</v>
      </c>
      <c r="L902">
        <f>_xlfn.XLOOKUP(C902, dim_teams[team_name], dim_teams[team_id], "Not found", 0)</f>
        <v>7</v>
      </c>
    </row>
    <row r="903" spans="1:12" x14ac:dyDescent="0.3">
      <c r="A903" t="s">
        <v>266</v>
      </c>
      <c r="B903">
        <v>2022</v>
      </c>
      <c r="C903" t="s">
        <v>23</v>
      </c>
      <c r="D903">
        <v>418</v>
      </c>
      <c r="E903">
        <v>346</v>
      </c>
      <c r="F903">
        <v>45</v>
      </c>
      <c r="G903">
        <v>11</v>
      </c>
      <c r="H903">
        <v>13</v>
      </c>
      <c r="I903">
        <v>14</v>
      </c>
      <c r="J903">
        <v>120.81</v>
      </c>
      <c r="K903">
        <v>32.15</v>
      </c>
      <c r="L903">
        <f>_xlfn.XLOOKUP(C903, dim_teams[team_name], dim_teams[team_id], "Not found", 0)</f>
        <v>7</v>
      </c>
    </row>
    <row r="904" spans="1:12" x14ac:dyDescent="0.3">
      <c r="A904" t="s">
        <v>266</v>
      </c>
      <c r="B904">
        <v>2023</v>
      </c>
      <c r="C904" t="s">
        <v>23</v>
      </c>
      <c r="D904">
        <v>454</v>
      </c>
      <c r="E904">
        <v>318</v>
      </c>
      <c r="F904">
        <v>54</v>
      </c>
      <c r="G904">
        <v>18</v>
      </c>
      <c r="H904">
        <v>15</v>
      </c>
      <c r="I904">
        <v>15</v>
      </c>
      <c r="J904">
        <v>142.77000000000001</v>
      </c>
      <c r="K904">
        <v>30.27</v>
      </c>
      <c r="L904">
        <f>_xlfn.XLOOKUP(C904, dim_teams[team_name], dim_teams[team_id], "Not found", 0)</f>
        <v>7</v>
      </c>
    </row>
    <row r="905" spans="1:12" x14ac:dyDescent="0.3">
      <c r="A905" t="s">
        <v>266</v>
      </c>
      <c r="B905">
        <v>2024</v>
      </c>
      <c r="C905" t="s">
        <v>23</v>
      </c>
      <c r="D905">
        <v>320</v>
      </c>
      <c r="E905">
        <v>214</v>
      </c>
      <c r="F905">
        <v>35</v>
      </c>
      <c r="G905">
        <v>16</v>
      </c>
      <c r="H905">
        <v>14</v>
      </c>
      <c r="I905">
        <v>14</v>
      </c>
      <c r="J905">
        <v>149.53</v>
      </c>
      <c r="K905">
        <v>22.86</v>
      </c>
      <c r="L905">
        <f>_xlfn.XLOOKUP(C905, dim_teams[team_name], dim_teams[team_id], "Not found", 0)</f>
        <v>7</v>
      </c>
    </row>
    <row r="906" spans="1:12" x14ac:dyDescent="0.3">
      <c r="A906" t="s">
        <v>266</v>
      </c>
      <c r="B906">
        <v>2025</v>
      </c>
      <c r="C906" t="s">
        <v>13</v>
      </c>
      <c r="D906">
        <v>354</v>
      </c>
      <c r="E906">
        <v>231</v>
      </c>
      <c r="F906">
        <v>33</v>
      </c>
      <c r="G906">
        <v>15</v>
      </c>
      <c r="H906">
        <v>10</v>
      </c>
      <c r="I906">
        <v>13</v>
      </c>
      <c r="J906">
        <v>153.25</v>
      </c>
      <c r="K906">
        <v>35.4</v>
      </c>
      <c r="L906">
        <f>_xlfn.XLOOKUP(C906, dim_teams[team_name], dim_teams[team_id], "Not found", 0)</f>
        <v>11</v>
      </c>
    </row>
    <row r="907" spans="1:12" x14ac:dyDescent="0.3">
      <c r="A907" t="s">
        <v>267</v>
      </c>
      <c r="B907">
        <v>2008</v>
      </c>
      <c r="C907" t="s">
        <v>21</v>
      </c>
      <c r="D907">
        <v>23</v>
      </c>
      <c r="E907">
        <v>23</v>
      </c>
      <c r="F907">
        <v>5</v>
      </c>
      <c r="G907">
        <v>0</v>
      </c>
      <c r="H907">
        <v>3</v>
      </c>
      <c r="I907">
        <v>3</v>
      </c>
      <c r="J907">
        <v>100</v>
      </c>
      <c r="K907">
        <v>7.67</v>
      </c>
      <c r="L907">
        <f>_xlfn.XLOOKUP(C907, dim_teams[team_name], dim_teams[team_id], "Not found", 0)</f>
        <v>2</v>
      </c>
    </row>
    <row r="908" spans="1:12" x14ac:dyDescent="0.3">
      <c r="A908" t="s">
        <v>268</v>
      </c>
      <c r="B908">
        <v>2009</v>
      </c>
      <c r="C908" t="s">
        <v>17</v>
      </c>
      <c r="D908">
        <v>47</v>
      </c>
      <c r="E908">
        <v>39</v>
      </c>
      <c r="F908">
        <v>5</v>
      </c>
      <c r="G908">
        <v>0</v>
      </c>
      <c r="H908">
        <v>3</v>
      </c>
      <c r="I908">
        <v>3</v>
      </c>
      <c r="J908">
        <v>120.51</v>
      </c>
      <c r="K908">
        <v>15.67</v>
      </c>
      <c r="L908">
        <f>_xlfn.XLOOKUP(C908, dim_teams[team_name], dim_teams[team_id], "Not found", 0)</f>
        <v>5</v>
      </c>
    </row>
    <row r="909" spans="1:12" x14ac:dyDescent="0.3">
      <c r="A909" t="s">
        <v>268</v>
      </c>
      <c r="B909">
        <v>2011</v>
      </c>
      <c r="C909" t="s">
        <v>17</v>
      </c>
      <c r="D909">
        <v>230</v>
      </c>
      <c r="E909">
        <v>198</v>
      </c>
      <c r="F909">
        <v>20</v>
      </c>
      <c r="G909">
        <v>2</v>
      </c>
      <c r="H909">
        <v>6</v>
      </c>
      <c r="I909">
        <v>9</v>
      </c>
      <c r="J909">
        <v>116.16</v>
      </c>
      <c r="K909">
        <v>38.33</v>
      </c>
      <c r="L909">
        <f>_xlfn.XLOOKUP(C909, dim_teams[team_name], dim_teams[team_id], "Not found", 0)</f>
        <v>5</v>
      </c>
    </row>
    <row r="910" spans="1:12" x14ac:dyDescent="0.3">
      <c r="A910" t="s">
        <v>268</v>
      </c>
      <c r="B910">
        <v>2012</v>
      </c>
      <c r="C910" t="s">
        <v>17</v>
      </c>
      <c r="D910">
        <v>58</v>
      </c>
      <c r="E910">
        <v>54</v>
      </c>
      <c r="F910">
        <v>4</v>
      </c>
      <c r="G910">
        <v>1</v>
      </c>
      <c r="H910">
        <v>4</v>
      </c>
      <c r="I910">
        <v>7</v>
      </c>
      <c r="J910">
        <v>107.41</v>
      </c>
      <c r="K910">
        <v>14.5</v>
      </c>
      <c r="L910">
        <f>_xlfn.XLOOKUP(C910, dim_teams[team_name], dim_teams[team_id], "Not found", 0)</f>
        <v>5</v>
      </c>
    </row>
    <row r="911" spans="1:12" x14ac:dyDescent="0.3">
      <c r="A911" t="s">
        <v>268</v>
      </c>
      <c r="B911">
        <v>2013</v>
      </c>
      <c r="C911" t="s">
        <v>32</v>
      </c>
      <c r="D911">
        <v>43</v>
      </c>
      <c r="E911">
        <v>52</v>
      </c>
      <c r="F911">
        <v>5</v>
      </c>
      <c r="G911">
        <v>1</v>
      </c>
      <c r="H911">
        <v>6</v>
      </c>
      <c r="I911">
        <v>6</v>
      </c>
      <c r="J911">
        <v>82.69</v>
      </c>
      <c r="K911">
        <v>7.17</v>
      </c>
      <c r="L911">
        <f>_xlfn.XLOOKUP(C911, dim_teams[team_name], dim_teams[team_id], "Not found", 0)</f>
        <v>6</v>
      </c>
    </row>
    <row r="912" spans="1:12" x14ac:dyDescent="0.3">
      <c r="A912" t="s">
        <v>268</v>
      </c>
      <c r="B912">
        <v>2015</v>
      </c>
      <c r="C912" t="s">
        <v>19</v>
      </c>
      <c r="D912">
        <v>31</v>
      </c>
      <c r="E912">
        <v>15</v>
      </c>
      <c r="F912">
        <v>5</v>
      </c>
      <c r="G912">
        <v>1</v>
      </c>
      <c r="H912">
        <v>3</v>
      </c>
      <c r="I912">
        <v>3</v>
      </c>
      <c r="J912">
        <v>206.67</v>
      </c>
      <c r="K912">
        <v>10.33</v>
      </c>
      <c r="L912">
        <f>_xlfn.XLOOKUP(C912, dim_teams[team_name], dim_teams[team_id], "Not found", 0)</f>
        <v>1</v>
      </c>
    </row>
    <row r="913" spans="1:12" x14ac:dyDescent="0.3">
      <c r="A913" t="s">
        <v>269</v>
      </c>
      <c r="B913">
        <v>2024</v>
      </c>
      <c r="C913" t="s">
        <v>33</v>
      </c>
      <c r="D913">
        <v>330</v>
      </c>
      <c r="E913">
        <v>139</v>
      </c>
      <c r="F913">
        <v>32</v>
      </c>
      <c r="G913">
        <v>28</v>
      </c>
      <c r="H913">
        <v>8</v>
      </c>
      <c r="I913">
        <v>9</v>
      </c>
      <c r="J913">
        <v>237.41</v>
      </c>
      <c r="K913">
        <v>41.25</v>
      </c>
      <c r="L913">
        <f>_xlfn.XLOOKUP(C913, dim_teams[team_name], dim_teams[team_id], "Not found", 0)</f>
        <v>15</v>
      </c>
    </row>
    <row r="914" spans="1:12" x14ac:dyDescent="0.3">
      <c r="A914" t="s">
        <v>269</v>
      </c>
      <c r="B914">
        <v>2025</v>
      </c>
      <c r="C914" t="s">
        <v>33</v>
      </c>
      <c r="D914">
        <v>55</v>
      </c>
      <c r="E914">
        <v>52</v>
      </c>
      <c r="F914">
        <v>7</v>
      </c>
      <c r="G914">
        <v>2</v>
      </c>
      <c r="H914">
        <v>6</v>
      </c>
      <c r="I914">
        <v>6</v>
      </c>
      <c r="J914">
        <v>105.77</v>
      </c>
      <c r="K914">
        <v>9.17</v>
      </c>
      <c r="L914">
        <f>_xlfn.XLOOKUP(C914, dim_teams[team_name], dim_teams[team_id], "Not found", 0)</f>
        <v>15</v>
      </c>
    </row>
    <row r="915" spans="1:12" x14ac:dyDescent="0.3">
      <c r="A915" t="s">
        <v>270</v>
      </c>
      <c r="B915">
        <v>2025</v>
      </c>
      <c r="C915" t="s">
        <v>25</v>
      </c>
      <c r="D915">
        <v>15</v>
      </c>
      <c r="E915">
        <v>7</v>
      </c>
      <c r="F915">
        <v>1</v>
      </c>
      <c r="G915">
        <v>1</v>
      </c>
      <c r="H915">
        <v>0</v>
      </c>
      <c r="I915">
        <v>2</v>
      </c>
      <c r="J915">
        <v>214.29</v>
      </c>
      <c r="L915">
        <f>_xlfn.XLOOKUP(C915, dim_teams[team_name], dim_teams[team_id], "Not found", 0)</f>
        <v>3</v>
      </c>
    </row>
    <row r="916" spans="1:12" x14ac:dyDescent="0.3">
      <c r="A916" t="s">
        <v>271</v>
      </c>
      <c r="B916">
        <v>2015</v>
      </c>
      <c r="C916" t="s">
        <v>23</v>
      </c>
      <c r="D916">
        <v>48</v>
      </c>
      <c r="E916">
        <v>32</v>
      </c>
      <c r="F916">
        <v>4</v>
      </c>
      <c r="G916">
        <v>2</v>
      </c>
      <c r="H916">
        <v>1</v>
      </c>
      <c r="I916">
        <v>5</v>
      </c>
      <c r="J916">
        <v>150</v>
      </c>
      <c r="K916">
        <v>48</v>
      </c>
      <c r="L916">
        <f>_xlfn.XLOOKUP(C916, dim_teams[team_name], dim_teams[team_id], "Not found", 0)</f>
        <v>7</v>
      </c>
    </row>
    <row r="917" spans="1:12" x14ac:dyDescent="0.3">
      <c r="A917" t="s">
        <v>271</v>
      </c>
      <c r="B917">
        <v>2019</v>
      </c>
      <c r="C917" t="s">
        <v>33</v>
      </c>
      <c r="D917">
        <v>6</v>
      </c>
      <c r="E917">
        <v>15</v>
      </c>
      <c r="F917">
        <v>0</v>
      </c>
      <c r="G917">
        <v>0</v>
      </c>
      <c r="H917">
        <v>1</v>
      </c>
      <c r="I917">
        <v>1</v>
      </c>
      <c r="J917">
        <v>40</v>
      </c>
      <c r="K917">
        <v>6</v>
      </c>
      <c r="L917">
        <f>_xlfn.XLOOKUP(C917, dim_teams[team_name], dim_teams[team_id], "Not found", 0)</f>
        <v>15</v>
      </c>
    </row>
    <row r="918" spans="1:12" x14ac:dyDescent="0.3">
      <c r="A918" t="s">
        <v>271</v>
      </c>
      <c r="B918">
        <v>2021</v>
      </c>
      <c r="C918" t="s">
        <v>13</v>
      </c>
      <c r="D918">
        <v>14</v>
      </c>
      <c r="E918">
        <v>6</v>
      </c>
      <c r="F918">
        <v>2</v>
      </c>
      <c r="G918">
        <v>1</v>
      </c>
      <c r="H918">
        <v>0</v>
      </c>
      <c r="I918">
        <v>1</v>
      </c>
      <c r="J918">
        <v>233.33</v>
      </c>
      <c r="L918">
        <f>_xlfn.XLOOKUP(C918, dim_teams[team_name], dim_teams[team_id], "Not found", 0)</f>
        <v>11</v>
      </c>
    </row>
    <row r="919" spans="1:12" x14ac:dyDescent="0.3">
      <c r="A919" t="s">
        <v>271</v>
      </c>
      <c r="B919">
        <v>2022</v>
      </c>
      <c r="C919" t="s">
        <v>13</v>
      </c>
      <c r="D919">
        <v>2</v>
      </c>
      <c r="E919">
        <v>8</v>
      </c>
      <c r="F919">
        <v>0</v>
      </c>
      <c r="G919">
        <v>0</v>
      </c>
      <c r="H919">
        <v>2</v>
      </c>
      <c r="I919">
        <v>2</v>
      </c>
      <c r="J919">
        <v>25</v>
      </c>
      <c r="K919">
        <v>1</v>
      </c>
      <c r="L919">
        <f>_xlfn.XLOOKUP(C919, dim_teams[team_name], dim_teams[team_id], "Not found", 0)</f>
        <v>11</v>
      </c>
    </row>
    <row r="920" spans="1:12" x14ac:dyDescent="0.3">
      <c r="A920" t="s">
        <v>272</v>
      </c>
      <c r="B920">
        <v>2011</v>
      </c>
      <c r="C920" t="s">
        <v>21</v>
      </c>
      <c r="D920">
        <v>15</v>
      </c>
      <c r="E920">
        <v>12</v>
      </c>
      <c r="F920">
        <v>2</v>
      </c>
      <c r="G920">
        <v>0</v>
      </c>
      <c r="H920">
        <v>0</v>
      </c>
      <c r="I920">
        <v>2</v>
      </c>
      <c r="J920">
        <v>125</v>
      </c>
      <c r="L920">
        <f>_xlfn.XLOOKUP(C920, dim_teams[team_name], dim_teams[team_id], "Not found", 0)</f>
        <v>2</v>
      </c>
    </row>
    <row r="921" spans="1:12" x14ac:dyDescent="0.3">
      <c r="A921" t="s">
        <v>272</v>
      </c>
      <c r="B921">
        <v>2012</v>
      </c>
      <c r="C921" t="s">
        <v>21</v>
      </c>
      <c r="D921">
        <v>4</v>
      </c>
      <c r="E921">
        <v>1</v>
      </c>
      <c r="F921">
        <v>1</v>
      </c>
      <c r="G921">
        <v>0</v>
      </c>
      <c r="H921">
        <v>0</v>
      </c>
      <c r="I921">
        <v>1</v>
      </c>
      <c r="J921">
        <v>400</v>
      </c>
      <c r="L921">
        <f>_xlfn.XLOOKUP(C921, dim_teams[team_name], dim_teams[team_id], "Not found", 0)</f>
        <v>2</v>
      </c>
    </row>
    <row r="922" spans="1:12" x14ac:dyDescent="0.3">
      <c r="A922" t="s">
        <v>272</v>
      </c>
      <c r="B922">
        <v>2013</v>
      </c>
      <c r="C922" t="s">
        <v>21</v>
      </c>
      <c r="D922">
        <v>10</v>
      </c>
      <c r="E922">
        <v>13</v>
      </c>
      <c r="F922">
        <v>1</v>
      </c>
      <c r="G922">
        <v>0</v>
      </c>
      <c r="H922">
        <v>2</v>
      </c>
      <c r="I922">
        <v>2</v>
      </c>
      <c r="J922">
        <v>76.92</v>
      </c>
      <c r="K922">
        <v>5</v>
      </c>
      <c r="L922">
        <f>_xlfn.XLOOKUP(C922, dim_teams[team_name], dim_teams[team_id], "Not found", 0)</f>
        <v>2</v>
      </c>
    </row>
    <row r="923" spans="1:12" x14ac:dyDescent="0.3">
      <c r="A923" t="s">
        <v>273</v>
      </c>
      <c r="B923">
        <v>2010</v>
      </c>
      <c r="C923" t="s">
        <v>54</v>
      </c>
      <c r="D923">
        <v>2</v>
      </c>
      <c r="E923">
        <v>5</v>
      </c>
      <c r="F923">
        <v>0</v>
      </c>
      <c r="G923">
        <v>0</v>
      </c>
      <c r="H923">
        <v>2</v>
      </c>
      <c r="I923">
        <v>2</v>
      </c>
      <c r="J923">
        <v>40</v>
      </c>
      <c r="K923">
        <v>1</v>
      </c>
      <c r="L923">
        <f>_xlfn.XLOOKUP(C923, dim_teams[team_name], dim_teams[team_id], "Not found", 0)</f>
        <v>4</v>
      </c>
    </row>
    <row r="924" spans="1:12" x14ac:dyDescent="0.3">
      <c r="A924" t="s">
        <v>273</v>
      </c>
      <c r="B924">
        <v>2012</v>
      </c>
      <c r="C924" t="s">
        <v>12</v>
      </c>
      <c r="D924">
        <v>7</v>
      </c>
      <c r="E924">
        <v>6</v>
      </c>
      <c r="F924">
        <v>1</v>
      </c>
      <c r="G924">
        <v>0</v>
      </c>
      <c r="H924">
        <v>0</v>
      </c>
      <c r="I924">
        <v>1</v>
      </c>
      <c r="J924">
        <v>116.67</v>
      </c>
      <c r="L924">
        <f>_xlfn.XLOOKUP(C924, dim_teams[team_name], dim_teams[team_id], "Not found", 0)</f>
        <v>8</v>
      </c>
    </row>
    <row r="925" spans="1:12" x14ac:dyDescent="0.3">
      <c r="A925" t="s">
        <v>273</v>
      </c>
      <c r="B925">
        <v>2015</v>
      </c>
      <c r="C925" t="s">
        <v>17</v>
      </c>
      <c r="D925">
        <v>1</v>
      </c>
      <c r="E925">
        <v>1</v>
      </c>
      <c r="F925">
        <v>0</v>
      </c>
      <c r="G925">
        <v>0</v>
      </c>
      <c r="H925">
        <v>0</v>
      </c>
      <c r="I925">
        <v>1</v>
      </c>
      <c r="J925">
        <v>100</v>
      </c>
      <c r="L925">
        <f>_xlfn.XLOOKUP(C925, dim_teams[team_name], dim_teams[team_id], "Not found", 0)</f>
        <v>5</v>
      </c>
    </row>
    <row r="926" spans="1:12" x14ac:dyDescent="0.3">
      <c r="A926" t="s">
        <v>274</v>
      </c>
      <c r="B926">
        <v>2016</v>
      </c>
      <c r="C926" t="s">
        <v>32</v>
      </c>
      <c r="D926">
        <v>6</v>
      </c>
      <c r="E926">
        <v>10</v>
      </c>
      <c r="F926">
        <v>0</v>
      </c>
      <c r="G926">
        <v>0</v>
      </c>
      <c r="H926">
        <v>0</v>
      </c>
      <c r="I926">
        <v>2</v>
      </c>
      <c r="J926">
        <v>60</v>
      </c>
      <c r="L926">
        <f>_xlfn.XLOOKUP(C926, dim_teams[team_name], dim_teams[team_id], "Not found", 0)</f>
        <v>6</v>
      </c>
    </row>
    <row r="927" spans="1:12" x14ac:dyDescent="0.3">
      <c r="A927" t="s">
        <v>274</v>
      </c>
      <c r="B927">
        <v>2021</v>
      </c>
      <c r="C927" t="s">
        <v>23</v>
      </c>
      <c r="D927">
        <v>34</v>
      </c>
      <c r="E927">
        <v>26</v>
      </c>
      <c r="F927">
        <v>2</v>
      </c>
      <c r="G927">
        <v>1</v>
      </c>
      <c r="H927">
        <v>2</v>
      </c>
      <c r="I927">
        <v>2</v>
      </c>
      <c r="J927">
        <v>130.77000000000001</v>
      </c>
      <c r="K927">
        <v>17</v>
      </c>
      <c r="L927">
        <f>_xlfn.XLOOKUP(C927, dim_teams[team_name], dim_teams[team_id], "Not found", 0)</f>
        <v>7</v>
      </c>
    </row>
    <row r="928" spans="1:12" x14ac:dyDescent="0.3">
      <c r="A928" t="s">
        <v>275</v>
      </c>
      <c r="B928">
        <v>2008</v>
      </c>
      <c r="C928" t="s">
        <v>25</v>
      </c>
      <c r="D928">
        <v>241</v>
      </c>
      <c r="E928">
        <v>162</v>
      </c>
      <c r="F928">
        <v>18</v>
      </c>
      <c r="G928">
        <v>14</v>
      </c>
      <c r="H928">
        <v>8</v>
      </c>
      <c r="I928">
        <v>10</v>
      </c>
      <c r="J928">
        <v>148.77000000000001</v>
      </c>
      <c r="K928">
        <v>30.12</v>
      </c>
      <c r="L928">
        <f>_xlfn.XLOOKUP(C928, dim_teams[team_name], dim_teams[team_id], "Not found", 0)</f>
        <v>3</v>
      </c>
    </row>
    <row r="929" spans="1:12" x14ac:dyDescent="0.3">
      <c r="A929" t="s">
        <v>275</v>
      </c>
      <c r="B929">
        <v>2009</v>
      </c>
      <c r="C929" t="s">
        <v>25</v>
      </c>
      <c r="D929">
        <v>97</v>
      </c>
      <c r="E929">
        <v>70</v>
      </c>
      <c r="F929">
        <v>8</v>
      </c>
      <c r="G929">
        <v>4</v>
      </c>
      <c r="H929">
        <v>5</v>
      </c>
      <c r="I929">
        <v>10</v>
      </c>
      <c r="J929">
        <v>138.57</v>
      </c>
      <c r="K929">
        <v>19.399999999999999</v>
      </c>
      <c r="L929">
        <f>_xlfn.XLOOKUP(C929, dim_teams[team_name], dim_teams[team_id], "Not found", 0)</f>
        <v>3</v>
      </c>
    </row>
    <row r="930" spans="1:12" x14ac:dyDescent="0.3">
      <c r="A930" t="s">
        <v>275</v>
      </c>
      <c r="B930">
        <v>2010</v>
      </c>
      <c r="C930" t="s">
        <v>25</v>
      </c>
      <c r="D930">
        <v>199</v>
      </c>
      <c r="E930">
        <v>131</v>
      </c>
      <c r="F930">
        <v>10</v>
      </c>
      <c r="G930">
        <v>13</v>
      </c>
      <c r="H930">
        <v>7</v>
      </c>
      <c r="I930">
        <v>11</v>
      </c>
      <c r="J930">
        <v>151.91</v>
      </c>
      <c r="K930">
        <v>28.43</v>
      </c>
      <c r="L930">
        <f>_xlfn.XLOOKUP(C930, dim_teams[team_name], dim_teams[team_id], "Not found", 0)</f>
        <v>3</v>
      </c>
    </row>
    <row r="931" spans="1:12" x14ac:dyDescent="0.3">
      <c r="A931" t="s">
        <v>275</v>
      </c>
      <c r="B931">
        <v>2011</v>
      </c>
      <c r="C931" t="s">
        <v>25</v>
      </c>
      <c r="D931">
        <v>138</v>
      </c>
      <c r="E931">
        <v>100</v>
      </c>
      <c r="F931">
        <v>8</v>
      </c>
      <c r="G931">
        <v>8</v>
      </c>
      <c r="H931">
        <v>5</v>
      </c>
      <c r="I931">
        <v>12</v>
      </c>
      <c r="J931">
        <v>138</v>
      </c>
      <c r="K931">
        <v>27.6</v>
      </c>
      <c r="L931">
        <f>_xlfn.XLOOKUP(C931, dim_teams[team_name], dim_teams[team_id], "Not found", 0)</f>
        <v>3</v>
      </c>
    </row>
    <row r="932" spans="1:12" x14ac:dyDescent="0.3">
      <c r="A932" t="s">
        <v>275</v>
      </c>
      <c r="B932">
        <v>2012</v>
      </c>
      <c r="C932" t="s">
        <v>25</v>
      </c>
      <c r="D932">
        <v>107</v>
      </c>
      <c r="E932">
        <v>68</v>
      </c>
      <c r="F932">
        <v>5</v>
      </c>
      <c r="G932">
        <v>6</v>
      </c>
      <c r="H932">
        <v>7</v>
      </c>
      <c r="I932">
        <v>12</v>
      </c>
      <c r="J932">
        <v>157.35</v>
      </c>
      <c r="K932">
        <v>15.29</v>
      </c>
      <c r="L932">
        <f>_xlfn.XLOOKUP(C932, dim_teams[team_name], dim_teams[team_id], "Not found", 0)</f>
        <v>3</v>
      </c>
    </row>
    <row r="933" spans="1:12" x14ac:dyDescent="0.3">
      <c r="A933" t="s">
        <v>275</v>
      </c>
      <c r="B933">
        <v>2013</v>
      </c>
      <c r="C933" t="s">
        <v>25</v>
      </c>
      <c r="D933">
        <v>46</v>
      </c>
      <c r="E933">
        <v>37</v>
      </c>
      <c r="F933">
        <v>2</v>
      </c>
      <c r="G933">
        <v>3</v>
      </c>
      <c r="H933">
        <v>3</v>
      </c>
      <c r="I933">
        <v>3</v>
      </c>
      <c r="J933">
        <v>124.32</v>
      </c>
      <c r="K933">
        <v>15.33</v>
      </c>
      <c r="L933">
        <f>_xlfn.XLOOKUP(C933, dim_teams[team_name], dim_teams[team_id], "Not found", 0)</f>
        <v>3</v>
      </c>
    </row>
    <row r="934" spans="1:12" x14ac:dyDescent="0.3">
      <c r="A934" t="s">
        <v>275</v>
      </c>
      <c r="B934">
        <v>2014</v>
      </c>
      <c r="C934" t="s">
        <v>21</v>
      </c>
      <c r="D934">
        <v>45</v>
      </c>
      <c r="E934">
        <v>41</v>
      </c>
      <c r="F934">
        <v>1</v>
      </c>
      <c r="G934">
        <v>3</v>
      </c>
      <c r="H934">
        <v>3</v>
      </c>
      <c r="I934">
        <v>5</v>
      </c>
      <c r="J934">
        <v>109.76</v>
      </c>
      <c r="K934">
        <v>15</v>
      </c>
      <c r="L934">
        <f>_xlfn.XLOOKUP(C934, dim_teams[team_name], dim_teams[team_id], "Not found", 0)</f>
        <v>2</v>
      </c>
    </row>
    <row r="935" spans="1:12" x14ac:dyDescent="0.3">
      <c r="A935" t="s">
        <v>275</v>
      </c>
      <c r="B935">
        <v>2015</v>
      </c>
      <c r="C935" t="s">
        <v>32</v>
      </c>
      <c r="D935">
        <v>86</v>
      </c>
      <c r="E935">
        <v>65</v>
      </c>
      <c r="F935">
        <v>9</v>
      </c>
      <c r="G935">
        <v>2</v>
      </c>
      <c r="H935">
        <v>1</v>
      </c>
      <c r="I935">
        <v>3</v>
      </c>
      <c r="J935">
        <v>132.31</v>
      </c>
      <c r="K935">
        <v>86</v>
      </c>
      <c r="L935">
        <f>_xlfn.XLOOKUP(C935, dim_teams[team_name], dim_teams[team_id], "Not found", 0)</f>
        <v>6</v>
      </c>
    </row>
    <row r="936" spans="1:12" x14ac:dyDescent="0.3">
      <c r="A936" t="s">
        <v>275</v>
      </c>
      <c r="B936">
        <v>2016</v>
      </c>
      <c r="C936" t="s">
        <v>45</v>
      </c>
      <c r="D936">
        <v>16</v>
      </c>
      <c r="E936">
        <v>9</v>
      </c>
      <c r="F936">
        <v>0</v>
      </c>
      <c r="G936">
        <v>2</v>
      </c>
      <c r="H936">
        <v>1</v>
      </c>
      <c r="I936">
        <v>1</v>
      </c>
      <c r="J936">
        <v>177.78</v>
      </c>
      <c r="K936">
        <v>16</v>
      </c>
      <c r="L936">
        <f>_xlfn.XLOOKUP(C936, dim_teams[team_name], dim_teams[team_id], "Not found", 0)</f>
        <v>12</v>
      </c>
    </row>
    <row r="937" spans="1:12" x14ac:dyDescent="0.3">
      <c r="A937" t="s">
        <v>276</v>
      </c>
      <c r="B937">
        <v>2021</v>
      </c>
      <c r="C937" t="s">
        <v>76</v>
      </c>
      <c r="D937">
        <v>15</v>
      </c>
      <c r="E937">
        <v>24</v>
      </c>
      <c r="F937">
        <v>2</v>
      </c>
      <c r="G937">
        <v>0</v>
      </c>
      <c r="H937">
        <v>2</v>
      </c>
      <c r="I937">
        <v>2</v>
      </c>
      <c r="J937">
        <v>62.5</v>
      </c>
      <c r="K937">
        <v>7.5</v>
      </c>
      <c r="L937">
        <f>_xlfn.XLOOKUP(C937, dim_teams[team_name], dim_teams[team_id], "Not found", 0)</f>
        <v>16</v>
      </c>
    </row>
    <row r="938" spans="1:12" x14ac:dyDescent="0.3">
      <c r="A938" t="s">
        <v>276</v>
      </c>
      <c r="B938">
        <v>2024</v>
      </c>
      <c r="C938" t="s">
        <v>33</v>
      </c>
      <c r="D938">
        <v>2</v>
      </c>
      <c r="E938">
        <v>2</v>
      </c>
      <c r="F938">
        <v>0</v>
      </c>
      <c r="G938">
        <v>0</v>
      </c>
      <c r="H938">
        <v>1</v>
      </c>
      <c r="I938">
        <v>1</v>
      </c>
      <c r="J938">
        <v>100</v>
      </c>
      <c r="K938">
        <v>2</v>
      </c>
      <c r="L938">
        <f>_xlfn.XLOOKUP(C938, dim_teams[team_name], dim_teams[team_id], "Not found", 0)</f>
        <v>15</v>
      </c>
    </row>
    <row r="939" spans="1:12" x14ac:dyDescent="0.3">
      <c r="A939" t="s">
        <v>277</v>
      </c>
      <c r="B939">
        <v>2018</v>
      </c>
      <c r="C939" t="s">
        <v>17</v>
      </c>
      <c r="D939">
        <v>15</v>
      </c>
      <c r="E939">
        <v>19</v>
      </c>
      <c r="F939">
        <v>2</v>
      </c>
      <c r="G939">
        <v>0</v>
      </c>
      <c r="H939">
        <v>5</v>
      </c>
      <c r="I939">
        <v>6</v>
      </c>
      <c r="J939">
        <v>78.95</v>
      </c>
      <c r="K939">
        <v>3</v>
      </c>
      <c r="L939">
        <f>_xlfn.XLOOKUP(C939, dim_teams[team_name], dim_teams[team_id], "Not found", 0)</f>
        <v>5</v>
      </c>
    </row>
    <row r="940" spans="1:12" x14ac:dyDescent="0.3">
      <c r="A940" t="s">
        <v>277</v>
      </c>
      <c r="B940">
        <v>2019</v>
      </c>
      <c r="C940" t="s">
        <v>17</v>
      </c>
      <c r="D940">
        <v>67</v>
      </c>
      <c r="E940">
        <v>40</v>
      </c>
      <c r="F940">
        <v>4</v>
      </c>
      <c r="G940">
        <v>4</v>
      </c>
      <c r="H940">
        <v>2</v>
      </c>
      <c r="I940">
        <v>5</v>
      </c>
      <c r="J940">
        <v>167.5</v>
      </c>
      <c r="K940">
        <v>33.5</v>
      </c>
      <c r="L940">
        <f>_xlfn.XLOOKUP(C940, dim_teams[team_name], dim_teams[team_id], "Not found", 0)</f>
        <v>5</v>
      </c>
    </row>
    <row r="941" spans="1:12" x14ac:dyDescent="0.3">
      <c r="A941" t="s">
        <v>277</v>
      </c>
      <c r="B941">
        <v>2020</v>
      </c>
      <c r="C941" t="s">
        <v>17</v>
      </c>
      <c r="D941">
        <v>113</v>
      </c>
      <c r="E941">
        <v>60</v>
      </c>
      <c r="F941">
        <v>5</v>
      </c>
      <c r="G941">
        <v>10</v>
      </c>
      <c r="H941">
        <v>6</v>
      </c>
      <c r="I941">
        <v>10</v>
      </c>
      <c r="J941">
        <v>188.33</v>
      </c>
      <c r="K941">
        <v>18.829999999999998</v>
      </c>
      <c r="L941">
        <f>_xlfn.XLOOKUP(C941, dim_teams[team_name], dim_teams[team_id], "Not found", 0)</f>
        <v>5</v>
      </c>
    </row>
    <row r="942" spans="1:12" x14ac:dyDescent="0.3">
      <c r="A942" t="s">
        <v>277</v>
      </c>
      <c r="B942">
        <v>2023</v>
      </c>
      <c r="C942" t="s">
        <v>23</v>
      </c>
      <c r="D942">
        <v>4</v>
      </c>
      <c r="E942">
        <v>4</v>
      </c>
      <c r="F942">
        <v>0</v>
      </c>
      <c r="G942">
        <v>0</v>
      </c>
      <c r="H942">
        <v>0</v>
      </c>
      <c r="I942">
        <v>2</v>
      </c>
      <c r="J942">
        <v>100</v>
      </c>
      <c r="L942">
        <f>_xlfn.XLOOKUP(C942, dim_teams[team_name], dim_teams[team_id], "Not found", 0)</f>
        <v>7</v>
      </c>
    </row>
    <row r="943" spans="1:12" x14ac:dyDescent="0.3">
      <c r="A943" t="s">
        <v>277</v>
      </c>
      <c r="B943">
        <v>2025</v>
      </c>
      <c r="C943" t="s">
        <v>17</v>
      </c>
      <c r="D943">
        <v>63</v>
      </c>
      <c r="E943">
        <v>50</v>
      </c>
      <c r="F943">
        <v>3</v>
      </c>
      <c r="G943">
        <v>4</v>
      </c>
      <c r="H943">
        <v>5</v>
      </c>
      <c r="I943">
        <v>7</v>
      </c>
      <c r="J943">
        <v>126</v>
      </c>
      <c r="K943">
        <v>12.6</v>
      </c>
      <c r="L943">
        <f>_xlfn.XLOOKUP(C943, dim_teams[team_name], dim_teams[team_id], "Not found", 0)</f>
        <v>5</v>
      </c>
    </row>
    <row r="944" spans="1:12" x14ac:dyDescent="0.3">
      <c r="A944" t="s">
        <v>278</v>
      </c>
      <c r="B944">
        <v>2016</v>
      </c>
      <c r="C944" t="s">
        <v>23</v>
      </c>
      <c r="D944">
        <v>255</v>
      </c>
      <c r="E944">
        <v>183</v>
      </c>
      <c r="F944">
        <v>23</v>
      </c>
      <c r="G944">
        <v>11</v>
      </c>
      <c r="H944">
        <v>11</v>
      </c>
      <c r="I944">
        <v>14</v>
      </c>
      <c r="J944">
        <v>139.34</v>
      </c>
      <c r="K944">
        <v>23.18</v>
      </c>
      <c r="L944">
        <f>_xlfn.XLOOKUP(C944, dim_teams[team_name], dim_teams[team_id], "Not found", 0)</f>
        <v>7</v>
      </c>
    </row>
    <row r="945" spans="1:12" x14ac:dyDescent="0.3">
      <c r="A945" t="s">
        <v>278</v>
      </c>
      <c r="B945">
        <v>2017</v>
      </c>
      <c r="C945" t="s">
        <v>23</v>
      </c>
      <c r="D945">
        <v>273</v>
      </c>
      <c r="E945">
        <v>179</v>
      </c>
      <c r="F945">
        <v>27</v>
      </c>
      <c r="G945">
        <v>15</v>
      </c>
      <c r="H945">
        <v>9</v>
      </c>
      <c r="I945">
        <v>10</v>
      </c>
      <c r="J945">
        <v>152.51</v>
      </c>
      <c r="K945">
        <v>30.33</v>
      </c>
      <c r="L945">
        <f>_xlfn.XLOOKUP(C945, dim_teams[team_name], dim_teams[team_id], "Not found", 0)</f>
        <v>7</v>
      </c>
    </row>
    <row r="946" spans="1:12" x14ac:dyDescent="0.3">
      <c r="A946" t="s">
        <v>278</v>
      </c>
      <c r="B946">
        <v>2018</v>
      </c>
      <c r="C946" t="s">
        <v>17</v>
      </c>
      <c r="D946">
        <v>548</v>
      </c>
      <c r="E946">
        <v>352</v>
      </c>
      <c r="F946">
        <v>52</v>
      </c>
      <c r="G946">
        <v>21</v>
      </c>
      <c r="H946">
        <v>11</v>
      </c>
      <c r="I946">
        <v>13</v>
      </c>
      <c r="J946">
        <v>155.68</v>
      </c>
      <c r="K946">
        <v>49.82</v>
      </c>
      <c r="L946">
        <f>_xlfn.XLOOKUP(C946, dim_teams[team_name], dim_teams[team_id], "Not found", 0)</f>
        <v>5</v>
      </c>
    </row>
    <row r="947" spans="1:12" x14ac:dyDescent="0.3">
      <c r="A947" t="s">
        <v>278</v>
      </c>
      <c r="B947">
        <v>2019</v>
      </c>
      <c r="C947" t="s">
        <v>17</v>
      </c>
      <c r="D947">
        <v>311</v>
      </c>
      <c r="E947">
        <v>205</v>
      </c>
      <c r="F947">
        <v>38</v>
      </c>
      <c r="G947">
        <v>14</v>
      </c>
      <c r="H947">
        <v>7</v>
      </c>
      <c r="I947">
        <v>8</v>
      </c>
      <c r="J947">
        <v>151.71</v>
      </c>
      <c r="K947">
        <v>44.43</v>
      </c>
      <c r="L947">
        <f>_xlfn.XLOOKUP(C947, dim_teams[team_name], dim_teams[team_id], "Not found", 0)</f>
        <v>5</v>
      </c>
    </row>
    <row r="948" spans="1:12" x14ac:dyDescent="0.3">
      <c r="A948" t="s">
        <v>278</v>
      </c>
      <c r="B948">
        <v>2020</v>
      </c>
      <c r="C948" t="s">
        <v>17</v>
      </c>
      <c r="D948">
        <v>328</v>
      </c>
      <c r="E948">
        <v>227</v>
      </c>
      <c r="F948">
        <v>27</v>
      </c>
      <c r="G948">
        <v>16</v>
      </c>
      <c r="H948">
        <v>11</v>
      </c>
      <c r="I948">
        <v>12</v>
      </c>
      <c r="J948">
        <v>144.49</v>
      </c>
      <c r="K948">
        <v>29.82</v>
      </c>
      <c r="L948">
        <f>_xlfn.XLOOKUP(C948, dim_teams[team_name], dim_teams[team_id], "Not found", 0)</f>
        <v>5</v>
      </c>
    </row>
    <row r="949" spans="1:12" x14ac:dyDescent="0.3">
      <c r="A949" t="s">
        <v>278</v>
      </c>
      <c r="B949">
        <v>2021</v>
      </c>
      <c r="C949" t="s">
        <v>17</v>
      </c>
      <c r="D949">
        <v>254</v>
      </c>
      <c r="E949">
        <v>164</v>
      </c>
      <c r="F949">
        <v>27</v>
      </c>
      <c r="G949">
        <v>13</v>
      </c>
      <c r="H949">
        <v>7</v>
      </c>
      <c r="I949">
        <v>7</v>
      </c>
      <c r="J949">
        <v>154.88</v>
      </c>
      <c r="K949">
        <v>36.29</v>
      </c>
      <c r="L949">
        <f>_xlfn.XLOOKUP(C949, dim_teams[team_name], dim_teams[team_id], "Not found", 0)</f>
        <v>5</v>
      </c>
    </row>
    <row r="950" spans="1:12" x14ac:dyDescent="0.3">
      <c r="A950" t="s">
        <v>278</v>
      </c>
      <c r="B950">
        <v>2022</v>
      </c>
      <c r="C950" t="s">
        <v>17</v>
      </c>
      <c r="D950">
        <v>863</v>
      </c>
      <c r="E950">
        <v>574</v>
      </c>
      <c r="F950">
        <v>84</v>
      </c>
      <c r="G950">
        <v>45</v>
      </c>
      <c r="H950">
        <v>15</v>
      </c>
      <c r="I950">
        <v>17</v>
      </c>
      <c r="J950">
        <v>150.35</v>
      </c>
      <c r="K950">
        <v>57.53</v>
      </c>
      <c r="L950">
        <f>_xlfn.XLOOKUP(C950, dim_teams[team_name], dim_teams[team_id], "Not found", 0)</f>
        <v>5</v>
      </c>
    </row>
    <row r="951" spans="1:12" x14ac:dyDescent="0.3">
      <c r="A951" t="s">
        <v>278</v>
      </c>
      <c r="B951">
        <v>2023</v>
      </c>
      <c r="C951" t="s">
        <v>17</v>
      </c>
      <c r="D951">
        <v>392</v>
      </c>
      <c r="E951">
        <v>281</v>
      </c>
      <c r="F951">
        <v>42</v>
      </c>
      <c r="G951">
        <v>14</v>
      </c>
      <c r="H951">
        <v>15</v>
      </c>
      <c r="I951">
        <v>14</v>
      </c>
      <c r="J951">
        <v>139.5</v>
      </c>
      <c r="K951">
        <v>26.13</v>
      </c>
      <c r="L951">
        <f>_xlfn.XLOOKUP(C951, dim_teams[team_name], dim_teams[team_id], "Not found", 0)</f>
        <v>5</v>
      </c>
    </row>
    <row r="952" spans="1:12" x14ac:dyDescent="0.3">
      <c r="A952" t="s">
        <v>278</v>
      </c>
      <c r="B952">
        <v>2024</v>
      </c>
      <c r="C952" t="s">
        <v>17</v>
      </c>
      <c r="D952">
        <v>359</v>
      </c>
      <c r="E952">
        <v>254</v>
      </c>
      <c r="F952">
        <v>36</v>
      </c>
      <c r="G952">
        <v>12</v>
      </c>
      <c r="H952">
        <v>10</v>
      </c>
      <c r="I952">
        <v>11</v>
      </c>
      <c r="J952">
        <v>141.34</v>
      </c>
      <c r="K952">
        <v>35.9</v>
      </c>
      <c r="L952">
        <f>_xlfn.XLOOKUP(C952, dim_teams[team_name], dim_teams[team_id], "Not found", 0)</f>
        <v>5</v>
      </c>
    </row>
    <row r="953" spans="1:12" x14ac:dyDescent="0.3">
      <c r="A953" t="s">
        <v>278</v>
      </c>
      <c r="B953">
        <v>2025</v>
      </c>
      <c r="C953" t="s">
        <v>29</v>
      </c>
      <c r="D953">
        <v>538</v>
      </c>
      <c r="E953">
        <v>330</v>
      </c>
      <c r="F953">
        <v>52</v>
      </c>
      <c r="G953">
        <v>24</v>
      </c>
      <c r="H953">
        <v>10</v>
      </c>
      <c r="I953">
        <v>13</v>
      </c>
      <c r="J953">
        <v>163.03</v>
      </c>
      <c r="K953">
        <v>53.8</v>
      </c>
      <c r="L953">
        <f>_xlfn.XLOOKUP(C953, dim_teams[team_name], dim_teams[team_id], "Not found", 0)</f>
        <v>18</v>
      </c>
    </row>
    <row r="954" spans="1:12" x14ac:dyDescent="0.3">
      <c r="A954" t="s">
        <v>279</v>
      </c>
      <c r="B954">
        <v>2009</v>
      </c>
      <c r="C954" t="s">
        <v>21</v>
      </c>
      <c r="D954">
        <v>56</v>
      </c>
      <c r="E954">
        <v>48</v>
      </c>
      <c r="F954">
        <v>9</v>
      </c>
      <c r="G954">
        <v>0</v>
      </c>
      <c r="H954">
        <v>5</v>
      </c>
      <c r="I954">
        <v>5</v>
      </c>
      <c r="J954">
        <v>116.67</v>
      </c>
      <c r="K954">
        <v>11.2</v>
      </c>
      <c r="L954">
        <f>_xlfn.XLOOKUP(C954, dim_teams[team_name], dim_teams[team_id], "Not found", 0)</f>
        <v>2</v>
      </c>
    </row>
    <row r="955" spans="1:12" x14ac:dyDescent="0.3">
      <c r="A955" t="s">
        <v>279</v>
      </c>
      <c r="B955">
        <v>2011</v>
      </c>
      <c r="C955" t="s">
        <v>37</v>
      </c>
      <c r="D955">
        <v>292</v>
      </c>
      <c r="E955">
        <v>196</v>
      </c>
      <c r="F955">
        <v>37</v>
      </c>
      <c r="G955">
        <v>11</v>
      </c>
      <c r="H955">
        <v>13</v>
      </c>
      <c r="I955">
        <v>13</v>
      </c>
      <c r="J955">
        <v>148.97999999999999</v>
      </c>
      <c r="K955">
        <v>22.46</v>
      </c>
      <c r="L955">
        <f>_xlfn.XLOOKUP(C955, dim_teams[team_name], dim_teams[team_id], "Not found", 0)</f>
        <v>10</v>
      </c>
    </row>
    <row r="956" spans="1:12" x14ac:dyDescent="0.3">
      <c r="A956" t="s">
        <v>279</v>
      </c>
      <c r="B956">
        <v>2012</v>
      </c>
      <c r="C956" t="s">
        <v>37</v>
      </c>
      <c r="D956">
        <v>256</v>
      </c>
      <c r="E956">
        <v>211</v>
      </c>
      <c r="F956">
        <v>23</v>
      </c>
      <c r="G956">
        <v>8</v>
      </c>
      <c r="H956">
        <v>11</v>
      </c>
      <c r="I956">
        <v>11</v>
      </c>
      <c r="J956">
        <v>121.33</v>
      </c>
      <c r="K956">
        <v>23.27</v>
      </c>
      <c r="L956">
        <f>_xlfn.XLOOKUP(C956, dim_teams[team_name], dim_teams[team_id], "Not found", 0)</f>
        <v>10</v>
      </c>
    </row>
    <row r="957" spans="1:12" x14ac:dyDescent="0.3">
      <c r="A957" t="s">
        <v>280</v>
      </c>
      <c r="B957">
        <v>2013</v>
      </c>
      <c r="C957" t="s">
        <v>21</v>
      </c>
      <c r="D957">
        <v>2</v>
      </c>
      <c r="E957">
        <v>2</v>
      </c>
      <c r="F957">
        <v>0</v>
      </c>
      <c r="G957">
        <v>0</v>
      </c>
      <c r="H957">
        <v>0</v>
      </c>
      <c r="I957">
        <v>2</v>
      </c>
      <c r="J957">
        <v>100</v>
      </c>
      <c r="L957">
        <f>_xlfn.XLOOKUP(C957, dim_teams[team_name], dim_teams[team_id], "Not found", 0)</f>
        <v>2</v>
      </c>
    </row>
    <row r="958" spans="1:12" x14ac:dyDescent="0.3">
      <c r="A958" t="s">
        <v>280</v>
      </c>
      <c r="B958">
        <v>2014</v>
      </c>
      <c r="C958" t="s">
        <v>32</v>
      </c>
      <c r="D958">
        <v>1</v>
      </c>
      <c r="E958">
        <v>6</v>
      </c>
      <c r="F958">
        <v>0</v>
      </c>
      <c r="G958">
        <v>0</v>
      </c>
      <c r="H958">
        <v>1</v>
      </c>
      <c r="I958">
        <v>2</v>
      </c>
      <c r="J958">
        <v>16.670000000000002</v>
      </c>
      <c r="K958">
        <v>1</v>
      </c>
      <c r="L958">
        <f>_xlfn.XLOOKUP(C958, dim_teams[team_name], dim_teams[team_id], "Not found", 0)</f>
        <v>6</v>
      </c>
    </row>
    <row r="959" spans="1:12" x14ac:dyDescent="0.3">
      <c r="A959" t="s">
        <v>280</v>
      </c>
      <c r="B959">
        <v>2017</v>
      </c>
      <c r="C959" t="s">
        <v>46</v>
      </c>
      <c r="D959">
        <v>2</v>
      </c>
      <c r="E959">
        <v>5</v>
      </c>
      <c r="F959">
        <v>0</v>
      </c>
      <c r="G959">
        <v>0</v>
      </c>
      <c r="H959">
        <v>0</v>
      </c>
      <c r="I959">
        <v>1</v>
      </c>
      <c r="J959">
        <v>40</v>
      </c>
      <c r="L959">
        <f>_xlfn.XLOOKUP(C959, dim_teams[team_name], dim_teams[team_id], "Not found", 0)</f>
        <v>14</v>
      </c>
    </row>
    <row r="960" spans="1:12" x14ac:dyDescent="0.3">
      <c r="A960" t="s">
        <v>280</v>
      </c>
      <c r="B960">
        <v>2018</v>
      </c>
      <c r="C960" t="s">
        <v>17</v>
      </c>
      <c r="D960">
        <v>49</v>
      </c>
      <c r="E960">
        <v>38</v>
      </c>
      <c r="F960">
        <v>6</v>
      </c>
      <c r="G960">
        <v>1</v>
      </c>
      <c r="H960">
        <v>5</v>
      </c>
      <c r="I960">
        <v>5</v>
      </c>
      <c r="J960">
        <v>128.94999999999999</v>
      </c>
      <c r="K960">
        <v>9.8000000000000007</v>
      </c>
      <c r="L960">
        <f>_xlfn.XLOOKUP(C960, dim_teams[team_name], dim_teams[team_id], "Not found", 0)</f>
        <v>5</v>
      </c>
    </row>
    <row r="961" spans="1:12" x14ac:dyDescent="0.3">
      <c r="A961" t="s">
        <v>280</v>
      </c>
      <c r="B961">
        <v>2019</v>
      </c>
      <c r="C961" t="s">
        <v>17</v>
      </c>
      <c r="D961">
        <v>1</v>
      </c>
      <c r="E961">
        <v>3</v>
      </c>
      <c r="F961">
        <v>0</v>
      </c>
      <c r="G961">
        <v>0</v>
      </c>
      <c r="H961">
        <v>1</v>
      </c>
      <c r="I961">
        <v>2</v>
      </c>
      <c r="J961">
        <v>33.33</v>
      </c>
      <c r="K961">
        <v>1</v>
      </c>
      <c r="L961">
        <f>_xlfn.XLOOKUP(C961, dim_teams[team_name], dim_teams[team_id], "Not found", 0)</f>
        <v>5</v>
      </c>
    </row>
    <row r="962" spans="1:12" x14ac:dyDescent="0.3">
      <c r="A962" t="s">
        <v>280</v>
      </c>
      <c r="B962">
        <v>2020</v>
      </c>
      <c r="C962" t="s">
        <v>17</v>
      </c>
      <c r="D962">
        <v>9</v>
      </c>
      <c r="E962">
        <v>13</v>
      </c>
      <c r="F962">
        <v>0</v>
      </c>
      <c r="G962">
        <v>0</v>
      </c>
      <c r="H962">
        <v>1</v>
      </c>
      <c r="I962">
        <v>1</v>
      </c>
      <c r="J962">
        <v>69.23</v>
      </c>
      <c r="K962">
        <v>9</v>
      </c>
      <c r="L962">
        <f>_xlfn.XLOOKUP(C962, dim_teams[team_name], dim_teams[team_id], "Not found", 0)</f>
        <v>5</v>
      </c>
    </row>
    <row r="963" spans="1:12" x14ac:dyDescent="0.3">
      <c r="A963" t="s">
        <v>280</v>
      </c>
      <c r="B963">
        <v>2021</v>
      </c>
      <c r="C963" t="s">
        <v>17</v>
      </c>
      <c r="D963">
        <v>41</v>
      </c>
      <c r="E963">
        <v>29</v>
      </c>
      <c r="F963">
        <v>3</v>
      </c>
      <c r="G963">
        <v>2</v>
      </c>
      <c r="H963">
        <v>2</v>
      </c>
      <c r="I963">
        <v>3</v>
      </c>
      <c r="J963">
        <v>141.38</v>
      </c>
      <c r="K963">
        <v>20.5</v>
      </c>
      <c r="L963">
        <f>_xlfn.XLOOKUP(C963, dim_teams[team_name], dim_teams[team_id], "Not found", 0)</f>
        <v>5</v>
      </c>
    </row>
    <row r="964" spans="1:12" x14ac:dyDescent="0.3">
      <c r="A964" t="s">
        <v>280</v>
      </c>
      <c r="B964">
        <v>2022</v>
      </c>
      <c r="C964" t="s">
        <v>23</v>
      </c>
      <c r="D964">
        <v>59</v>
      </c>
      <c r="E964">
        <v>37</v>
      </c>
      <c r="F964">
        <v>4</v>
      </c>
      <c r="G964">
        <v>3</v>
      </c>
      <c r="H964">
        <v>1</v>
      </c>
      <c r="I964">
        <v>5</v>
      </c>
      <c r="J964">
        <v>159.46</v>
      </c>
      <c r="K964">
        <v>59</v>
      </c>
      <c r="L964">
        <f>_xlfn.XLOOKUP(C964, dim_teams[team_name], dim_teams[team_id], "Not found", 0)</f>
        <v>7</v>
      </c>
    </row>
    <row r="965" spans="1:12" x14ac:dyDescent="0.3">
      <c r="A965" t="s">
        <v>280</v>
      </c>
      <c r="B965">
        <v>2023</v>
      </c>
      <c r="C965" t="s">
        <v>15</v>
      </c>
      <c r="D965">
        <v>9</v>
      </c>
      <c r="E965">
        <v>7</v>
      </c>
      <c r="F965">
        <v>1</v>
      </c>
      <c r="G965">
        <v>0</v>
      </c>
      <c r="H965">
        <v>1</v>
      </c>
      <c r="I965">
        <v>1</v>
      </c>
      <c r="J965">
        <v>128.57</v>
      </c>
      <c r="K965">
        <v>9</v>
      </c>
      <c r="L965">
        <f>_xlfn.XLOOKUP(C965, dim_teams[team_name], dim_teams[team_id], "Not found", 0)</f>
        <v>17</v>
      </c>
    </row>
    <row r="966" spans="1:12" x14ac:dyDescent="0.3">
      <c r="A966" t="s">
        <v>280</v>
      </c>
      <c r="B966">
        <v>2024</v>
      </c>
      <c r="C966" t="s">
        <v>13</v>
      </c>
      <c r="D966">
        <v>24</v>
      </c>
      <c r="E966">
        <v>26</v>
      </c>
      <c r="F966">
        <v>2</v>
      </c>
      <c r="G966">
        <v>1</v>
      </c>
      <c r="H966">
        <v>2</v>
      </c>
      <c r="I966">
        <v>5</v>
      </c>
      <c r="J966">
        <v>92.31</v>
      </c>
      <c r="K966">
        <v>12</v>
      </c>
      <c r="L966">
        <f>_xlfn.XLOOKUP(C966, dim_teams[team_name], dim_teams[team_id], "Not found", 0)</f>
        <v>11</v>
      </c>
    </row>
    <row r="967" spans="1:12" x14ac:dyDescent="0.3">
      <c r="A967" t="s">
        <v>281</v>
      </c>
      <c r="B967">
        <v>2008</v>
      </c>
      <c r="C967" t="s">
        <v>25</v>
      </c>
      <c r="D967">
        <v>18</v>
      </c>
      <c r="E967">
        <v>12</v>
      </c>
      <c r="F967">
        <v>1</v>
      </c>
      <c r="G967">
        <v>1</v>
      </c>
      <c r="H967">
        <v>1</v>
      </c>
      <c r="I967">
        <v>2</v>
      </c>
      <c r="J967">
        <v>150</v>
      </c>
      <c r="K967">
        <v>18</v>
      </c>
      <c r="L967">
        <f>_xlfn.XLOOKUP(C967, dim_teams[team_name], dim_teams[team_id], "Not found", 0)</f>
        <v>3</v>
      </c>
    </row>
    <row r="968" spans="1:12" x14ac:dyDescent="0.3">
      <c r="A968" t="s">
        <v>281</v>
      </c>
      <c r="B968">
        <v>2009</v>
      </c>
      <c r="C968" t="s">
        <v>25</v>
      </c>
      <c r="D968">
        <v>88</v>
      </c>
      <c r="E968">
        <v>92</v>
      </c>
      <c r="F968">
        <v>5</v>
      </c>
      <c r="G968">
        <v>4</v>
      </c>
      <c r="H968">
        <v>6</v>
      </c>
      <c r="I968">
        <v>8</v>
      </c>
      <c r="J968">
        <v>95.65</v>
      </c>
      <c r="K968">
        <v>14.67</v>
      </c>
      <c r="L968">
        <f>_xlfn.XLOOKUP(C968, dim_teams[team_name], dim_teams[team_id], "Not found", 0)</f>
        <v>3</v>
      </c>
    </row>
    <row r="969" spans="1:12" x14ac:dyDescent="0.3">
      <c r="A969" t="s">
        <v>281</v>
      </c>
      <c r="B969">
        <v>2011</v>
      </c>
      <c r="C969" t="s">
        <v>17</v>
      </c>
      <c r="D969">
        <v>0</v>
      </c>
      <c r="E969">
        <v>3</v>
      </c>
      <c r="F969">
        <v>0</v>
      </c>
      <c r="G969">
        <v>0</v>
      </c>
      <c r="H969">
        <v>1</v>
      </c>
      <c r="I969">
        <v>1</v>
      </c>
      <c r="J969">
        <v>0</v>
      </c>
      <c r="K969">
        <v>0</v>
      </c>
      <c r="L969">
        <f>_xlfn.XLOOKUP(C969, dim_teams[team_name], dim_teams[team_id], "Not found", 0)</f>
        <v>5</v>
      </c>
    </row>
    <row r="970" spans="1:12" x14ac:dyDescent="0.3">
      <c r="A970" t="s">
        <v>282</v>
      </c>
      <c r="B970">
        <v>2014</v>
      </c>
      <c r="C970" t="s">
        <v>32</v>
      </c>
      <c r="D970">
        <v>42</v>
      </c>
      <c r="E970">
        <v>46</v>
      </c>
      <c r="F970">
        <v>3</v>
      </c>
      <c r="G970">
        <v>1</v>
      </c>
      <c r="H970">
        <v>3</v>
      </c>
      <c r="I970">
        <v>3</v>
      </c>
      <c r="J970">
        <v>91.3</v>
      </c>
      <c r="K970">
        <v>14</v>
      </c>
      <c r="L970">
        <f>_xlfn.XLOOKUP(C970, dim_teams[team_name], dim_teams[team_id], "Not found", 0)</f>
        <v>6</v>
      </c>
    </row>
    <row r="971" spans="1:12" x14ac:dyDescent="0.3">
      <c r="A971" t="s">
        <v>282</v>
      </c>
      <c r="B971">
        <v>2020</v>
      </c>
      <c r="C971" t="s">
        <v>54</v>
      </c>
      <c r="D971">
        <v>19</v>
      </c>
      <c r="E971">
        <v>18</v>
      </c>
      <c r="F971">
        <v>0</v>
      </c>
      <c r="G971">
        <v>1</v>
      </c>
      <c r="H971">
        <v>2</v>
      </c>
      <c r="I971">
        <v>3</v>
      </c>
      <c r="J971">
        <v>105.56</v>
      </c>
      <c r="K971">
        <v>9.5</v>
      </c>
      <c r="L971">
        <f>_xlfn.XLOOKUP(C971, dim_teams[team_name], dim_teams[team_id], "Not found", 0)</f>
        <v>4</v>
      </c>
    </row>
    <row r="972" spans="1:12" x14ac:dyDescent="0.3">
      <c r="A972" t="s">
        <v>282</v>
      </c>
      <c r="B972">
        <v>2021</v>
      </c>
      <c r="C972" t="s">
        <v>23</v>
      </c>
      <c r="D972">
        <v>0</v>
      </c>
      <c r="E972">
        <v>2</v>
      </c>
      <c r="F972">
        <v>0</v>
      </c>
      <c r="G972">
        <v>0</v>
      </c>
      <c r="H972">
        <v>2</v>
      </c>
      <c r="I972">
        <v>2</v>
      </c>
      <c r="J972">
        <v>0</v>
      </c>
      <c r="K972">
        <v>0</v>
      </c>
      <c r="L972">
        <f>_xlfn.XLOOKUP(C972, dim_teams[team_name], dim_teams[team_id], "Not found", 0)</f>
        <v>7</v>
      </c>
    </row>
    <row r="973" spans="1:12" x14ac:dyDescent="0.3">
      <c r="A973" t="s">
        <v>282</v>
      </c>
      <c r="B973">
        <v>2022</v>
      </c>
      <c r="C973" t="s">
        <v>17</v>
      </c>
      <c r="D973">
        <v>31</v>
      </c>
      <c r="E973">
        <v>27</v>
      </c>
      <c r="F973">
        <v>3</v>
      </c>
      <c r="G973">
        <v>0</v>
      </c>
      <c r="H973">
        <v>1</v>
      </c>
      <c r="I973">
        <v>2</v>
      </c>
      <c r="J973">
        <v>114.81</v>
      </c>
      <c r="K973">
        <v>31</v>
      </c>
      <c r="L973">
        <f>_xlfn.XLOOKUP(C973, dim_teams[team_name], dim_teams[team_id], "Not found", 0)</f>
        <v>5</v>
      </c>
    </row>
    <row r="974" spans="1:12" x14ac:dyDescent="0.3">
      <c r="A974" t="s">
        <v>283</v>
      </c>
      <c r="B974">
        <v>2023</v>
      </c>
      <c r="C974" t="s">
        <v>17</v>
      </c>
      <c r="D974">
        <v>10</v>
      </c>
      <c r="E974">
        <v>15</v>
      </c>
      <c r="F974">
        <v>1</v>
      </c>
      <c r="G974">
        <v>0</v>
      </c>
      <c r="H974">
        <v>1</v>
      </c>
      <c r="I974">
        <v>1</v>
      </c>
      <c r="J974">
        <v>66.67</v>
      </c>
      <c r="K974">
        <v>10</v>
      </c>
      <c r="L974">
        <f>_xlfn.XLOOKUP(C974, dim_teams[team_name], dim_teams[team_id], "Not found", 0)</f>
        <v>5</v>
      </c>
    </row>
    <row r="975" spans="1:12" x14ac:dyDescent="0.3">
      <c r="A975" t="s">
        <v>284</v>
      </c>
      <c r="B975">
        <v>2011</v>
      </c>
      <c r="C975" t="s">
        <v>37</v>
      </c>
      <c r="D975">
        <v>3</v>
      </c>
      <c r="E975">
        <v>3</v>
      </c>
      <c r="F975">
        <v>0</v>
      </c>
      <c r="G975">
        <v>0</v>
      </c>
      <c r="H975">
        <v>0</v>
      </c>
      <c r="I975">
        <v>2</v>
      </c>
      <c r="J975">
        <v>100</v>
      </c>
      <c r="L975">
        <f>_xlfn.XLOOKUP(C975, dim_teams[team_name], dim_teams[team_id], "Not found", 0)</f>
        <v>10</v>
      </c>
    </row>
    <row r="976" spans="1:12" x14ac:dyDescent="0.3">
      <c r="A976" t="s">
        <v>285</v>
      </c>
      <c r="B976">
        <v>2011</v>
      </c>
      <c r="C976" t="s">
        <v>23</v>
      </c>
      <c r="D976">
        <v>107</v>
      </c>
      <c r="E976">
        <v>78</v>
      </c>
      <c r="F976">
        <v>10</v>
      </c>
      <c r="G976">
        <v>2</v>
      </c>
      <c r="H976">
        <v>2</v>
      </c>
      <c r="I976">
        <v>5</v>
      </c>
      <c r="J976">
        <v>137.18</v>
      </c>
      <c r="K976">
        <v>53.5</v>
      </c>
      <c r="L976">
        <f>_xlfn.XLOOKUP(C976, dim_teams[team_name], dim_teams[team_id], "Not found", 0)</f>
        <v>7</v>
      </c>
    </row>
    <row r="977" spans="1:12" x14ac:dyDescent="0.3">
      <c r="A977" t="s">
        <v>285</v>
      </c>
      <c r="B977">
        <v>2012</v>
      </c>
      <c r="C977" t="s">
        <v>23</v>
      </c>
      <c r="D977">
        <v>220</v>
      </c>
      <c r="E977">
        <v>222</v>
      </c>
      <c r="F977">
        <v>15</v>
      </c>
      <c r="G977">
        <v>7</v>
      </c>
      <c r="H977">
        <v>9</v>
      </c>
      <c r="I977">
        <v>11</v>
      </c>
      <c r="J977">
        <v>99.1</v>
      </c>
      <c r="K977">
        <v>24.44</v>
      </c>
      <c r="L977">
        <f>_xlfn.XLOOKUP(C977, dim_teams[team_name], dim_teams[team_id], "Not found", 0)</f>
        <v>7</v>
      </c>
    </row>
    <row r="978" spans="1:12" x14ac:dyDescent="0.3">
      <c r="A978" t="s">
        <v>286</v>
      </c>
      <c r="B978">
        <v>2025</v>
      </c>
      <c r="C978" t="s">
        <v>102</v>
      </c>
      <c r="D978">
        <v>67</v>
      </c>
      <c r="E978">
        <v>39</v>
      </c>
      <c r="F978">
        <v>9</v>
      </c>
      <c r="G978">
        <v>3</v>
      </c>
      <c r="H978">
        <v>2</v>
      </c>
      <c r="I978">
        <v>2</v>
      </c>
      <c r="J978">
        <v>171.79</v>
      </c>
      <c r="K978">
        <v>33.5</v>
      </c>
      <c r="L978">
        <f>_xlfn.XLOOKUP(C978, dim_teams[team_name], dim_teams[team_id], "Not found", 0)</f>
        <v>19</v>
      </c>
    </row>
    <row r="979" spans="1:12" x14ac:dyDescent="0.3">
      <c r="A979" t="s">
        <v>287</v>
      </c>
      <c r="B979">
        <v>2008</v>
      </c>
      <c r="C979" t="s">
        <v>21</v>
      </c>
      <c r="D979">
        <v>199</v>
      </c>
      <c r="E979">
        <v>183</v>
      </c>
      <c r="F979">
        <v>23</v>
      </c>
      <c r="G979">
        <v>4</v>
      </c>
      <c r="H979">
        <v>11</v>
      </c>
      <c r="I979">
        <v>11</v>
      </c>
      <c r="J979">
        <v>108.74</v>
      </c>
      <c r="K979">
        <v>18.09</v>
      </c>
      <c r="L979">
        <f>_xlfn.XLOOKUP(C979, dim_teams[team_name], dim_teams[team_id], "Not found", 0)</f>
        <v>2</v>
      </c>
    </row>
    <row r="980" spans="1:12" x14ac:dyDescent="0.3">
      <c r="A980" t="s">
        <v>287</v>
      </c>
      <c r="B980">
        <v>2009</v>
      </c>
      <c r="C980" t="s">
        <v>21</v>
      </c>
      <c r="D980">
        <v>361</v>
      </c>
      <c r="E980">
        <v>331</v>
      </c>
      <c r="F980">
        <v>37</v>
      </c>
      <c r="G980">
        <v>8</v>
      </c>
      <c r="H980">
        <v>13</v>
      </c>
      <c r="I980">
        <v>15</v>
      </c>
      <c r="J980">
        <v>109.06</v>
      </c>
      <c r="K980">
        <v>27.77</v>
      </c>
      <c r="L980">
        <f>_xlfn.XLOOKUP(C980, dim_teams[team_name], dim_teams[team_id], "Not found", 0)</f>
        <v>2</v>
      </c>
    </row>
    <row r="981" spans="1:12" x14ac:dyDescent="0.3">
      <c r="A981" t="s">
        <v>287</v>
      </c>
      <c r="B981">
        <v>2010</v>
      </c>
      <c r="C981" t="s">
        <v>21</v>
      </c>
      <c r="D981">
        <v>572</v>
      </c>
      <c r="E981">
        <v>489</v>
      </c>
      <c r="F981">
        <v>67</v>
      </c>
      <c r="G981">
        <v>9</v>
      </c>
      <c r="H981">
        <v>12</v>
      </c>
      <c r="I981">
        <v>16</v>
      </c>
      <c r="J981">
        <v>116.97</v>
      </c>
      <c r="K981">
        <v>47.67</v>
      </c>
      <c r="L981">
        <f>_xlfn.XLOOKUP(C981, dim_teams[team_name], dim_teams[team_id], "Not found", 0)</f>
        <v>2</v>
      </c>
    </row>
    <row r="982" spans="1:12" x14ac:dyDescent="0.3">
      <c r="A982" t="s">
        <v>287</v>
      </c>
      <c r="B982">
        <v>2011</v>
      </c>
      <c r="C982" t="s">
        <v>19</v>
      </c>
      <c r="D982">
        <v>424</v>
      </c>
      <c r="E982">
        <v>378</v>
      </c>
      <c r="F982">
        <v>46</v>
      </c>
      <c r="G982">
        <v>6</v>
      </c>
      <c r="H982">
        <v>15</v>
      </c>
      <c r="I982">
        <v>14</v>
      </c>
      <c r="J982">
        <v>112.17</v>
      </c>
      <c r="K982">
        <v>28.27</v>
      </c>
      <c r="L982">
        <f>_xlfn.XLOOKUP(C982, dim_teams[team_name], dim_teams[team_id], "Not found", 0)</f>
        <v>1</v>
      </c>
    </row>
    <row r="983" spans="1:12" x14ac:dyDescent="0.3">
      <c r="A983" t="s">
        <v>287</v>
      </c>
      <c r="B983">
        <v>2012</v>
      </c>
      <c r="C983" t="s">
        <v>19</v>
      </c>
      <c r="D983">
        <v>409</v>
      </c>
      <c r="E983">
        <v>382</v>
      </c>
      <c r="F983">
        <v>34</v>
      </c>
      <c r="G983">
        <v>10</v>
      </c>
      <c r="H983">
        <v>17</v>
      </c>
      <c r="I983">
        <v>17</v>
      </c>
      <c r="J983">
        <v>107.07</v>
      </c>
      <c r="K983">
        <v>24.06</v>
      </c>
      <c r="L983">
        <f>_xlfn.XLOOKUP(C983, dim_teams[team_name], dim_teams[team_id], "Not found", 0)</f>
        <v>1</v>
      </c>
    </row>
    <row r="984" spans="1:12" x14ac:dyDescent="0.3">
      <c r="A984" t="s">
        <v>287</v>
      </c>
      <c r="B984">
        <v>2013</v>
      </c>
      <c r="C984" t="s">
        <v>19</v>
      </c>
      <c r="D984">
        <v>311</v>
      </c>
      <c r="E984">
        <v>322</v>
      </c>
      <c r="F984">
        <v>35</v>
      </c>
      <c r="G984">
        <v>3</v>
      </c>
      <c r="H984">
        <v>15</v>
      </c>
      <c r="I984">
        <v>15</v>
      </c>
      <c r="J984">
        <v>96.58</v>
      </c>
      <c r="K984">
        <v>20.73</v>
      </c>
      <c r="L984">
        <f>_xlfn.XLOOKUP(C984, dim_teams[team_name], dim_teams[team_id], "Not found", 0)</f>
        <v>1</v>
      </c>
    </row>
    <row r="985" spans="1:12" x14ac:dyDescent="0.3">
      <c r="A985" t="s">
        <v>287</v>
      </c>
      <c r="B985">
        <v>2014</v>
      </c>
      <c r="C985" t="s">
        <v>19</v>
      </c>
      <c r="D985">
        <v>151</v>
      </c>
      <c r="E985">
        <v>128</v>
      </c>
      <c r="F985">
        <v>13</v>
      </c>
      <c r="G985">
        <v>4</v>
      </c>
      <c r="H985">
        <v>6</v>
      </c>
      <c r="I985">
        <v>7</v>
      </c>
      <c r="J985">
        <v>117.97</v>
      </c>
      <c r="K985">
        <v>25.17</v>
      </c>
      <c r="L985">
        <f>_xlfn.XLOOKUP(C985, dim_teams[team_name], dim_teams[team_id], "Not found", 0)</f>
        <v>1</v>
      </c>
    </row>
    <row r="986" spans="1:12" x14ac:dyDescent="0.3">
      <c r="A986" t="s">
        <v>288</v>
      </c>
      <c r="B986">
        <v>2014</v>
      </c>
      <c r="C986" t="s">
        <v>23</v>
      </c>
      <c r="D986">
        <v>1</v>
      </c>
      <c r="E986">
        <v>3</v>
      </c>
      <c r="F986">
        <v>0</v>
      </c>
      <c r="G986">
        <v>0</v>
      </c>
      <c r="H986">
        <v>1</v>
      </c>
      <c r="I986">
        <v>2</v>
      </c>
      <c r="J986">
        <v>33.33</v>
      </c>
      <c r="K986">
        <v>1</v>
      </c>
      <c r="L986">
        <f>_xlfn.XLOOKUP(C986, dim_teams[team_name], dim_teams[team_id], "Not found", 0)</f>
        <v>7</v>
      </c>
    </row>
    <row r="987" spans="1:12" x14ac:dyDescent="0.3">
      <c r="A987" t="s">
        <v>288</v>
      </c>
      <c r="B987">
        <v>2016</v>
      </c>
      <c r="C987" t="s">
        <v>23</v>
      </c>
      <c r="D987">
        <v>8</v>
      </c>
      <c r="E987">
        <v>11</v>
      </c>
      <c r="F987">
        <v>1</v>
      </c>
      <c r="G987">
        <v>0</v>
      </c>
      <c r="H987">
        <v>1</v>
      </c>
      <c r="I987">
        <v>2</v>
      </c>
      <c r="J987">
        <v>72.73</v>
      </c>
      <c r="K987">
        <v>8</v>
      </c>
      <c r="L987">
        <f>_xlfn.XLOOKUP(C987, dim_teams[team_name], dim_teams[team_id], "Not found", 0)</f>
        <v>7</v>
      </c>
    </row>
    <row r="988" spans="1:12" x14ac:dyDescent="0.3">
      <c r="A988" t="s">
        <v>288</v>
      </c>
      <c r="B988">
        <v>2017</v>
      </c>
      <c r="C988" t="s">
        <v>23</v>
      </c>
      <c r="D988">
        <v>16</v>
      </c>
      <c r="E988">
        <v>12</v>
      </c>
      <c r="F988">
        <v>0</v>
      </c>
      <c r="G988">
        <v>1</v>
      </c>
      <c r="H988">
        <v>1</v>
      </c>
      <c r="I988">
        <v>2</v>
      </c>
      <c r="J988">
        <v>133.33000000000001</v>
      </c>
      <c r="K988">
        <v>16</v>
      </c>
      <c r="L988">
        <f>_xlfn.XLOOKUP(C988, dim_teams[team_name], dim_teams[team_id], "Not found", 0)</f>
        <v>7</v>
      </c>
    </row>
    <row r="989" spans="1:12" x14ac:dyDescent="0.3">
      <c r="A989" t="s">
        <v>288</v>
      </c>
      <c r="B989">
        <v>2018</v>
      </c>
      <c r="C989" t="s">
        <v>23</v>
      </c>
      <c r="D989">
        <v>10</v>
      </c>
      <c r="E989">
        <v>10</v>
      </c>
      <c r="F989">
        <v>1</v>
      </c>
      <c r="G989">
        <v>0</v>
      </c>
      <c r="H989">
        <v>1</v>
      </c>
      <c r="I989">
        <v>3</v>
      </c>
      <c r="J989">
        <v>100</v>
      </c>
      <c r="K989">
        <v>10</v>
      </c>
      <c r="L989">
        <f>_xlfn.XLOOKUP(C989, dim_teams[team_name], dim_teams[team_id], "Not found", 0)</f>
        <v>7</v>
      </c>
    </row>
    <row r="990" spans="1:12" x14ac:dyDescent="0.3">
      <c r="A990" t="s">
        <v>288</v>
      </c>
      <c r="B990">
        <v>2019</v>
      </c>
      <c r="C990" t="s">
        <v>23</v>
      </c>
      <c r="D990">
        <v>0</v>
      </c>
      <c r="E990">
        <v>1</v>
      </c>
      <c r="F990">
        <v>0</v>
      </c>
      <c r="G990">
        <v>0</v>
      </c>
      <c r="H990">
        <v>0</v>
      </c>
      <c r="I990">
        <v>1</v>
      </c>
      <c r="J990">
        <v>0</v>
      </c>
      <c r="L990">
        <f>_xlfn.XLOOKUP(C990, dim_teams[team_name], dim_teams[team_id], "Not found", 0)</f>
        <v>7</v>
      </c>
    </row>
    <row r="991" spans="1:12" x14ac:dyDescent="0.3">
      <c r="A991" t="s">
        <v>288</v>
      </c>
      <c r="B991">
        <v>2020</v>
      </c>
      <c r="C991" t="s">
        <v>23</v>
      </c>
      <c r="D991">
        <v>5</v>
      </c>
      <c r="E991">
        <v>3</v>
      </c>
      <c r="F991">
        <v>0</v>
      </c>
      <c r="G991">
        <v>0</v>
      </c>
      <c r="H991">
        <v>0</v>
      </c>
      <c r="I991">
        <v>1</v>
      </c>
      <c r="J991">
        <v>166.67</v>
      </c>
      <c r="L991">
        <f>_xlfn.XLOOKUP(C991, dim_teams[team_name], dim_teams[team_id], "Not found", 0)</f>
        <v>7</v>
      </c>
    </row>
    <row r="992" spans="1:12" x14ac:dyDescent="0.3">
      <c r="A992" t="s">
        <v>288</v>
      </c>
      <c r="B992">
        <v>2021</v>
      </c>
      <c r="C992" t="s">
        <v>23</v>
      </c>
      <c r="D992">
        <v>16</v>
      </c>
      <c r="E992">
        <v>17</v>
      </c>
      <c r="F992">
        <v>2</v>
      </c>
      <c r="G992">
        <v>0</v>
      </c>
      <c r="H992">
        <v>3</v>
      </c>
      <c r="I992">
        <v>7</v>
      </c>
      <c r="J992">
        <v>94.12</v>
      </c>
      <c r="K992">
        <v>5.33</v>
      </c>
      <c r="L992">
        <f>_xlfn.XLOOKUP(C992, dim_teams[team_name], dim_teams[team_id], "Not found", 0)</f>
        <v>7</v>
      </c>
    </row>
    <row r="993" spans="1:12" x14ac:dyDescent="0.3">
      <c r="A993" t="s">
        <v>288</v>
      </c>
      <c r="B993">
        <v>2022</v>
      </c>
      <c r="C993" t="s">
        <v>23</v>
      </c>
      <c r="D993">
        <v>0</v>
      </c>
      <c r="E993">
        <v>8</v>
      </c>
      <c r="F993">
        <v>0</v>
      </c>
      <c r="G993">
        <v>0</v>
      </c>
      <c r="H993">
        <v>1</v>
      </c>
      <c r="I993">
        <v>4</v>
      </c>
      <c r="J993">
        <v>0</v>
      </c>
      <c r="K993">
        <v>0</v>
      </c>
      <c r="L993">
        <f>_xlfn.XLOOKUP(C993, dim_teams[team_name], dim_teams[team_id], "Not found", 0)</f>
        <v>7</v>
      </c>
    </row>
    <row r="994" spans="1:12" x14ac:dyDescent="0.3">
      <c r="A994" t="s">
        <v>288</v>
      </c>
      <c r="B994">
        <v>2024</v>
      </c>
      <c r="C994" t="s">
        <v>23</v>
      </c>
      <c r="D994">
        <v>12</v>
      </c>
      <c r="E994">
        <v>12</v>
      </c>
      <c r="F994">
        <v>1</v>
      </c>
      <c r="G994">
        <v>0</v>
      </c>
      <c r="H994">
        <v>0</v>
      </c>
      <c r="I994">
        <v>4</v>
      </c>
      <c r="J994">
        <v>100</v>
      </c>
      <c r="L994">
        <f>_xlfn.XLOOKUP(C994, dim_teams[team_name], dim_teams[team_id], "Not found", 0)</f>
        <v>7</v>
      </c>
    </row>
    <row r="995" spans="1:12" x14ac:dyDescent="0.3">
      <c r="A995" t="s">
        <v>288</v>
      </c>
      <c r="B995">
        <v>2025</v>
      </c>
      <c r="C995" t="s">
        <v>23</v>
      </c>
      <c r="D995">
        <v>0</v>
      </c>
      <c r="E995">
        <v>1</v>
      </c>
      <c r="F995">
        <v>0</v>
      </c>
      <c r="G995">
        <v>0</v>
      </c>
      <c r="H995">
        <v>0</v>
      </c>
      <c r="I995">
        <v>1</v>
      </c>
      <c r="J995">
        <v>0</v>
      </c>
      <c r="L995">
        <f>_xlfn.XLOOKUP(C995, dim_teams[team_name], dim_teams[team_id], "Not found", 0)</f>
        <v>7</v>
      </c>
    </row>
    <row r="996" spans="1:12" x14ac:dyDescent="0.3">
      <c r="A996" t="s">
        <v>289</v>
      </c>
      <c r="B996">
        <v>2017</v>
      </c>
      <c r="C996" t="s">
        <v>66</v>
      </c>
      <c r="D996">
        <v>59</v>
      </c>
      <c r="E996">
        <v>40</v>
      </c>
      <c r="F996">
        <v>9</v>
      </c>
      <c r="G996">
        <v>1</v>
      </c>
      <c r="H996">
        <v>2</v>
      </c>
      <c r="I996">
        <v>3</v>
      </c>
      <c r="J996">
        <v>147.5</v>
      </c>
      <c r="K996">
        <v>29.5</v>
      </c>
      <c r="L996">
        <f>_xlfn.XLOOKUP(C996, dim_teams[team_name], dim_teams[team_id], "Not found", 0)</f>
        <v>13</v>
      </c>
    </row>
    <row r="997" spans="1:12" x14ac:dyDescent="0.3">
      <c r="A997" t="s">
        <v>289</v>
      </c>
      <c r="B997">
        <v>2018</v>
      </c>
      <c r="C997" t="s">
        <v>32</v>
      </c>
      <c r="D997">
        <v>120</v>
      </c>
      <c r="E997">
        <v>94</v>
      </c>
      <c r="F997">
        <v>9</v>
      </c>
      <c r="G997">
        <v>7</v>
      </c>
      <c r="H997">
        <v>4</v>
      </c>
      <c r="I997">
        <v>5</v>
      </c>
      <c r="J997">
        <v>127.66</v>
      </c>
      <c r="K997">
        <v>30</v>
      </c>
      <c r="L997">
        <f>_xlfn.XLOOKUP(C997, dim_teams[team_name], dim_teams[team_id], "Not found", 0)</f>
        <v>6</v>
      </c>
    </row>
    <row r="998" spans="1:12" x14ac:dyDescent="0.3">
      <c r="A998" t="s">
        <v>289</v>
      </c>
      <c r="B998">
        <v>2021</v>
      </c>
      <c r="C998" t="s">
        <v>13</v>
      </c>
      <c r="D998">
        <v>150</v>
      </c>
      <c r="E998">
        <v>120</v>
      </c>
      <c r="F998">
        <v>21</v>
      </c>
      <c r="G998">
        <v>1</v>
      </c>
      <c r="H998">
        <v>5</v>
      </c>
      <c r="I998">
        <v>5</v>
      </c>
      <c r="J998">
        <v>125</v>
      </c>
      <c r="K998">
        <v>30</v>
      </c>
      <c r="L998">
        <f>_xlfn.XLOOKUP(C998, dim_teams[team_name], dim_teams[team_id], "Not found", 0)</f>
        <v>11</v>
      </c>
    </row>
    <row r="999" spans="1:12" x14ac:dyDescent="0.3">
      <c r="A999" t="s">
        <v>289</v>
      </c>
      <c r="B999">
        <v>2023</v>
      </c>
      <c r="C999" t="s">
        <v>19</v>
      </c>
      <c r="D999">
        <v>285</v>
      </c>
      <c r="E999">
        <v>187</v>
      </c>
      <c r="F999">
        <v>36</v>
      </c>
      <c r="G999">
        <v>12</v>
      </c>
      <c r="H999">
        <v>8</v>
      </c>
      <c r="I999">
        <v>8</v>
      </c>
      <c r="J999">
        <v>152.41</v>
      </c>
      <c r="K999">
        <v>35.619999999999997</v>
      </c>
      <c r="L999">
        <f>_xlfn.XLOOKUP(C999, dim_teams[team_name], dim_teams[team_id], "Not found", 0)</f>
        <v>1</v>
      </c>
    </row>
    <row r="1000" spans="1:12" x14ac:dyDescent="0.3">
      <c r="A1000" t="s">
        <v>290</v>
      </c>
      <c r="B1000">
        <v>2011</v>
      </c>
      <c r="C1000" t="s">
        <v>21</v>
      </c>
      <c r="D1000">
        <v>18</v>
      </c>
      <c r="E1000">
        <v>16</v>
      </c>
      <c r="F1000">
        <v>1</v>
      </c>
      <c r="G1000">
        <v>1</v>
      </c>
      <c r="H1000">
        <v>2</v>
      </c>
      <c r="I1000">
        <v>3</v>
      </c>
      <c r="J1000">
        <v>112.5</v>
      </c>
      <c r="K1000">
        <v>9</v>
      </c>
      <c r="L1000">
        <f>_xlfn.XLOOKUP(C1000, dim_teams[team_name], dim_teams[team_id], "Not found", 0)</f>
        <v>2</v>
      </c>
    </row>
    <row r="1001" spans="1:12" x14ac:dyDescent="0.3">
      <c r="A1001" t="s">
        <v>291</v>
      </c>
      <c r="B1001">
        <v>2019</v>
      </c>
      <c r="C1001" t="s">
        <v>19</v>
      </c>
      <c r="D1001">
        <v>0</v>
      </c>
      <c r="E1001">
        <v>1</v>
      </c>
      <c r="F1001">
        <v>0</v>
      </c>
      <c r="G1001">
        <v>0</v>
      </c>
      <c r="H1001">
        <v>1</v>
      </c>
      <c r="I1001">
        <v>1</v>
      </c>
      <c r="J1001">
        <v>0</v>
      </c>
      <c r="K1001">
        <v>0</v>
      </c>
      <c r="L1001">
        <f>_xlfn.XLOOKUP(C1001, dim_teams[team_name], dim_teams[team_id], "Not found", 0)</f>
        <v>1</v>
      </c>
    </row>
    <row r="1002" spans="1:12" x14ac:dyDescent="0.3">
      <c r="A1002" t="s">
        <v>292</v>
      </c>
      <c r="B1002">
        <v>2020</v>
      </c>
      <c r="C1002" t="s">
        <v>23</v>
      </c>
      <c r="D1002">
        <v>15</v>
      </c>
      <c r="E1002">
        <v>13</v>
      </c>
      <c r="F1002">
        <v>2</v>
      </c>
      <c r="G1002">
        <v>0</v>
      </c>
      <c r="H1002">
        <v>1</v>
      </c>
      <c r="I1002">
        <v>2</v>
      </c>
      <c r="J1002">
        <v>115.38</v>
      </c>
      <c r="K1002">
        <v>15</v>
      </c>
      <c r="L1002">
        <f>_xlfn.XLOOKUP(C1002, dim_teams[team_name], dim_teams[team_id], "Not found", 0)</f>
        <v>7</v>
      </c>
    </row>
    <row r="1003" spans="1:12" x14ac:dyDescent="0.3">
      <c r="A1003" t="s">
        <v>293</v>
      </c>
      <c r="B1003">
        <v>2019</v>
      </c>
      <c r="C1003" t="s">
        <v>13</v>
      </c>
      <c r="D1003">
        <v>445</v>
      </c>
      <c r="E1003">
        <v>281</v>
      </c>
      <c r="F1003">
        <v>48</v>
      </c>
      <c r="G1003">
        <v>18</v>
      </c>
      <c r="H1003">
        <v>8</v>
      </c>
      <c r="I1003">
        <v>10</v>
      </c>
      <c r="J1003">
        <v>158.36000000000001</v>
      </c>
      <c r="K1003">
        <v>55.62</v>
      </c>
      <c r="L1003">
        <f>_xlfn.XLOOKUP(C1003, dim_teams[team_name], dim_teams[team_id], "Not found", 0)</f>
        <v>11</v>
      </c>
    </row>
    <row r="1004" spans="1:12" x14ac:dyDescent="0.3">
      <c r="A1004" t="s">
        <v>293</v>
      </c>
      <c r="B1004">
        <v>2020</v>
      </c>
      <c r="C1004" t="s">
        <v>13</v>
      </c>
      <c r="D1004">
        <v>345</v>
      </c>
      <c r="E1004">
        <v>272</v>
      </c>
      <c r="F1004">
        <v>31</v>
      </c>
      <c r="G1004">
        <v>13</v>
      </c>
      <c r="H1004">
        <v>12</v>
      </c>
      <c r="I1004">
        <v>11</v>
      </c>
      <c r="J1004">
        <v>126.84</v>
      </c>
      <c r="K1004">
        <v>28.75</v>
      </c>
      <c r="L1004">
        <f>_xlfn.XLOOKUP(C1004, dim_teams[team_name], dim_teams[team_id], "Not found", 0)</f>
        <v>11</v>
      </c>
    </row>
    <row r="1005" spans="1:12" x14ac:dyDescent="0.3">
      <c r="A1005" t="s">
        <v>293</v>
      </c>
      <c r="B1005">
        <v>2021</v>
      </c>
      <c r="C1005" t="s">
        <v>13</v>
      </c>
      <c r="D1005">
        <v>248</v>
      </c>
      <c r="E1005">
        <v>175</v>
      </c>
      <c r="F1005">
        <v>20</v>
      </c>
      <c r="G1005">
        <v>15</v>
      </c>
      <c r="H1005">
        <v>7</v>
      </c>
      <c r="I1005">
        <v>7</v>
      </c>
      <c r="J1005">
        <v>141.71</v>
      </c>
      <c r="K1005">
        <v>35.43</v>
      </c>
      <c r="L1005">
        <f>_xlfn.XLOOKUP(C1005, dim_teams[team_name], dim_teams[team_id], "Not found", 0)</f>
        <v>11</v>
      </c>
    </row>
    <row r="1006" spans="1:12" x14ac:dyDescent="0.3">
      <c r="A1006" t="s">
        <v>293</v>
      </c>
      <c r="B1006">
        <v>2022</v>
      </c>
      <c r="C1006" t="s">
        <v>76</v>
      </c>
      <c r="D1006">
        <v>253</v>
      </c>
      <c r="E1006">
        <v>173</v>
      </c>
      <c r="F1006">
        <v>34</v>
      </c>
      <c r="G1006">
        <v>9</v>
      </c>
      <c r="H1006">
        <v>11</v>
      </c>
      <c r="I1006">
        <v>11</v>
      </c>
      <c r="J1006">
        <v>146.24</v>
      </c>
      <c r="K1006">
        <v>23</v>
      </c>
      <c r="L1006">
        <f>_xlfn.XLOOKUP(C1006, dim_teams[team_name], dim_teams[team_id], "Not found", 0)</f>
        <v>16</v>
      </c>
    </row>
    <row r="1007" spans="1:12" x14ac:dyDescent="0.3">
      <c r="A1007" t="s">
        <v>293</v>
      </c>
      <c r="B1007">
        <v>2024</v>
      </c>
      <c r="C1007" t="s">
        <v>76</v>
      </c>
      <c r="D1007">
        <v>298</v>
      </c>
      <c r="E1007">
        <v>195</v>
      </c>
      <c r="F1007">
        <v>33</v>
      </c>
      <c r="G1007">
        <v>14</v>
      </c>
      <c r="H1007">
        <v>10</v>
      </c>
      <c r="I1007">
        <v>11</v>
      </c>
      <c r="J1007">
        <v>152.82</v>
      </c>
      <c r="K1007">
        <v>29.8</v>
      </c>
      <c r="L1007">
        <f>_xlfn.XLOOKUP(C1007, dim_teams[team_name], dim_teams[team_id], "Not found", 0)</f>
        <v>16</v>
      </c>
    </row>
    <row r="1008" spans="1:12" x14ac:dyDescent="0.3">
      <c r="A1008" t="s">
        <v>293</v>
      </c>
      <c r="B1008">
        <v>2025</v>
      </c>
      <c r="C1008" t="s">
        <v>23</v>
      </c>
      <c r="D1008">
        <v>85</v>
      </c>
      <c r="E1008">
        <v>46</v>
      </c>
      <c r="F1008">
        <v>7</v>
      </c>
      <c r="G1008">
        <v>5</v>
      </c>
      <c r="H1008">
        <v>2</v>
      </c>
      <c r="I1008">
        <v>2</v>
      </c>
      <c r="J1008">
        <v>184.78</v>
      </c>
      <c r="K1008">
        <v>42.5</v>
      </c>
      <c r="L1008">
        <f>_xlfn.XLOOKUP(C1008, dim_teams[team_name], dim_teams[team_id], "Not found", 0)</f>
        <v>7</v>
      </c>
    </row>
    <row r="1009" spans="1:12" x14ac:dyDescent="0.3">
      <c r="A1009" t="s">
        <v>294</v>
      </c>
      <c r="B1009">
        <v>2010</v>
      </c>
      <c r="C1009" t="s">
        <v>25</v>
      </c>
      <c r="D1009">
        <v>26</v>
      </c>
      <c r="E1009">
        <v>24</v>
      </c>
      <c r="F1009">
        <v>1</v>
      </c>
      <c r="G1009">
        <v>1</v>
      </c>
      <c r="H1009">
        <v>2</v>
      </c>
      <c r="I1009">
        <v>2</v>
      </c>
      <c r="J1009">
        <v>108.33</v>
      </c>
      <c r="K1009">
        <v>13</v>
      </c>
      <c r="L1009">
        <f>_xlfn.XLOOKUP(C1009, dim_teams[team_name], dim_teams[team_id], "Not found", 0)</f>
        <v>3</v>
      </c>
    </row>
    <row r="1010" spans="1:12" x14ac:dyDescent="0.3">
      <c r="A1010" t="s">
        <v>295</v>
      </c>
      <c r="B1010">
        <v>2022</v>
      </c>
      <c r="C1010" t="s">
        <v>76</v>
      </c>
      <c r="D1010">
        <v>234</v>
      </c>
      <c r="E1010">
        <v>143</v>
      </c>
      <c r="F1010">
        <v>22</v>
      </c>
      <c r="G1010">
        <v>12</v>
      </c>
      <c r="H1010">
        <v>8</v>
      </c>
      <c r="I1010">
        <v>10</v>
      </c>
      <c r="J1010">
        <v>163.63999999999999</v>
      </c>
      <c r="K1010">
        <v>29.25</v>
      </c>
      <c r="L1010">
        <f>_xlfn.XLOOKUP(C1010, dim_teams[team_name], dim_teams[team_id], "Not found", 0)</f>
        <v>16</v>
      </c>
    </row>
    <row r="1011" spans="1:12" x14ac:dyDescent="0.3">
      <c r="A1011" t="s">
        <v>295</v>
      </c>
      <c r="B1011">
        <v>2023</v>
      </c>
      <c r="C1011" t="s">
        <v>76</v>
      </c>
      <c r="D1011">
        <v>309</v>
      </c>
      <c r="E1011">
        <v>196</v>
      </c>
      <c r="F1011">
        <v>22</v>
      </c>
      <c r="G1011">
        <v>21</v>
      </c>
      <c r="H1011">
        <v>13</v>
      </c>
      <c r="I1011">
        <v>14</v>
      </c>
      <c r="J1011">
        <v>157.65</v>
      </c>
      <c r="K1011">
        <v>23.77</v>
      </c>
      <c r="L1011">
        <f>_xlfn.XLOOKUP(C1011, dim_teams[team_name], dim_teams[team_id], "Not found", 0)</f>
        <v>16</v>
      </c>
    </row>
    <row r="1012" spans="1:12" x14ac:dyDescent="0.3">
      <c r="A1012" t="s">
        <v>295</v>
      </c>
      <c r="B1012">
        <v>2024</v>
      </c>
      <c r="C1012" t="s">
        <v>76</v>
      </c>
      <c r="D1012">
        <v>187</v>
      </c>
      <c r="E1012">
        <v>142</v>
      </c>
      <c r="F1012">
        <v>9</v>
      </c>
      <c r="G1012">
        <v>12</v>
      </c>
      <c r="H1012">
        <v>11</v>
      </c>
      <c r="I1012">
        <v>12</v>
      </c>
      <c r="J1012">
        <v>131.69</v>
      </c>
      <c r="K1012">
        <v>17</v>
      </c>
      <c r="L1012">
        <f>_xlfn.XLOOKUP(C1012, dim_teams[team_name], dim_teams[team_id], "Not found", 0)</f>
        <v>16</v>
      </c>
    </row>
    <row r="1013" spans="1:12" x14ac:dyDescent="0.3">
      <c r="A1013" t="s">
        <v>295</v>
      </c>
      <c r="B1013">
        <v>2025</v>
      </c>
      <c r="C1013" t="s">
        <v>102</v>
      </c>
      <c r="D1013">
        <v>261</v>
      </c>
      <c r="E1013">
        <v>147</v>
      </c>
      <c r="F1013">
        <v>24</v>
      </c>
      <c r="G1013">
        <v>17</v>
      </c>
      <c r="H1013">
        <v>7</v>
      </c>
      <c r="I1013">
        <v>11</v>
      </c>
      <c r="J1013">
        <v>177.55</v>
      </c>
      <c r="K1013">
        <v>37.29</v>
      </c>
      <c r="L1013">
        <f>_xlfn.XLOOKUP(C1013, dim_teams[team_name], dim_teams[team_id], "Not found", 0)</f>
        <v>19</v>
      </c>
    </row>
    <row r="1014" spans="1:12" x14ac:dyDescent="0.3">
      <c r="A1014" t="s">
        <v>296</v>
      </c>
      <c r="B1014">
        <v>2014</v>
      </c>
      <c r="C1014" t="s">
        <v>13</v>
      </c>
      <c r="D1014">
        <v>16</v>
      </c>
      <c r="E1014">
        <v>12</v>
      </c>
      <c r="F1014">
        <v>2</v>
      </c>
      <c r="G1014">
        <v>1</v>
      </c>
      <c r="H1014">
        <v>1</v>
      </c>
      <c r="I1014">
        <v>1</v>
      </c>
      <c r="J1014">
        <v>133.33000000000001</v>
      </c>
      <c r="K1014">
        <v>16</v>
      </c>
      <c r="L1014">
        <f>_xlfn.XLOOKUP(C1014, dim_teams[team_name], dim_teams[team_id], "Not found", 0)</f>
        <v>11</v>
      </c>
    </row>
    <row r="1015" spans="1:12" x14ac:dyDescent="0.3">
      <c r="A1015" t="s">
        <v>296</v>
      </c>
      <c r="B1015">
        <v>2016</v>
      </c>
      <c r="C1015" t="s">
        <v>19</v>
      </c>
      <c r="D1015">
        <v>22</v>
      </c>
      <c r="E1015">
        <v>19</v>
      </c>
      <c r="F1015">
        <v>2</v>
      </c>
      <c r="G1015">
        <v>1</v>
      </c>
      <c r="H1015">
        <v>4</v>
      </c>
      <c r="I1015">
        <v>4</v>
      </c>
      <c r="J1015">
        <v>115.79</v>
      </c>
      <c r="K1015">
        <v>5.5</v>
      </c>
      <c r="L1015">
        <f>_xlfn.XLOOKUP(C1015, dim_teams[team_name], dim_teams[team_id], "Not found", 0)</f>
        <v>1</v>
      </c>
    </row>
    <row r="1016" spans="1:12" x14ac:dyDescent="0.3">
      <c r="A1016" t="s">
        <v>296</v>
      </c>
      <c r="B1016">
        <v>2020</v>
      </c>
      <c r="C1016" t="s">
        <v>13</v>
      </c>
      <c r="D1016">
        <v>66</v>
      </c>
      <c r="E1016">
        <v>53</v>
      </c>
      <c r="F1016">
        <v>5</v>
      </c>
      <c r="G1016">
        <v>3</v>
      </c>
      <c r="H1016">
        <v>2</v>
      </c>
      <c r="I1016">
        <v>4</v>
      </c>
      <c r="J1016">
        <v>124.53</v>
      </c>
      <c r="K1016">
        <v>33</v>
      </c>
      <c r="L1016">
        <f>_xlfn.XLOOKUP(C1016, dim_teams[team_name], dim_teams[team_id], "Not found", 0)</f>
        <v>11</v>
      </c>
    </row>
    <row r="1017" spans="1:12" x14ac:dyDescent="0.3">
      <c r="A1017" t="s">
        <v>296</v>
      </c>
      <c r="B1017">
        <v>2021</v>
      </c>
      <c r="C1017" t="s">
        <v>13</v>
      </c>
      <c r="D1017">
        <v>85</v>
      </c>
      <c r="E1017">
        <v>70</v>
      </c>
      <c r="F1017">
        <v>2</v>
      </c>
      <c r="G1017">
        <v>6</v>
      </c>
      <c r="H1017">
        <v>6</v>
      </c>
      <c r="I1017">
        <v>7</v>
      </c>
      <c r="J1017">
        <v>121.43</v>
      </c>
      <c r="K1017">
        <v>14.17</v>
      </c>
      <c r="L1017">
        <f>_xlfn.XLOOKUP(C1017, dim_teams[team_name], dim_teams[team_id], "Not found", 0)</f>
        <v>11</v>
      </c>
    </row>
    <row r="1018" spans="1:12" x14ac:dyDescent="0.3">
      <c r="A1018" t="s">
        <v>296</v>
      </c>
      <c r="B1018">
        <v>2022</v>
      </c>
      <c r="C1018" t="s">
        <v>15</v>
      </c>
      <c r="D1018">
        <v>58</v>
      </c>
      <c r="E1018">
        <v>44</v>
      </c>
      <c r="F1018">
        <v>2</v>
      </c>
      <c r="G1018">
        <v>6</v>
      </c>
      <c r="H1018">
        <v>6</v>
      </c>
      <c r="I1018">
        <v>8</v>
      </c>
      <c r="J1018">
        <v>131.82</v>
      </c>
      <c r="K1018">
        <v>9.67</v>
      </c>
      <c r="L1018">
        <f>_xlfn.XLOOKUP(C1018, dim_teams[team_name], dim_teams[team_id], "Not found", 0)</f>
        <v>17</v>
      </c>
    </row>
    <row r="1019" spans="1:12" x14ac:dyDescent="0.3">
      <c r="A1019" t="s">
        <v>296</v>
      </c>
      <c r="B1019">
        <v>2023</v>
      </c>
      <c r="C1019" t="s">
        <v>17</v>
      </c>
      <c r="D1019">
        <v>12</v>
      </c>
      <c r="E1019">
        <v>11</v>
      </c>
      <c r="F1019">
        <v>0</v>
      </c>
      <c r="G1019">
        <v>1</v>
      </c>
      <c r="H1019">
        <v>2</v>
      </c>
      <c r="I1019">
        <v>3</v>
      </c>
      <c r="J1019">
        <v>109.09</v>
      </c>
      <c r="K1019">
        <v>6</v>
      </c>
      <c r="L1019">
        <f>_xlfn.XLOOKUP(C1019, dim_teams[team_name], dim_teams[team_id], "Not found", 0)</f>
        <v>5</v>
      </c>
    </row>
    <row r="1020" spans="1:12" x14ac:dyDescent="0.3">
      <c r="A1020" t="s">
        <v>297</v>
      </c>
      <c r="B1020">
        <v>2023</v>
      </c>
      <c r="C1020" t="s">
        <v>23</v>
      </c>
      <c r="D1020">
        <v>6</v>
      </c>
      <c r="E1020">
        <v>9</v>
      </c>
      <c r="F1020">
        <v>0</v>
      </c>
      <c r="G1020">
        <v>0</v>
      </c>
      <c r="H1020">
        <v>0</v>
      </c>
      <c r="I1020">
        <v>2</v>
      </c>
      <c r="J1020">
        <v>66.67</v>
      </c>
      <c r="L1020">
        <f>_xlfn.XLOOKUP(C1020, dim_teams[team_name], dim_teams[team_id], "Not found", 0)</f>
        <v>7</v>
      </c>
    </row>
    <row r="1021" spans="1:12" x14ac:dyDescent="0.3">
      <c r="A1021" t="s">
        <v>298</v>
      </c>
      <c r="B1021">
        <v>2009</v>
      </c>
      <c r="C1021" t="s">
        <v>23</v>
      </c>
      <c r="D1021">
        <v>372</v>
      </c>
      <c r="E1021">
        <v>325</v>
      </c>
      <c r="F1021">
        <v>26</v>
      </c>
      <c r="G1021">
        <v>11</v>
      </c>
      <c r="H1021">
        <v>8</v>
      </c>
      <c r="I1021">
        <v>12</v>
      </c>
      <c r="J1021">
        <v>114.46</v>
      </c>
      <c r="K1021">
        <v>46.5</v>
      </c>
      <c r="L1021">
        <f>_xlfn.XLOOKUP(C1021, dim_teams[team_name], dim_teams[team_id], "Not found", 0)</f>
        <v>7</v>
      </c>
    </row>
    <row r="1022" spans="1:12" x14ac:dyDescent="0.3">
      <c r="A1022" t="s">
        <v>298</v>
      </c>
      <c r="B1022">
        <v>2010</v>
      </c>
      <c r="C1022" t="s">
        <v>23</v>
      </c>
      <c r="D1022">
        <v>157</v>
      </c>
      <c r="E1022">
        <v>131</v>
      </c>
      <c r="F1022">
        <v>13</v>
      </c>
      <c r="G1022">
        <v>5</v>
      </c>
      <c r="H1022">
        <v>4</v>
      </c>
      <c r="I1022">
        <v>7</v>
      </c>
      <c r="J1022">
        <v>119.85</v>
      </c>
      <c r="K1022">
        <v>39.25</v>
      </c>
      <c r="L1022">
        <f>_xlfn.XLOOKUP(C1022, dim_teams[team_name], dim_teams[team_id], "Not found", 0)</f>
        <v>7</v>
      </c>
    </row>
    <row r="1023" spans="1:12" x14ac:dyDescent="0.3">
      <c r="A1023" t="s">
        <v>298</v>
      </c>
      <c r="B1023">
        <v>2011</v>
      </c>
      <c r="C1023" t="s">
        <v>12</v>
      </c>
      <c r="D1023">
        <v>205</v>
      </c>
      <c r="E1023">
        <v>173</v>
      </c>
      <c r="F1023">
        <v>9</v>
      </c>
      <c r="G1023">
        <v>8</v>
      </c>
      <c r="H1023">
        <v>10</v>
      </c>
      <c r="I1023">
        <v>10</v>
      </c>
      <c r="J1023">
        <v>118.5</v>
      </c>
      <c r="K1023">
        <v>20.5</v>
      </c>
      <c r="L1023">
        <f>_xlfn.XLOOKUP(C1023, dim_teams[team_name], dim_teams[team_id], "Not found", 0)</f>
        <v>8</v>
      </c>
    </row>
    <row r="1024" spans="1:12" x14ac:dyDescent="0.3">
      <c r="A1024" t="s">
        <v>298</v>
      </c>
      <c r="B1024">
        <v>2012</v>
      </c>
      <c r="C1024" t="s">
        <v>12</v>
      </c>
      <c r="D1024">
        <v>244</v>
      </c>
      <c r="E1024">
        <v>190</v>
      </c>
      <c r="F1024">
        <v>13</v>
      </c>
      <c r="G1024">
        <v>11</v>
      </c>
      <c r="H1024">
        <v>3</v>
      </c>
      <c r="I1024">
        <v>9</v>
      </c>
      <c r="J1024">
        <v>128.41999999999999</v>
      </c>
      <c r="K1024">
        <v>81.33</v>
      </c>
      <c r="L1024">
        <f>_xlfn.XLOOKUP(C1024, dim_teams[team_name], dim_teams[team_id], "Not found", 0)</f>
        <v>8</v>
      </c>
    </row>
    <row r="1025" spans="1:12" x14ac:dyDescent="0.3">
      <c r="A1025" t="s">
        <v>298</v>
      </c>
      <c r="B1025">
        <v>2014</v>
      </c>
      <c r="C1025" t="s">
        <v>32</v>
      </c>
      <c r="D1025">
        <v>410</v>
      </c>
      <c r="E1025">
        <v>302</v>
      </c>
      <c r="F1025">
        <v>22</v>
      </c>
      <c r="G1025">
        <v>20</v>
      </c>
      <c r="H1025">
        <v>8</v>
      </c>
      <c r="I1025">
        <v>14</v>
      </c>
      <c r="J1025">
        <v>135.76</v>
      </c>
      <c r="K1025">
        <v>51.25</v>
      </c>
      <c r="L1025">
        <f>_xlfn.XLOOKUP(C1025, dim_teams[team_name], dim_teams[team_id], "Not found", 0)</f>
        <v>6</v>
      </c>
    </row>
    <row r="1026" spans="1:12" x14ac:dyDescent="0.3">
      <c r="A1026" t="s">
        <v>298</v>
      </c>
      <c r="B1026">
        <v>2015</v>
      </c>
      <c r="C1026" t="s">
        <v>32</v>
      </c>
      <c r="D1026">
        <v>414</v>
      </c>
      <c r="E1026">
        <v>315</v>
      </c>
      <c r="F1026">
        <v>27</v>
      </c>
      <c r="G1026">
        <v>20</v>
      </c>
      <c r="H1026">
        <v>10</v>
      </c>
      <c r="I1026">
        <v>13</v>
      </c>
      <c r="J1026">
        <v>131.43</v>
      </c>
      <c r="K1026">
        <v>41.4</v>
      </c>
      <c r="L1026">
        <f>_xlfn.XLOOKUP(C1026, dim_teams[team_name], dim_teams[team_id], "Not found", 0)</f>
        <v>6</v>
      </c>
    </row>
    <row r="1027" spans="1:12" x14ac:dyDescent="0.3">
      <c r="A1027" t="s">
        <v>298</v>
      </c>
      <c r="B1027">
        <v>2016</v>
      </c>
      <c r="C1027" t="s">
        <v>32</v>
      </c>
      <c r="D1027">
        <v>191</v>
      </c>
      <c r="E1027">
        <v>155</v>
      </c>
      <c r="F1027">
        <v>13</v>
      </c>
      <c r="G1027">
        <v>3</v>
      </c>
      <c r="H1027">
        <v>5</v>
      </c>
      <c r="I1027">
        <v>8</v>
      </c>
      <c r="J1027">
        <v>123.23</v>
      </c>
      <c r="K1027">
        <v>38.200000000000003</v>
      </c>
      <c r="L1027">
        <f>_xlfn.XLOOKUP(C1027, dim_teams[team_name], dim_teams[team_id], "Not found", 0)</f>
        <v>6</v>
      </c>
    </row>
    <row r="1028" spans="1:12" x14ac:dyDescent="0.3">
      <c r="A1028" t="s">
        <v>298</v>
      </c>
      <c r="B1028">
        <v>2018</v>
      </c>
      <c r="C1028" t="s">
        <v>23</v>
      </c>
      <c r="D1028">
        <v>36</v>
      </c>
      <c r="E1028">
        <v>40</v>
      </c>
      <c r="F1028">
        <v>3</v>
      </c>
      <c r="G1028">
        <v>1</v>
      </c>
      <c r="H1028">
        <v>1</v>
      </c>
      <c r="I1028">
        <v>2</v>
      </c>
      <c r="J1028">
        <v>90</v>
      </c>
      <c r="K1028">
        <v>36</v>
      </c>
      <c r="L1028">
        <f>_xlfn.XLOOKUP(C1028, dim_teams[team_name], dim_teams[team_id], "Not found", 0)</f>
        <v>7</v>
      </c>
    </row>
    <row r="1029" spans="1:12" x14ac:dyDescent="0.3">
      <c r="A1029" t="s">
        <v>299</v>
      </c>
      <c r="B1029">
        <v>2012</v>
      </c>
      <c r="C1029" t="s">
        <v>54</v>
      </c>
      <c r="D1029">
        <v>14</v>
      </c>
      <c r="E1029">
        <v>13</v>
      </c>
      <c r="F1029">
        <v>0</v>
      </c>
      <c r="G1029">
        <v>0</v>
      </c>
      <c r="H1029">
        <v>1</v>
      </c>
      <c r="I1029">
        <v>2</v>
      </c>
      <c r="J1029">
        <v>107.69</v>
      </c>
      <c r="K1029">
        <v>14</v>
      </c>
      <c r="L1029">
        <f>_xlfn.XLOOKUP(C1029, dim_teams[team_name], dim_teams[team_id], "Not found", 0)</f>
        <v>4</v>
      </c>
    </row>
    <row r="1030" spans="1:12" x14ac:dyDescent="0.3">
      <c r="A1030" t="s">
        <v>299</v>
      </c>
      <c r="B1030">
        <v>2013</v>
      </c>
      <c r="C1030" t="s">
        <v>17</v>
      </c>
      <c r="D1030">
        <v>57</v>
      </c>
      <c r="E1030">
        <v>57</v>
      </c>
      <c r="F1030">
        <v>5</v>
      </c>
      <c r="G1030">
        <v>2</v>
      </c>
      <c r="H1030">
        <v>5</v>
      </c>
      <c r="I1030">
        <v>9</v>
      </c>
      <c r="J1030">
        <v>100</v>
      </c>
      <c r="K1030">
        <v>11.4</v>
      </c>
      <c r="L1030">
        <f>_xlfn.XLOOKUP(C1030, dim_teams[team_name], dim_teams[team_id], "Not found", 0)</f>
        <v>5</v>
      </c>
    </row>
    <row r="1031" spans="1:12" x14ac:dyDescent="0.3">
      <c r="A1031" t="s">
        <v>299</v>
      </c>
      <c r="B1031">
        <v>2014</v>
      </c>
      <c r="C1031" t="s">
        <v>17</v>
      </c>
      <c r="D1031">
        <v>181</v>
      </c>
      <c r="E1031">
        <v>93</v>
      </c>
      <c r="F1031">
        <v>8</v>
      </c>
      <c r="G1031">
        <v>16</v>
      </c>
      <c r="H1031">
        <v>5</v>
      </c>
      <c r="I1031">
        <v>12</v>
      </c>
      <c r="J1031">
        <v>194.62</v>
      </c>
      <c r="K1031">
        <v>36.200000000000003</v>
      </c>
      <c r="L1031">
        <f>_xlfn.XLOOKUP(C1031, dim_teams[team_name], dim_teams[team_id], "Not found", 0)</f>
        <v>5</v>
      </c>
    </row>
    <row r="1032" spans="1:12" x14ac:dyDescent="0.3">
      <c r="A1032" t="s">
        <v>299</v>
      </c>
      <c r="B1032">
        <v>2015</v>
      </c>
      <c r="C1032" t="s">
        <v>17</v>
      </c>
      <c r="D1032">
        <v>144</v>
      </c>
      <c r="E1032">
        <v>108</v>
      </c>
      <c r="F1032">
        <v>12</v>
      </c>
      <c r="G1032">
        <v>5</v>
      </c>
      <c r="H1032">
        <v>9</v>
      </c>
      <c r="I1032">
        <v>11</v>
      </c>
      <c r="J1032">
        <v>133.33000000000001</v>
      </c>
      <c r="K1032">
        <v>16</v>
      </c>
      <c r="L1032">
        <f>_xlfn.XLOOKUP(C1032, dim_teams[team_name], dim_teams[team_id], "Not found", 0)</f>
        <v>5</v>
      </c>
    </row>
    <row r="1033" spans="1:12" x14ac:dyDescent="0.3">
      <c r="A1033" t="s">
        <v>299</v>
      </c>
      <c r="B1033">
        <v>2016</v>
      </c>
      <c r="C1033" t="s">
        <v>66</v>
      </c>
      <c r="D1033">
        <v>77</v>
      </c>
      <c r="E1033">
        <v>58</v>
      </c>
      <c r="F1033">
        <v>7</v>
      </c>
      <c r="G1033">
        <v>0</v>
      </c>
      <c r="H1033">
        <v>3</v>
      </c>
      <c r="I1033">
        <v>5</v>
      </c>
      <c r="J1033">
        <v>132.76</v>
      </c>
      <c r="K1033">
        <v>25.67</v>
      </c>
      <c r="L1033">
        <f>_xlfn.XLOOKUP(C1033, dim_teams[team_name], dim_teams[team_id], "Not found", 0)</f>
        <v>13</v>
      </c>
    </row>
    <row r="1034" spans="1:12" x14ac:dyDescent="0.3">
      <c r="A1034" t="s">
        <v>299</v>
      </c>
      <c r="B1034">
        <v>2017</v>
      </c>
      <c r="C1034" t="s">
        <v>66</v>
      </c>
      <c r="D1034">
        <v>54</v>
      </c>
      <c r="E1034">
        <v>56</v>
      </c>
      <c r="F1034">
        <v>4</v>
      </c>
      <c r="G1034">
        <v>0</v>
      </c>
      <c r="H1034">
        <v>5</v>
      </c>
      <c r="I1034">
        <v>6</v>
      </c>
      <c r="J1034">
        <v>96.43</v>
      </c>
      <c r="K1034">
        <v>10.8</v>
      </c>
      <c r="L1034">
        <f>_xlfn.XLOOKUP(C1034, dim_teams[team_name], dim_teams[team_id], "Not found", 0)</f>
        <v>13</v>
      </c>
    </row>
    <row r="1035" spans="1:12" x14ac:dyDescent="0.3">
      <c r="A1035" t="s">
        <v>300</v>
      </c>
      <c r="B1035">
        <v>2025</v>
      </c>
      <c r="C1035" t="s">
        <v>76</v>
      </c>
      <c r="D1035">
        <v>278</v>
      </c>
      <c r="E1035">
        <v>171</v>
      </c>
      <c r="F1035">
        <v>26</v>
      </c>
      <c r="G1035">
        <v>16</v>
      </c>
      <c r="H1035">
        <v>10</v>
      </c>
      <c r="I1035">
        <v>11</v>
      </c>
      <c r="J1035">
        <v>162.57</v>
      </c>
      <c r="K1035">
        <v>27.8</v>
      </c>
      <c r="L1035">
        <f>_xlfn.XLOOKUP(C1035, dim_teams[team_name], dim_teams[team_id], "Not found", 0)</f>
        <v>16</v>
      </c>
    </row>
    <row r="1036" spans="1:12" x14ac:dyDescent="0.3">
      <c r="A1036" t="s">
        <v>301</v>
      </c>
      <c r="B1036">
        <v>2018</v>
      </c>
      <c r="C1036" t="s">
        <v>19</v>
      </c>
      <c r="D1036">
        <v>8</v>
      </c>
      <c r="E1036">
        <v>6</v>
      </c>
      <c r="F1036">
        <v>0</v>
      </c>
      <c r="G1036">
        <v>1</v>
      </c>
      <c r="H1036">
        <v>1</v>
      </c>
      <c r="I1036">
        <v>2</v>
      </c>
      <c r="J1036">
        <v>133.33000000000001</v>
      </c>
      <c r="K1036">
        <v>8</v>
      </c>
      <c r="L1036">
        <f>_xlfn.XLOOKUP(C1036, dim_teams[team_name], dim_teams[team_id], "Not found", 0)</f>
        <v>1</v>
      </c>
    </row>
    <row r="1037" spans="1:12" x14ac:dyDescent="0.3">
      <c r="A1037" t="s">
        <v>302</v>
      </c>
      <c r="B1037">
        <v>2022</v>
      </c>
      <c r="C1037" t="s">
        <v>21</v>
      </c>
      <c r="D1037">
        <v>18</v>
      </c>
      <c r="E1037">
        <v>26</v>
      </c>
      <c r="F1037">
        <v>1</v>
      </c>
      <c r="G1037">
        <v>0</v>
      </c>
      <c r="H1037">
        <v>0</v>
      </c>
      <c r="I1037">
        <v>5</v>
      </c>
      <c r="J1037">
        <v>69.23</v>
      </c>
      <c r="L1037">
        <f>_xlfn.XLOOKUP(C1037, dim_teams[team_name], dim_teams[team_id], "Not found", 0)</f>
        <v>2</v>
      </c>
    </row>
    <row r="1038" spans="1:12" x14ac:dyDescent="0.3">
      <c r="A1038" t="s">
        <v>302</v>
      </c>
      <c r="B1038">
        <v>2023</v>
      </c>
      <c r="C1038" t="s">
        <v>21</v>
      </c>
      <c r="D1038">
        <v>1</v>
      </c>
      <c r="E1038">
        <v>2</v>
      </c>
      <c r="F1038">
        <v>0</v>
      </c>
      <c r="G1038">
        <v>0</v>
      </c>
      <c r="H1038">
        <v>0</v>
      </c>
      <c r="I1038">
        <v>1</v>
      </c>
      <c r="J1038">
        <v>50</v>
      </c>
      <c r="L1038">
        <f>_xlfn.XLOOKUP(C1038, dim_teams[team_name], dim_teams[team_id], "Not found", 0)</f>
        <v>2</v>
      </c>
    </row>
    <row r="1039" spans="1:12" x14ac:dyDescent="0.3">
      <c r="A1039" t="s">
        <v>302</v>
      </c>
      <c r="B1039">
        <v>2025</v>
      </c>
      <c r="C1039" t="s">
        <v>102</v>
      </c>
      <c r="D1039">
        <v>0</v>
      </c>
      <c r="E1039">
        <v>1</v>
      </c>
      <c r="F1039">
        <v>0</v>
      </c>
      <c r="G1039">
        <v>0</v>
      </c>
      <c r="H1039">
        <v>0</v>
      </c>
      <c r="I1039">
        <v>1</v>
      </c>
      <c r="J1039">
        <v>0</v>
      </c>
      <c r="L1039">
        <f>_xlfn.XLOOKUP(C1039, dim_teams[team_name], dim_teams[team_id], "Not found", 0)</f>
        <v>19</v>
      </c>
    </row>
    <row r="1040" spans="1:12" x14ac:dyDescent="0.3">
      <c r="A1040" t="s">
        <v>303</v>
      </c>
      <c r="B1040">
        <v>2008</v>
      </c>
      <c r="C1040" t="s">
        <v>54</v>
      </c>
      <c r="D1040">
        <v>221</v>
      </c>
      <c r="E1040">
        <v>148</v>
      </c>
      <c r="F1040">
        <v>27</v>
      </c>
      <c r="G1040">
        <v>8</v>
      </c>
      <c r="H1040">
        <v>11</v>
      </c>
      <c r="I1040">
        <v>11</v>
      </c>
      <c r="J1040">
        <v>149.32</v>
      </c>
      <c r="K1040">
        <v>20.09</v>
      </c>
      <c r="L1040">
        <f>_xlfn.XLOOKUP(C1040, dim_teams[team_name], dim_teams[team_id], "Not found", 0)</f>
        <v>4</v>
      </c>
    </row>
    <row r="1041" spans="1:12" x14ac:dyDescent="0.3">
      <c r="A1041" t="s">
        <v>303</v>
      </c>
      <c r="B1041">
        <v>2011</v>
      </c>
      <c r="C1041" t="s">
        <v>32</v>
      </c>
      <c r="D1041">
        <v>196</v>
      </c>
      <c r="E1041">
        <v>157</v>
      </c>
      <c r="F1041">
        <v>22</v>
      </c>
      <c r="G1041">
        <v>3</v>
      </c>
      <c r="H1041">
        <v>6</v>
      </c>
      <c r="I1041">
        <v>8</v>
      </c>
      <c r="J1041">
        <v>124.84</v>
      </c>
      <c r="K1041">
        <v>32.67</v>
      </c>
      <c r="L1041">
        <f>_xlfn.XLOOKUP(C1041, dim_teams[team_name], dim_teams[team_id], "Not found", 0)</f>
        <v>6</v>
      </c>
    </row>
    <row r="1042" spans="1:12" x14ac:dyDescent="0.3">
      <c r="A1042" t="s">
        <v>304</v>
      </c>
      <c r="B1042">
        <v>2020</v>
      </c>
      <c r="C1042" t="s">
        <v>21</v>
      </c>
      <c r="D1042">
        <v>78</v>
      </c>
      <c r="E1042">
        <v>77</v>
      </c>
      <c r="F1042">
        <v>9</v>
      </c>
      <c r="G1042">
        <v>1</v>
      </c>
      <c r="H1042">
        <v>4</v>
      </c>
      <c r="I1042">
        <v>5</v>
      </c>
      <c r="J1042">
        <v>101.3</v>
      </c>
      <c r="K1042">
        <v>19.5</v>
      </c>
      <c r="L1042">
        <f>_xlfn.XLOOKUP(C1042, dim_teams[team_name], dim_teams[team_id], "Not found", 0)</f>
        <v>2</v>
      </c>
    </row>
    <row r="1043" spans="1:12" x14ac:dyDescent="0.3">
      <c r="A1043" t="s">
        <v>305</v>
      </c>
      <c r="B1043">
        <v>2010</v>
      </c>
      <c r="C1043" t="s">
        <v>12</v>
      </c>
      <c r="D1043">
        <v>8</v>
      </c>
      <c r="E1043">
        <v>11</v>
      </c>
      <c r="F1043">
        <v>0</v>
      </c>
      <c r="G1043">
        <v>0</v>
      </c>
      <c r="H1043">
        <v>2</v>
      </c>
      <c r="I1043">
        <v>4</v>
      </c>
      <c r="J1043">
        <v>72.73</v>
      </c>
      <c r="K1043">
        <v>4</v>
      </c>
      <c r="L1043">
        <f>_xlfn.XLOOKUP(C1043, dim_teams[team_name], dim_teams[team_id], "Not found", 0)</f>
        <v>8</v>
      </c>
    </row>
    <row r="1044" spans="1:12" x14ac:dyDescent="0.3">
      <c r="A1044" t="s">
        <v>306</v>
      </c>
      <c r="B1044">
        <v>2008</v>
      </c>
      <c r="C1044" t="s">
        <v>25</v>
      </c>
      <c r="D1044">
        <v>16</v>
      </c>
      <c r="E1044">
        <v>11</v>
      </c>
      <c r="F1044">
        <v>1</v>
      </c>
      <c r="G1044">
        <v>1</v>
      </c>
      <c r="H1044">
        <v>2</v>
      </c>
      <c r="I1044">
        <v>2</v>
      </c>
      <c r="J1044">
        <v>145.44999999999999</v>
      </c>
      <c r="K1044">
        <v>8</v>
      </c>
      <c r="L1044">
        <f>_xlfn.XLOOKUP(C1044, dim_teams[team_name], dim_teams[team_id], "Not found", 0)</f>
        <v>3</v>
      </c>
    </row>
    <row r="1045" spans="1:12" x14ac:dyDescent="0.3">
      <c r="A1045" t="s">
        <v>306</v>
      </c>
      <c r="B1045">
        <v>2009</v>
      </c>
      <c r="C1045" t="s">
        <v>25</v>
      </c>
      <c r="D1045">
        <v>20</v>
      </c>
      <c r="E1045">
        <v>18</v>
      </c>
      <c r="F1045">
        <v>0</v>
      </c>
      <c r="G1045">
        <v>1</v>
      </c>
      <c r="H1045">
        <v>1</v>
      </c>
      <c r="I1045">
        <v>2</v>
      </c>
      <c r="J1045">
        <v>111.11</v>
      </c>
      <c r="K1045">
        <v>20</v>
      </c>
      <c r="L1045">
        <f>_xlfn.XLOOKUP(C1045, dim_teams[team_name], dim_teams[team_id], "Not found", 0)</f>
        <v>3</v>
      </c>
    </row>
    <row r="1046" spans="1:12" x14ac:dyDescent="0.3">
      <c r="A1046" t="s">
        <v>306</v>
      </c>
      <c r="B1046">
        <v>2011</v>
      </c>
      <c r="C1046" t="s">
        <v>25</v>
      </c>
      <c r="D1046">
        <v>0</v>
      </c>
      <c r="E1046">
        <v>1</v>
      </c>
      <c r="F1046">
        <v>0</v>
      </c>
      <c r="G1046">
        <v>0</v>
      </c>
      <c r="H1046">
        <v>1</v>
      </c>
      <c r="I1046">
        <v>1</v>
      </c>
      <c r="J1046">
        <v>0</v>
      </c>
      <c r="K1046">
        <v>0</v>
      </c>
      <c r="L1046">
        <f>_xlfn.XLOOKUP(C1046, dim_teams[team_name], dim_teams[team_id], "Not found", 0)</f>
        <v>3</v>
      </c>
    </row>
    <row r="1047" spans="1:12" x14ac:dyDescent="0.3">
      <c r="A1047" t="s">
        <v>307</v>
      </c>
      <c r="B1047">
        <v>2008</v>
      </c>
      <c r="C1047" t="s">
        <v>54</v>
      </c>
      <c r="D1047">
        <v>76</v>
      </c>
      <c r="E1047">
        <v>78</v>
      </c>
      <c r="F1047">
        <v>7</v>
      </c>
      <c r="G1047">
        <v>4</v>
      </c>
      <c r="H1047">
        <v>5</v>
      </c>
      <c r="I1047">
        <v>6</v>
      </c>
      <c r="J1047">
        <v>97.44</v>
      </c>
      <c r="K1047">
        <v>15.2</v>
      </c>
      <c r="L1047">
        <f>_xlfn.XLOOKUP(C1047, dim_teams[team_name], dim_teams[team_id], "Not found", 0)</f>
        <v>4</v>
      </c>
    </row>
    <row r="1048" spans="1:12" x14ac:dyDescent="0.3">
      <c r="A1048" t="s">
        <v>307</v>
      </c>
      <c r="B1048">
        <v>2009</v>
      </c>
      <c r="C1048" t="s">
        <v>54</v>
      </c>
      <c r="D1048">
        <v>124</v>
      </c>
      <c r="E1048">
        <v>133</v>
      </c>
      <c r="F1048">
        <v>9</v>
      </c>
      <c r="G1048">
        <v>4</v>
      </c>
      <c r="H1048">
        <v>8</v>
      </c>
      <c r="I1048">
        <v>8</v>
      </c>
      <c r="J1048">
        <v>93.23</v>
      </c>
      <c r="K1048">
        <v>15.5</v>
      </c>
      <c r="L1048">
        <f>_xlfn.XLOOKUP(C1048, dim_teams[team_name], dim_teams[team_id], "Not found", 0)</f>
        <v>4</v>
      </c>
    </row>
    <row r="1049" spans="1:12" x14ac:dyDescent="0.3">
      <c r="A1049" t="s">
        <v>307</v>
      </c>
      <c r="B1049">
        <v>2010</v>
      </c>
      <c r="C1049" t="s">
        <v>54</v>
      </c>
      <c r="D1049">
        <v>18</v>
      </c>
      <c r="E1049">
        <v>20</v>
      </c>
      <c r="F1049">
        <v>1</v>
      </c>
      <c r="G1049">
        <v>1</v>
      </c>
      <c r="H1049">
        <v>1</v>
      </c>
      <c r="I1049">
        <v>2</v>
      </c>
      <c r="J1049">
        <v>90</v>
      </c>
      <c r="K1049">
        <v>18</v>
      </c>
      <c r="L1049">
        <f>_xlfn.XLOOKUP(C1049, dim_teams[team_name], dim_teams[team_id], "Not found", 0)</f>
        <v>4</v>
      </c>
    </row>
    <row r="1050" spans="1:12" x14ac:dyDescent="0.3">
      <c r="A1050" t="s">
        <v>308</v>
      </c>
      <c r="B1050">
        <v>2018</v>
      </c>
      <c r="C1050" t="s">
        <v>17</v>
      </c>
      <c r="D1050">
        <v>126</v>
      </c>
      <c r="E1050">
        <v>64</v>
      </c>
      <c r="F1050">
        <v>9</v>
      </c>
      <c r="G1050">
        <v>9</v>
      </c>
      <c r="H1050">
        <v>9</v>
      </c>
      <c r="I1050">
        <v>13</v>
      </c>
      <c r="J1050">
        <v>196.88</v>
      </c>
      <c r="K1050">
        <v>14</v>
      </c>
      <c r="L1050">
        <f>_xlfn.XLOOKUP(C1050, dim_teams[team_name], dim_teams[team_id], "Not found", 0)</f>
        <v>5</v>
      </c>
    </row>
    <row r="1051" spans="1:12" x14ac:dyDescent="0.3">
      <c r="A1051" t="s">
        <v>308</v>
      </c>
      <c r="B1051">
        <v>2019</v>
      </c>
      <c r="C1051" t="s">
        <v>17</v>
      </c>
      <c r="D1051">
        <v>18</v>
      </c>
      <c r="E1051">
        <v>19</v>
      </c>
      <c r="F1051">
        <v>1</v>
      </c>
      <c r="G1051">
        <v>1</v>
      </c>
      <c r="H1051">
        <v>3</v>
      </c>
      <c r="I1051">
        <v>4</v>
      </c>
      <c r="J1051">
        <v>94.74</v>
      </c>
      <c r="K1051">
        <v>6</v>
      </c>
      <c r="L1051">
        <f>_xlfn.XLOOKUP(C1051, dim_teams[team_name], dim_teams[team_id], "Not found", 0)</f>
        <v>5</v>
      </c>
    </row>
    <row r="1052" spans="1:12" x14ac:dyDescent="0.3">
      <c r="A1052" t="s">
        <v>308</v>
      </c>
      <c r="B1052">
        <v>2020</v>
      </c>
      <c r="C1052" t="s">
        <v>54</v>
      </c>
      <c r="D1052">
        <v>42</v>
      </c>
      <c r="E1052">
        <v>27</v>
      </c>
      <c r="F1052">
        <v>3</v>
      </c>
      <c r="G1052">
        <v>2</v>
      </c>
      <c r="H1052">
        <v>1</v>
      </c>
      <c r="I1052">
        <v>2</v>
      </c>
      <c r="J1052">
        <v>155.56</v>
      </c>
      <c r="K1052">
        <v>42</v>
      </c>
      <c r="L1052">
        <f>_xlfn.XLOOKUP(C1052, dim_teams[team_name], dim_teams[team_id], "Not found", 0)</f>
        <v>4</v>
      </c>
    </row>
    <row r="1053" spans="1:12" x14ac:dyDescent="0.3">
      <c r="A1053" t="s">
        <v>308</v>
      </c>
      <c r="B1053">
        <v>2022</v>
      </c>
      <c r="C1053" t="s">
        <v>15</v>
      </c>
      <c r="D1053">
        <v>0</v>
      </c>
      <c r="E1053">
        <v>1</v>
      </c>
      <c r="F1053">
        <v>0</v>
      </c>
      <c r="G1053">
        <v>0</v>
      </c>
      <c r="H1053">
        <v>1</v>
      </c>
      <c r="I1053">
        <v>1</v>
      </c>
      <c r="J1053">
        <v>0</v>
      </c>
      <c r="K1053">
        <v>0</v>
      </c>
      <c r="L1053">
        <f>_xlfn.XLOOKUP(C1053, dim_teams[team_name], dim_teams[team_id], "Not found", 0)</f>
        <v>17</v>
      </c>
    </row>
    <row r="1054" spans="1:12" x14ac:dyDescent="0.3">
      <c r="A1054" t="s">
        <v>308</v>
      </c>
      <c r="B1054">
        <v>2023</v>
      </c>
      <c r="C1054" t="s">
        <v>15</v>
      </c>
      <c r="D1054">
        <v>61</v>
      </c>
      <c r="E1054">
        <v>36</v>
      </c>
      <c r="F1054">
        <v>2</v>
      </c>
      <c r="G1054">
        <v>5</v>
      </c>
      <c r="H1054">
        <v>4</v>
      </c>
      <c r="I1054">
        <v>7</v>
      </c>
      <c r="J1054">
        <v>169.44</v>
      </c>
      <c r="K1054">
        <v>15.25</v>
      </c>
      <c r="L1054">
        <f>_xlfn.XLOOKUP(C1054, dim_teams[team_name], dim_teams[team_id], "Not found", 0)</f>
        <v>17</v>
      </c>
    </row>
    <row r="1055" spans="1:12" x14ac:dyDescent="0.3">
      <c r="A1055" t="s">
        <v>309</v>
      </c>
      <c r="B1055">
        <v>2022</v>
      </c>
      <c r="C1055" t="s">
        <v>23</v>
      </c>
      <c r="D1055">
        <v>3</v>
      </c>
      <c r="E1055">
        <v>5</v>
      </c>
      <c r="F1055">
        <v>0</v>
      </c>
      <c r="G1055">
        <v>0</v>
      </c>
      <c r="H1055">
        <v>1</v>
      </c>
      <c r="I1055">
        <v>1</v>
      </c>
      <c r="J1055">
        <v>60</v>
      </c>
      <c r="K1055">
        <v>3</v>
      </c>
      <c r="L1055">
        <f>_xlfn.XLOOKUP(C1055, dim_teams[team_name], dim_teams[team_id], "Not found", 0)</f>
        <v>7</v>
      </c>
    </row>
    <row r="1056" spans="1:12" x14ac:dyDescent="0.3">
      <c r="A1056" t="s">
        <v>309</v>
      </c>
      <c r="B1056">
        <v>2023</v>
      </c>
      <c r="C1056" t="s">
        <v>23</v>
      </c>
      <c r="D1056">
        <v>6</v>
      </c>
      <c r="E1056">
        <v>7</v>
      </c>
      <c r="F1056">
        <v>1</v>
      </c>
      <c r="G1056">
        <v>0</v>
      </c>
      <c r="H1056">
        <v>1</v>
      </c>
      <c r="I1056">
        <v>1</v>
      </c>
      <c r="J1056">
        <v>85.71</v>
      </c>
      <c r="K1056">
        <v>6</v>
      </c>
      <c r="L1056">
        <f>_xlfn.XLOOKUP(C1056, dim_teams[team_name], dim_teams[team_id], "Not found", 0)</f>
        <v>7</v>
      </c>
    </row>
    <row r="1057" spans="1:12" x14ac:dyDescent="0.3">
      <c r="A1057" t="s">
        <v>309</v>
      </c>
      <c r="B1057">
        <v>2025</v>
      </c>
      <c r="C1057" t="s">
        <v>17</v>
      </c>
      <c r="D1057">
        <v>3</v>
      </c>
      <c r="E1057">
        <v>5</v>
      </c>
      <c r="F1057">
        <v>0</v>
      </c>
      <c r="G1057">
        <v>0</v>
      </c>
      <c r="H1057">
        <v>1</v>
      </c>
      <c r="I1057">
        <v>2</v>
      </c>
      <c r="J1057">
        <v>60</v>
      </c>
      <c r="K1057">
        <v>3</v>
      </c>
      <c r="L1057">
        <f>_xlfn.XLOOKUP(C1057, dim_teams[team_name], dim_teams[team_id], "Not found", 0)</f>
        <v>5</v>
      </c>
    </row>
    <row r="1058" spans="1:12" x14ac:dyDescent="0.3">
      <c r="A1058" t="s">
        <v>310</v>
      </c>
      <c r="B1058">
        <v>2017</v>
      </c>
      <c r="C1058" t="s">
        <v>32</v>
      </c>
      <c r="D1058">
        <v>55</v>
      </c>
      <c r="E1058">
        <v>64</v>
      </c>
      <c r="F1058">
        <v>5</v>
      </c>
      <c r="G1058">
        <v>1</v>
      </c>
      <c r="H1058">
        <v>3</v>
      </c>
      <c r="I1058">
        <v>3</v>
      </c>
      <c r="J1058">
        <v>85.94</v>
      </c>
      <c r="K1058">
        <v>18.329999999999998</v>
      </c>
      <c r="L1058">
        <f>_xlfn.XLOOKUP(C1058, dim_teams[team_name], dim_teams[team_id], "Not found", 0)</f>
        <v>6</v>
      </c>
    </row>
    <row r="1059" spans="1:12" x14ac:dyDescent="0.3">
      <c r="A1059" t="s">
        <v>310</v>
      </c>
      <c r="B1059">
        <v>2019</v>
      </c>
      <c r="C1059" t="s">
        <v>33</v>
      </c>
      <c r="D1059">
        <v>14</v>
      </c>
      <c r="E1059">
        <v>15</v>
      </c>
      <c r="F1059">
        <v>0</v>
      </c>
      <c r="G1059">
        <v>1</v>
      </c>
      <c r="H1059">
        <v>3</v>
      </c>
      <c r="I1059">
        <v>4</v>
      </c>
      <c r="J1059">
        <v>93.33</v>
      </c>
      <c r="K1059">
        <v>4.67</v>
      </c>
      <c r="L1059">
        <f>_xlfn.XLOOKUP(C1059, dim_teams[team_name], dim_teams[team_id], "Not found", 0)</f>
        <v>15</v>
      </c>
    </row>
    <row r="1060" spans="1:12" x14ac:dyDescent="0.3">
      <c r="A1060" t="s">
        <v>310</v>
      </c>
      <c r="B1060">
        <v>2020</v>
      </c>
      <c r="C1060" t="s">
        <v>33</v>
      </c>
      <c r="D1060">
        <v>56</v>
      </c>
      <c r="E1060">
        <v>49</v>
      </c>
      <c r="F1060">
        <v>4</v>
      </c>
      <c r="G1060">
        <v>2</v>
      </c>
      <c r="H1060">
        <v>3</v>
      </c>
      <c r="I1060">
        <v>6</v>
      </c>
      <c r="J1060">
        <v>114.29</v>
      </c>
      <c r="K1060">
        <v>18.670000000000002</v>
      </c>
      <c r="L1060">
        <f>_xlfn.XLOOKUP(C1060, dim_teams[team_name], dim_teams[team_id], "Not found", 0)</f>
        <v>15</v>
      </c>
    </row>
    <row r="1061" spans="1:12" x14ac:dyDescent="0.3">
      <c r="A1061" t="s">
        <v>310</v>
      </c>
      <c r="B1061">
        <v>2021</v>
      </c>
      <c r="C1061" t="s">
        <v>33</v>
      </c>
      <c r="D1061">
        <v>13</v>
      </c>
      <c r="E1061">
        <v>6</v>
      </c>
      <c r="F1061">
        <v>2</v>
      </c>
      <c r="G1061">
        <v>0</v>
      </c>
      <c r="H1061">
        <v>1</v>
      </c>
      <c r="I1061">
        <v>3</v>
      </c>
      <c r="J1061">
        <v>216.67</v>
      </c>
      <c r="K1061">
        <v>13</v>
      </c>
      <c r="L1061">
        <f>_xlfn.XLOOKUP(C1061, dim_teams[team_name], dim_teams[team_id], "Not found", 0)</f>
        <v>15</v>
      </c>
    </row>
    <row r="1062" spans="1:12" x14ac:dyDescent="0.3">
      <c r="A1062" t="s">
        <v>310</v>
      </c>
      <c r="B1062">
        <v>2022</v>
      </c>
      <c r="C1062" t="s">
        <v>76</v>
      </c>
      <c r="D1062">
        <v>48</v>
      </c>
      <c r="E1062">
        <v>42</v>
      </c>
      <c r="F1062">
        <v>5</v>
      </c>
      <c r="G1062">
        <v>2</v>
      </c>
      <c r="H1062">
        <v>4</v>
      </c>
      <c r="I1062">
        <v>7</v>
      </c>
      <c r="J1062">
        <v>114.29</v>
      </c>
      <c r="K1062">
        <v>12</v>
      </c>
      <c r="L1062">
        <f>_xlfn.XLOOKUP(C1062, dim_teams[team_name], dim_teams[team_id], "Not found", 0)</f>
        <v>16</v>
      </c>
    </row>
    <row r="1063" spans="1:12" x14ac:dyDescent="0.3">
      <c r="A1063" t="s">
        <v>310</v>
      </c>
      <c r="B1063">
        <v>2023</v>
      </c>
      <c r="C1063" t="s">
        <v>76</v>
      </c>
      <c r="D1063">
        <v>0</v>
      </c>
      <c r="E1063">
        <v>2</v>
      </c>
      <c r="F1063">
        <v>0</v>
      </c>
      <c r="G1063">
        <v>0</v>
      </c>
      <c r="H1063">
        <v>1</v>
      </c>
      <c r="I1063">
        <v>2</v>
      </c>
      <c r="J1063">
        <v>0</v>
      </c>
      <c r="K1063">
        <v>0</v>
      </c>
      <c r="L1063">
        <f>_xlfn.XLOOKUP(C1063, dim_teams[team_name], dim_teams[team_id], "Not found", 0)</f>
        <v>16</v>
      </c>
    </row>
    <row r="1064" spans="1:12" x14ac:dyDescent="0.3">
      <c r="A1064" t="s">
        <v>310</v>
      </c>
      <c r="B1064">
        <v>2024</v>
      </c>
      <c r="C1064" t="s">
        <v>76</v>
      </c>
      <c r="D1064">
        <v>20</v>
      </c>
      <c r="E1064">
        <v>14</v>
      </c>
      <c r="F1064">
        <v>0</v>
      </c>
      <c r="G1064">
        <v>2</v>
      </c>
      <c r="H1064">
        <v>1</v>
      </c>
      <c r="I1064">
        <v>3</v>
      </c>
      <c r="J1064">
        <v>142.86000000000001</v>
      </c>
      <c r="K1064">
        <v>20</v>
      </c>
      <c r="L1064">
        <f>_xlfn.XLOOKUP(C1064, dim_teams[team_name], dim_teams[team_id], "Not found", 0)</f>
        <v>16</v>
      </c>
    </row>
    <row r="1065" spans="1:12" x14ac:dyDescent="0.3">
      <c r="A1065" t="s">
        <v>310</v>
      </c>
      <c r="B1065">
        <v>2025</v>
      </c>
      <c r="C1065" t="s">
        <v>29</v>
      </c>
      <c r="D1065">
        <v>9</v>
      </c>
      <c r="E1065">
        <v>8</v>
      </c>
      <c r="F1065">
        <v>0</v>
      </c>
      <c r="G1065">
        <v>1</v>
      </c>
      <c r="H1065">
        <v>2</v>
      </c>
      <c r="I1065">
        <v>2</v>
      </c>
      <c r="J1065">
        <v>112.5</v>
      </c>
      <c r="K1065">
        <v>4.5</v>
      </c>
      <c r="L1065">
        <f>_xlfn.XLOOKUP(C1065, dim_teams[team_name], dim_teams[team_id], "Not found", 0)</f>
        <v>18</v>
      </c>
    </row>
    <row r="1066" spans="1:12" x14ac:dyDescent="0.3">
      <c r="A1066" t="s">
        <v>311</v>
      </c>
      <c r="B1066">
        <v>2012</v>
      </c>
      <c r="C1066" t="s">
        <v>37</v>
      </c>
      <c r="D1066">
        <v>11</v>
      </c>
      <c r="E1066">
        <v>8</v>
      </c>
      <c r="F1066">
        <v>0</v>
      </c>
      <c r="G1066">
        <v>1</v>
      </c>
      <c r="H1066">
        <v>0</v>
      </c>
      <c r="I1066">
        <v>1</v>
      </c>
      <c r="J1066">
        <v>137.5</v>
      </c>
      <c r="L1066">
        <f>_xlfn.XLOOKUP(C1066, dim_teams[team_name], dim_teams[team_id], "Not found", 0)</f>
        <v>10</v>
      </c>
    </row>
    <row r="1067" spans="1:12" x14ac:dyDescent="0.3">
      <c r="A1067" t="s">
        <v>311</v>
      </c>
      <c r="B1067">
        <v>2013</v>
      </c>
      <c r="C1067" t="s">
        <v>37</v>
      </c>
      <c r="D1067">
        <v>1</v>
      </c>
      <c r="E1067">
        <v>1</v>
      </c>
      <c r="F1067">
        <v>0</v>
      </c>
      <c r="G1067">
        <v>0</v>
      </c>
      <c r="H1067">
        <v>0</v>
      </c>
      <c r="I1067">
        <v>1</v>
      </c>
      <c r="J1067">
        <v>100</v>
      </c>
      <c r="L1067">
        <f>_xlfn.XLOOKUP(C1067, dim_teams[team_name], dim_teams[team_id], "Not found", 0)</f>
        <v>10</v>
      </c>
    </row>
    <row r="1068" spans="1:12" x14ac:dyDescent="0.3">
      <c r="A1068" t="s">
        <v>312</v>
      </c>
      <c r="B1068">
        <v>2021</v>
      </c>
      <c r="C1068" t="s">
        <v>17</v>
      </c>
      <c r="D1068">
        <v>0</v>
      </c>
      <c r="E1068">
        <v>4</v>
      </c>
      <c r="F1068">
        <v>0</v>
      </c>
      <c r="G1068">
        <v>0</v>
      </c>
      <c r="H1068">
        <v>0</v>
      </c>
      <c r="I1068">
        <v>1</v>
      </c>
      <c r="J1068">
        <v>0</v>
      </c>
      <c r="L1068">
        <f>_xlfn.XLOOKUP(C1068, dim_teams[team_name], dim_teams[team_id], "Not found", 0)</f>
        <v>5</v>
      </c>
    </row>
    <row r="1069" spans="1:12" x14ac:dyDescent="0.3">
      <c r="A1069" t="s">
        <v>313</v>
      </c>
      <c r="B1069">
        <v>2021</v>
      </c>
      <c r="C1069" t="s">
        <v>21</v>
      </c>
      <c r="D1069">
        <v>65</v>
      </c>
      <c r="E1069">
        <v>55</v>
      </c>
      <c r="F1069">
        <v>5</v>
      </c>
      <c r="G1069">
        <v>3</v>
      </c>
      <c r="H1069">
        <v>3</v>
      </c>
      <c r="I1069">
        <v>7</v>
      </c>
      <c r="J1069">
        <v>118.18</v>
      </c>
      <c r="K1069">
        <v>21.67</v>
      </c>
      <c r="L1069">
        <f>_xlfn.XLOOKUP(C1069, dim_teams[team_name], dim_teams[team_id], "Not found", 0)</f>
        <v>2</v>
      </c>
    </row>
    <row r="1070" spans="1:12" x14ac:dyDescent="0.3">
      <c r="A1070" t="s">
        <v>313</v>
      </c>
      <c r="B1070">
        <v>2025</v>
      </c>
      <c r="C1070" t="s">
        <v>76</v>
      </c>
      <c r="D1070">
        <v>0</v>
      </c>
      <c r="E1070">
        <v>5</v>
      </c>
      <c r="F1070">
        <v>0</v>
      </c>
      <c r="G1070">
        <v>0</v>
      </c>
      <c r="H1070">
        <v>0</v>
      </c>
      <c r="I1070">
        <v>2</v>
      </c>
      <c r="J1070">
        <v>0</v>
      </c>
      <c r="L1070">
        <f>_xlfn.XLOOKUP(C1070, dim_teams[team_name], dim_teams[team_id], "Not found", 0)</f>
        <v>16</v>
      </c>
    </row>
    <row r="1071" spans="1:12" x14ac:dyDescent="0.3">
      <c r="A1071" t="s">
        <v>314</v>
      </c>
      <c r="B1071">
        <v>2024</v>
      </c>
      <c r="C1071" t="s">
        <v>17</v>
      </c>
      <c r="D1071">
        <v>1</v>
      </c>
      <c r="E1071">
        <v>2</v>
      </c>
      <c r="F1071">
        <v>0</v>
      </c>
      <c r="G1071">
        <v>0</v>
      </c>
      <c r="H1071">
        <v>1</v>
      </c>
      <c r="I1071">
        <v>1</v>
      </c>
      <c r="J1071">
        <v>50</v>
      </c>
      <c r="K1071">
        <v>1</v>
      </c>
      <c r="L1071">
        <f>_xlfn.XLOOKUP(C1071, dim_teams[team_name], dim_teams[team_id], "Not found", 0)</f>
        <v>5</v>
      </c>
    </row>
    <row r="1072" spans="1:12" x14ac:dyDescent="0.3">
      <c r="A1072" t="s">
        <v>315</v>
      </c>
      <c r="B1072">
        <v>2010</v>
      </c>
      <c r="C1072" t="s">
        <v>23</v>
      </c>
      <c r="D1072">
        <v>273</v>
      </c>
      <c r="E1072">
        <v>146</v>
      </c>
      <c r="F1072">
        <v>23</v>
      </c>
      <c r="G1072">
        <v>17</v>
      </c>
      <c r="H1072">
        <v>14</v>
      </c>
      <c r="I1072">
        <v>14</v>
      </c>
      <c r="J1072">
        <v>186.99</v>
      </c>
      <c r="K1072">
        <v>19.5</v>
      </c>
      <c r="L1072">
        <f>_xlfn.XLOOKUP(C1072, dim_teams[team_name], dim_teams[team_id], "Not found", 0)</f>
        <v>7</v>
      </c>
    </row>
    <row r="1073" spans="1:12" x14ac:dyDescent="0.3">
      <c r="A1073" t="s">
        <v>315</v>
      </c>
      <c r="B1073">
        <v>2011</v>
      </c>
      <c r="C1073" t="s">
        <v>23</v>
      </c>
      <c r="D1073">
        <v>146</v>
      </c>
      <c r="E1073">
        <v>132</v>
      </c>
      <c r="F1073">
        <v>12</v>
      </c>
      <c r="G1073">
        <v>6</v>
      </c>
      <c r="H1073">
        <v>10</v>
      </c>
      <c r="I1073">
        <v>12</v>
      </c>
      <c r="J1073">
        <v>110.61</v>
      </c>
      <c r="K1073">
        <v>14.6</v>
      </c>
      <c r="L1073">
        <f>_xlfn.XLOOKUP(C1073, dim_teams[team_name], dim_teams[team_id], "Not found", 0)</f>
        <v>7</v>
      </c>
    </row>
    <row r="1074" spans="1:12" x14ac:dyDescent="0.3">
      <c r="A1074" t="s">
        <v>315</v>
      </c>
      <c r="B1074">
        <v>2012</v>
      </c>
      <c r="C1074" t="s">
        <v>23</v>
      </c>
      <c r="D1074">
        <v>220</v>
      </c>
      <c r="E1074">
        <v>158</v>
      </c>
      <c r="F1074">
        <v>15</v>
      </c>
      <c r="G1074">
        <v>14</v>
      </c>
      <c r="H1074">
        <v>9</v>
      </c>
      <c r="I1074">
        <v>11</v>
      </c>
      <c r="J1074">
        <v>139.24</v>
      </c>
      <c r="K1074">
        <v>24.44</v>
      </c>
      <c r="L1074">
        <f>_xlfn.XLOOKUP(C1074, dim_teams[team_name], dim_teams[team_id], "Not found", 0)</f>
        <v>7</v>
      </c>
    </row>
    <row r="1075" spans="1:12" x14ac:dyDescent="0.3">
      <c r="A1075" t="s">
        <v>315</v>
      </c>
      <c r="B1075">
        <v>2013</v>
      </c>
      <c r="C1075" t="s">
        <v>23</v>
      </c>
      <c r="D1075">
        <v>420</v>
      </c>
      <c r="E1075">
        <v>278</v>
      </c>
      <c r="F1075">
        <v>27</v>
      </c>
      <c r="G1075">
        <v>29</v>
      </c>
      <c r="H1075">
        <v>11</v>
      </c>
      <c r="I1075">
        <v>18</v>
      </c>
      <c r="J1075">
        <v>151.08000000000001</v>
      </c>
      <c r="K1075">
        <v>38.18</v>
      </c>
      <c r="L1075">
        <f>_xlfn.XLOOKUP(C1075, dim_teams[team_name], dim_teams[team_id], "Not found", 0)</f>
        <v>7</v>
      </c>
    </row>
    <row r="1076" spans="1:12" x14ac:dyDescent="0.3">
      <c r="A1076" t="s">
        <v>315</v>
      </c>
      <c r="B1076">
        <v>2014</v>
      </c>
      <c r="C1076" t="s">
        <v>23</v>
      </c>
      <c r="D1076">
        <v>273</v>
      </c>
      <c r="E1076">
        <v>202</v>
      </c>
      <c r="F1076">
        <v>15</v>
      </c>
      <c r="G1076">
        <v>15</v>
      </c>
      <c r="H1076">
        <v>9</v>
      </c>
      <c r="I1076">
        <v>15</v>
      </c>
      <c r="J1076">
        <v>135.15</v>
      </c>
      <c r="K1076">
        <v>30.33</v>
      </c>
      <c r="L1076">
        <f>_xlfn.XLOOKUP(C1076, dim_teams[team_name], dim_teams[team_id], "Not found", 0)</f>
        <v>7</v>
      </c>
    </row>
    <row r="1077" spans="1:12" x14ac:dyDescent="0.3">
      <c r="A1077" t="s">
        <v>315</v>
      </c>
      <c r="B1077">
        <v>2015</v>
      </c>
      <c r="C1077" t="s">
        <v>23</v>
      </c>
      <c r="D1077">
        <v>419</v>
      </c>
      <c r="E1077">
        <v>255</v>
      </c>
      <c r="F1077">
        <v>28</v>
      </c>
      <c r="G1077">
        <v>28</v>
      </c>
      <c r="H1077">
        <v>10</v>
      </c>
      <c r="I1077">
        <v>14</v>
      </c>
      <c r="J1077">
        <v>164.31</v>
      </c>
      <c r="K1077">
        <v>41.9</v>
      </c>
      <c r="L1077">
        <f>_xlfn.XLOOKUP(C1077, dim_teams[team_name], dim_teams[team_id], "Not found", 0)</f>
        <v>7</v>
      </c>
    </row>
    <row r="1078" spans="1:12" x14ac:dyDescent="0.3">
      <c r="A1078" t="s">
        <v>315</v>
      </c>
      <c r="B1078">
        <v>2016</v>
      </c>
      <c r="C1078" t="s">
        <v>23</v>
      </c>
      <c r="D1078">
        <v>207</v>
      </c>
      <c r="E1078">
        <v>144</v>
      </c>
      <c r="F1078">
        <v>11</v>
      </c>
      <c r="G1078">
        <v>16</v>
      </c>
      <c r="H1078">
        <v>8</v>
      </c>
      <c r="I1078">
        <v>12</v>
      </c>
      <c r="J1078">
        <v>143.75</v>
      </c>
      <c r="K1078">
        <v>25.88</v>
      </c>
      <c r="L1078">
        <f>_xlfn.XLOOKUP(C1078, dim_teams[team_name], dim_teams[team_id], "Not found", 0)</f>
        <v>7</v>
      </c>
    </row>
    <row r="1079" spans="1:12" x14ac:dyDescent="0.3">
      <c r="A1079" t="s">
        <v>315</v>
      </c>
      <c r="B1079">
        <v>2017</v>
      </c>
      <c r="C1079" t="s">
        <v>23</v>
      </c>
      <c r="D1079">
        <v>395</v>
      </c>
      <c r="E1079">
        <v>279</v>
      </c>
      <c r="F1079">
        <v>27</v>
      </c>
      <c r="G1079">
        <v>23</v>
      </c>
      <c r="H1079">
        <v>14</v>
      </c>
      <c r="I1079">
        <v>16</v>
      </c>
      <c r="J1079">
        <v>141.58000000000001</v>
      </c>
      <c r="K1079">
        <v>28.21</v>
      </c>
      <c r="L1079">
        <f>_xlfn.XLOOKUP(C1079, dim_teams[team_name], dim_teams[team_id], "Not found", 0)</f>
        <v>7</v>
      </c>
    </row>
    <row r="1080" spans="1:12" x14ac:dyDescent="0.3">
      <c r="A1080" t="s">
        <v>315</v>
      </c>
      <c r="B1080">
        <v>2018</v>
      </c>
      <c r="C1080" t="s">
        <v>23</v>
      </c>
      <c r="D1080">
        <v>133</v>
      </c>
      <c r="E1080">
        <v>99</v>
      </c>
      <c r="F1080">
        <v>10</v>
      </c>
      <c r="G1080">
        <v>7</v>
      </c>
      <c r="H1080">
        <v>7</v>
      </c>
      <c r="I1080">
        <v>8</v>
      </c>
      <c r="J1080">
        <v>134.34</v>
      </c>
      <c r="K1080">
        <v>19</v>
      </c>
      <c r="L1080">
        <f>_xlfn.XLOOKUP(C1080, dim_teams[team_name], dim_teams[team_id], "Not found", 0)</f>
        <v>7</v>
      </c>
    </row>
    <row r="1081" spans="1:12" x14ac:dyDescent="0.3">
      <c r="A1081" t="s">
        <v>315</v>
      </c>
      <c r="B1081">
        <v>2019</v>
      </c>
      <c r="C1081" t="s">
        <v>23</v>
      </c>
      <c r="D1081">
        <v>281</v>
      </c>
      <c r="E1081">
        <v>176</v>
      </c>
      <c r="F1081">
        <v>14</v>
      </c>
      <c r="G1081">
        <v>22</v>
      </c>
      <c r="H1081">
        <v>10</v>
      </c>
      <c r="I1081">
        <v>12</v>
      </c>
      <c r="J1081">
        <v>159.66</v>
      </c>
      <c r="K1081">
        <v>28.1</v>
      </c>
      <c r="L1081">
        <f>_xlfn.XLOOKUP(C1081, dim_teams[team_name], dim_teams[team_id], "Not found", 0)</f>
        <v>7</v>
      </c>
    </row>
    <row r="1082" spans="1:12" x14ac:dyDescent="0.3">
      <c r="A1082" t="s">
        <v>315</v>
      </c>
      <c r="B1082">
        <v>2020</v>
      </c>
      <c r="C1082" t="s">
        <v>23</v>
      </c>
      <c r="D1082">
        <v>281</v>
      </c>
      <c r="E1082">
        <v>149</v>
      </c>
      <c r="F1082">
        <v>17</v>
      </c>
      <c r="G1082">
        <v>22</v>
      </c>
      <c r="H1082">
        <v>7</v>
      </c>
      <c r="I1082">
        <v>12</v>
      </c>
      <c r="J1082">
        <v>188.59</v>
      </c>
      <c r="K1082">
        <v>40.14</v>
      </c>
      <c r="L1082">
        <f>_xlfn.XLOOKUP(C1082, dim_teams[team_name], dim_teams[team_id], "Not found", 0)</f>
        <v>7</v>
      </c>
    </row>
    <row r="1083" spans="1:12" x14ac:dyDescent="0.3">
      <c r="A1083" t="s">
        <v>315</v>
      </c>
      <c r="B1083">
        <v>2021</v>
      </c>
      <c r="C1083" t="s">
        <v>23</v>
      </c>
      <c r="D1083">
        <v>245</v>
      </c>
      <c r="E1083">
        <v>164</v>
      </c>
      <c r="F1083">
        <v>16</v>
      </c>
      <c r="G1083">
        <v>16</v>
      </c>
      <c r="H1083">
        <v>8</v>
      </c>
      <c r="I1083">
        <v>13</v>
      </c>
      <c r="J1083">
        <v>149.38999999999999</v>
      </c>
      <c r="K1083">
        <v>30.62</v>
      </c>
      <c r="L1083">
        <f>_xlfn.XLOOKUP(C1083, dim_teams[team_name], dim_teams[team_id], "Not found", 0)</f>
        <v>7</v>
      </c>
    </row>
    <row r="1084" spans="1:12" x14ac:dyDescent="0.3">
      <c r="A1084" t="s">
        <v>315</v>
      </c>
      <c r="B1084">
        <v>2022</v>
      </c>
      <c r="C1084" t="s">
        <v>23</v>
      </c>
      <c r="D1084">
        <v>144</v>
      </c>
      <c r="E1084">
        <v>133</v>
      </c>
      <c r="F1084">
        <v>6</v>
      </c>
      <c r="G1084">
        <v>9</v>
      </c>
      <c r="H1084">
        <v>12</v>
      </c>
      <c r="I1084">
        <v>11</v>
      </c>
      <c r="J1084">
        <v>108.27</v>
      </c>
      <c r="K1084">
        <v>12</v>
      </c>
      <c r="L1084">
        <f>_xlfn.XLOOKUP(C1084, dim_teams[team_name], dim_teams[team_id], "Not found", 0)</f>
        <v>7</v>
      </c>
    </row>
    <row r="1085" spans="1:12" x14ac:dyDescent="0.3">
      <c r="A1085" t="s">
        <v>316</v>
      </c>
      <c r="B1085">
        <v>2010</v>
      </c>
      <c r="C1085" t="s">
        <v>12</v>
      </c>
      <c r="D1085">
        <v>10</v>
      </c>
      <c r="E1085">
        <v>9</v>
      </c>
      <c r="F1085">
        <v>1</v>
      </c>
      <c r="G1085">
        <v>0</v>
      </c>
      <c r="H1085">
        <v>1</v>
      </c>
      <c r="I1085">
        <v>1</v>
      </c>
      <c r="J1085">
        <v>111.11</v>
      </c>
      <c r="K1085">
        <v>10</v>
      </c>
      <c r="L1085">
        <f>_xlfn.XLOOKUP(C1085, dim_teams[team_name], dim_teams[team_id], "Not found", 0)</f>
        <v>8</v>
      </c>
    </row>
    <row r="1086" spans="1:12" x14ac:dyDescent="0.3">
      <c r="A1086" t="s">
        <v>317</v>
      </c>
      <c r="B1086">
        <v>2010</v>
      </c>
      <c r="C1086" t="s">
        <v>25</v>
      </c>
      <c r="D1086">
        <v>3</v>
      </c>
      <c r="E1086">
        <v>5</v>
      </c>
      <c r="F1086">
        <v>0</v>
      </c>
      <c r="G1086">
        <v>0</v>
      </c>
      <c r="H1086">
        <v>0</v>
      </c>
      <c r="I1086">
        <v>1</v>
      </c>
      <c r="J1086">
        <v>60</v>
      </c>
      <c r="L1086">
        <f>_xlfn.XLOOKUP(C1086, dim_teams[team_name], dim_teams[team_id], "Not found", 0)</f>
        <v>3</v>
      </c>
    </row>
    <row r="1087" spans="1:12" x14ac:dyDescent="0.3">
      <c r="A1087" t="s">
        <v>317</v>
      </c>
      <c r="B1087">
        <v>2011</v>
      </c>
      <c r="C1087" t="s">
        <v>21</v>
      </c>
      <c r="D1087">
        <v>7</v>
      </c>
      <c r="E1087">
        <v>8</v>
      </c>
      <c r="F1087">
        <v>1</v>
      </c>
      <c r="G1087">
        <v>0</v>
      </c>
      <c r="H1087">
        <v>2</v>
      </c>
      <c r="I1087">
        <v>2</v>
      </c>
      <c r="J1087">
        <v>87.5</v>
      </c>
      <c r="K1087">
        <v>3.5</v>
      </c>
      <c r="L1087">
        <f>_xlfn.XLOOKUP(C1087, dim_teams[team_name], dim_teams[team_id], "Not found", 0)</f>
        <v>2</v>
      </c>
    </row>
    <row r="1088" spans="1:12" x14ac:dyDescent="0.3">
      <c r="A1088" t="s">
        <v>317</v>
      </c>
      <c r="B1088">
        <v>2013</v>
      </c>
      <c r="C1088" t="s">
        <v>21</v>
      </c>
      <c r="D1088">
        <v>41</v>
      </c>
      <c r="E1088">
        <v>38</v>
      </c>
      <c r="F1088">
        <v>3</v>
      </c>
      <c r="G1088">
        <v>1</v>
      </c>
      <c r="H1088">
        <v>3</v>
      </c>
      <c r="I1088">
        <v>5</v>
      </c>
      <c r="J1088">
        <v>107.89</v>
      </c>
      <c r="K1088">
        <v>13.67</v>
      </c>
      <c r="L1088">
        <f>_xlfn.XLOOKUP(C1088, dim_teams[team_name], dim_teams[team_id], "Not found", 0)</f>
        <v>2</v>
      </c>
    </row>
    <row r="1089" spans="1:12" x14ac:dyDescent="0.3">
      <c r="A1089" t="s">
        <v>318</v>
      </c>
      <c r="B1089">
        <v>2016</v>
      </c>
      <c r="C1089" t="s">
        <v>54</v>
      </c>
      <c r="D1089">
        <v>13</v>
      </c>
      <c r="E1089">
        <v>11</v>
      </c>
      <c r="F1089">
        <v>0</v>
      </c>
      <c r="G1089">
        <v>1</v>
      </c>
      <c r="H1089">
        <v>1</v>
      </c>
      <c r="I1089">
        <v>2</v>
      </c>
      <c r="J1089">
        <v>118.18</v>
      </c>
      <c r="K1089">
        <v>13</v>
      </c>
      <c r="L1089">
        <f>_xlfn.XLOOKUP(C1089, dim_teams[team_name], dim_teams[team_id], "Not found", 0)</f>
        <v>4</v>
      </c>
    </row>
    <row r="1090" spans="1:12" x14ac:dyDescent="0.3">
      <c r="A1090" t="s">
        <v>318</v>
      </c>
      <c r="B1090">
        <v>2017</v>
      </c>
      <c r="C1090" t="s">
        <v>54</v>
      </c>
      <c r="D1090">
        <v>2</v>
      </c>
      <c r="E1090">
        <v>7</v>
      </c>
      <c r="F1090">
        <v>0</v>
      </c>
      <c r="G1090">
        <v>0</v>
      </c>
      <c r="H1090">
        <v>2</v>
      </c>
      <c r="I1090">
        <v>2</v>
      </c>
      <c r="J1090">
        <v>28.57</v>
      </c>
      <c r="K1090">
        <v>1</v>
      </c>
      <c r="L1090">
        <f>_xlfn.XLOOKUP(C1090, dim_teams[team_name], dim_teams[team_id], "Not found", 0)</f>
        <v>4</v>
      </c>
    </row>
    <row r="1091" spans="1:12" x14ac:dyDescent="0.3">
      <c r="A1091" t="s">
        <v>318</v>
      </c>
      <c r="B1091">
        <v>2019</v>
      </c>
      <c r="C1091" t="s">
        <v>19</v>
      </c>
      <c r="D1091">
        <v>9</v>
      </c>
      <c r="E1091">
        <v>3</v>
      </c>
      <c r="F1091">
        <v>0</v>
      </c>
      <c r="G1091">
        <v>1</v>
      </c>
      <c r="H1091">
        <v>0</v>
      </c>
      <c r="I1091">
        <v>1</v>
      </c>
      <c r="J1091">
        <v>300</v>
      </c>
      <c r="L1091">
        <f>_xlfn.XLOOKUP(C1091, dim_teams[team_name], dim_teams[team_id], "Not found", 0)</f>
        <v>1</v>
      </c>
    </row>
    <row r="1092" spans="1:12" x14ac:dyDescent="0.3">
      <c r="A1092" t="s">
        <v>319</v>
      </c>
      <c r="B1092">
        <v>2008</v>
      </c>
      <c r="C1092" t="s">
        <v>54</v>
      </c>
      <c r="D1092">
        <v>320</v>
      </c>
      <c r="E1092">
        <v>197</v>
      </c>
      <c r="F1092">
        <v>41</v>
      </c>
      <c r="G1092">
        <v>8</v>
      </c>
      <c r="H1092">
        <v>10</v>
      </c>
      <c r="I1092">
        <v>9</v>
      </c>
      <c r="J1092">
        <v>162.44</v>
      </c>
      <c r="K1092">
        <v>32</v>
      </c>
      <c r="L1092">
        <f>_xlfn.XLOOKUP(C1092, dim_teams[team_name], dim_teams[team_id], "Not found", 0)</f>
        <v>4</v>
      </c>
    </row>
    <row r="1093" spans="1:12" x14ac:dyDescent="0.3">
      <c r="A1093" t="s">
        <v>319</v>
      </c>
      <c r="B1093">
        <v>2009</v>
      </c>
      <c r="C1093" t="s">
        <v>54</v>
      </c>
      <c r="D1093">
        <v>332</v>
      </c>
      <c r="E1093">
        <v>322</v>
      </c>
      <c r="F1093">
        <v>29</v>
      </c>
      <c r="G1093">
        <v>5</v>
      </c>
      <c r="H1093">
        <v>14</v>
      </c>
      <c r="I1093">
        <v>13</v>
      </c>
      <c r="J1093">
        <v>103.11</v>
      </c>
      <c r="K1093">
        <v>23.71</v>
      </c>
      <c r="L1093">
        <f>_xlfn.XLOOKUP(C1093, dim_teams[team_name], dim_teams[team_id], "Not found", 0)</f>
        <v>4</v>
      </c>
    </row>
    <row r="1094" spans="1:12" x14ac:dyDescent="0.3">
      <c r="A1094" t="s">
        <v>319</v>
      </c>
      <c r="B1094">
        <v>2010</v>
      </c>
      <c r="C1094" t="s">
        <v>54</v>
      </c>
      <c r="D1094">
        <v>357</v>
      </c>
      <c r="E1094">
        <v>256</v>
      </c>
      <c r="F1094">
        <v>47</v>
      </c>
      <c r="G1094">
        <v>5</v>
      </c>
      <c r="H1094">
        <v>12</v>
      </c>
      <c r="I1094">
        <v>12</v>
      </c>
      <c r="J1094">
        <v>139.44999999999999</v>
      </c>
      <c r="K1094">
        <v>29.75</v>
      </c>
      <c r="L1094">
        <f>_xlfn.XLOOKUP(C1094, dim_teams[team_name], dim_teams[team_id], "Not found", 0)</f>
        <v>4</v>
      </c>
    </row>
    <row r="1095" spans="1:12" x14ac:dyDescent="0.3">
      <c r="A1095" t="s">
        <v>319</v>
      </c>
      <c r="B1095">
        <v>2011</v>
      </c>
      <c r="C1095" t="s">
        <v>12</v>
      </c>
      <c r="D1095">
        <v>358</v>
      </c>
      <c r="E1095">
        <v>291</v>
      </c>
      <c r="F1095">
        <v>44</v>
      </c>
      <c r="G1095">
        <v>5</v>
      </c>
      <c r="H1095">
        <v>13</v>
      </c>
      <c r="I1095">
        <v>13</v>
      </c>
      <c r="J1095">
        <v>123.02</v>
      </c>
      <c r="K1095">
        <v>27.54</v>
      </c>
      <c r="L1095">
        <f>_xlfn.XLOOKUP(C1095, dim_teams[team_name], dim_teams[team_id], "Not found", 0)</f>
        <v>8</v>
      </c>
    </row>
    <row r="1096" spans="1:12" x14ac:dyDescent="0.3">
      <c r="A1096" t="s">
        <v>319</v>
      </c>
      <c r="B1096">
        <v>2012</v>
      </c>
      <c r="C1096" t="s">
        <v>12</v>
      </c>
      <c r="D1096">
        <v>200</v>
      </c>
      <c r="E1096">
        <v>183</v>
      </c>
      <c r="F1096">
        <v>21</v>
      </c>
      <c r="G1096">
        <v>4</v>
      </c>
      <c r="H1096">
        <v>11</v>
      </c>
      <c r="I1096">
        <v>12</v>
      </c>
      <c r="J1096">
        <v>109.29</v>
      </c>
      <c r="K1096">
        <v>18.18</v>
      </c>
      <c r="L1096">
        <f>_xlfn.XLOOKUP(C1096, dim_teams[team_name], dim_teams[team_id], "Not found", 0)</f>
        <v>8</v>
      </c>
    </row>
    <row r="1097" spans="1:12" x14ac:dyDescent="0.3">
      <c r="A1097" t="s">
        <v>319</v>
      </c>
      <c r="B1097">
        <v>2013</v>
      </c>
      <c r="C1097" t="s">
        <v>13</v>
      </c>
      <c r="D1097">
        <v>120</v>
      </c>
      <c r="E1097">
        <v>136</v>
      </c>
      <c r="F1097">
        <v>13</v>
      </c>
      <c r="G1097">
        <v>0</v>
      </c>
      <c r="H1097">
        <v>9</v>
      </c>
      <c r="I1097">
        <v>9</v>
      </c>
      <c r="J1097">
        <v>88.24</v>
      </c>
      <c r="K1097">
        <v>13.33</v>
      </c>
      <c r="L1097">
        <f>_xlfn.XLOOKUP(C1097, dim_teams[team_name], dim_teams[team_id], "Not found", 0)</f>
        <v>11</v>
      </c>
    </row>
    <row r="1098" spans="1:12" x14ac:dyDescent="0.3">
      <c r="A1098" t="s">
        <v>320</v>
      </c>
      <c r="B1098">
        <v>2008</v>
      </c>
      <c r="C1098" t="s">
        <v>32</v>
      </c>
      <c r="D1098">
        <v>145</v>
      </c>
      <c r="E1098">
        <v>107</v>
      </c>
      <c r="F1098">
        <v>13</v>
      </c>
      <c r="G1098">
        <v>4</v>
      </c>
      <c r="H1098">
        <v>7</v>
      </c>
      <c r="I1098">
        <v>8</v>
      </c>
      <c r="J1098">
        <v>135.51</v>
      </c>
      <c r="K1098">
        <v>20.71</v>
      </c>
      <c r="L1098">
        <f>_xlfn.XLOOKUP(C1098, dim_teams[team_name], dim_teams[team_id], "Not found", 0)</f>
        <v>6</v>
      </c>
    </row>
    <row r="1099" spans="1:12" x14ac:dyDescent="0.3">
      <c r="A1099" t="s">
        <v>320</v>
      </c>
      <c r="B1099">
        <v>2009</v>
      </c>
      <c r="C1099" t="s">
        <v>32</v>
      </c>
      <c r="D1099">
        <v>288</v>
      </c>
      <c r="E1099">
        <v>217</v>
      </c>
      <c r="F1099">
        <v>20</v>
      </c>
      <c r="G1099">
        <v>9</v>
      </c>
      <c r="H1099">
        <v>8</v>
      </c>
      <c r="I1099">
        <v>13</v>
      </c>
      <c r="J1099">
        <v>132.72</v>
      </c>
      <c r="K1099">
        <v>36</v>
      </c>
      <c r="L1099">
        <f>_xlfn.XLOOKUP(C1099, dim_teams[team_name], dim_teams[team_id], "Not found", 0)</f>
        <v>6</v>
      </c>
    </row>
    <row r="1100" spans="1:12" x14ac:dyDescent="0.3">
      <c r="A1100" t="s">
        <v>320</v>
      </c>
      <c r="B1100">
        <v>2010</v>
      </c>
      <c r="C1100" t="s">
        <v>32</v>
      </c>
      <c r="D1100">
        <v>278</v>
      </c>
      <c r="E1100">
        <v>236</v>
      </c>
      <c r="F1100">
        <v>26</v>
      </c>
      <c r="G1100">
        <v>6</v>
      </c>
      <c r="H1100">
        <v>12</v>
      </c>
      <c r="I1100">
        <v>14</v>
      </c>
      <c r="J1100">
        <v>117.8</v>
      </c>
      <c r="K1100">
        <v>23.17</v>
      </c>
      <c r="L1100">
        <f>_xlfn.XLOOKUP(C1100, dim_teams[team_name], dim_teams[team_id], "Not found", 0)</f>
        <v>6</v>
      </c>
    </row>
    <row r="1101" spans="1:12" x14ac:dyDescent="0.3">
      <c r="A1101" t="s">
        <v>320</v>
      </c>
      <c r="B1101">
        <v>2011</v>
      </c>
      <c r="C1101" t="s">
        <v>54</v>
      </c>
      <c r="D1101">
        <v>282</v>
      </c>
      <c r="E1101">
        <v>220</v>
      </c>
      <c r="F1101">
        <v>32</v>
      </c>
      <c r="G1101">
        <v>7</v>
      </c>
      <c r="H1101">
        <v>12</v>
      </c>
      <c r="I1101">
        <v>13</v>
      </c>
      <c r="J1101">
        <v>128.18</v>
      </c>
      <c r="K1101">
        <v>23.5</v>
      </c>
      <c r="L1101">
        <f>_xlfn.XLOOKUP(C1101, dim_teams[team_name], dim_teams[team_id], "Not found", 0)</f>
        <v>4</v>
      </c>
    </row>
    <row r="1102" spans="1:12" x14ac:dyDescent="0.3">
      <c r="A1102" t="s">
        <v>320</v>
      </c>
      <c r="B1102">
        <v>2012</v>
      </c>
      <c r="C1102" t="s">
        <v>23</v>
      </c>
      <c r="D1102">
        <v>238</v>
      </c>
      <c r="E1102">
        <v>212</v>
      </c>
      <c r="F1102">
        <v>30</v>
      </c>
      <c r="G1102">
        <v>2</v>
      </c>
      <c r="H1102">
        <v>15</v>
      </c>
      <c r="I1102">
        <v>14</v>
      </c>
      <c r="J1102">
        <v>112.26</v>
      </c>
      <c r="K1102">
        <v>15.87</v>
      </c>
      <c r="L1102">
        <f>_xlfn.XLOOKUP(C1102, dim_teams[team_name], dim_teams[team_id], "Not found", 0)</f>
        <v>7</v>
      </c>
    </row>
    <row r="1103" spans="1:12" x14ac:dyDescent="0.3">
      <c r="A1103" t="s">
        <v>320</v>
      </c>
      <c r="B1103">
        <v>2013</v>
      </c>
      <c r="C1103" t="s">
        <v>23</v>
      </c>
      <c r="D1103">
        <v>510</v>
      </c>
      <c r="E1103">
        <v>409</v>
      </c>
      <c r="F1103">
        <v>54</v>
      </c>
      <c r="G1103">
        <v>14</v>
      </c>
      <c r="H1103">
        <v>20</v>
      </c>
      <c r="I1103">
        <v>19</v>
      </c>
      <c r="J1103">
        <v>124.69</v>
      </c>
      <c r="K1103">
        <v>25.5</v>
      </c>
      <c r="L1103">
        <f>_xlfn.XLOOKUP(C1103, dim_teams[team_name], dim_teams[team_id], "Not found", 0)</f>
        <v>7</v>
      </c>
    </row>
    <row r="1104" spans="1:12" x14ac:dyDescent="0.3">
      <c r="A1104" t="s">
        <v>320</v>
      </c>
      <c r="B1104">
        <v>2014</v>
      </c>
      <c r="C1104" t="s">
        <v>32</v>
      </c>
      <c r="D1104">
        <v>325</v>
      </c>
      <c r="E1104">
        <v>258</v>
      </c>
      <c r="F1104">
        <v>28</v>
      </c>
      <c r="G1104">
        <v>11</v>
      </c>
      <c r="H1104">
        <v>14</v>
      </c>
      <c r="I1104">
        <v>14</v>
      </c>
      <c r="J1104">
        <v>125.97</v>
      </c>
      <c r="K1104">
        <v>23.21</v>
      </c>
      <c r="L1104">
        <f>_xlfn.XLOOKUP(C1104, dim_teams[team_name], dim_teams[team_id], "Not found", 0)</f>
        <v>6</v>
      </c>
    </row>
    <row r="1105" spans="1:12" x14ac:dyDescent="0.3">
      <c r="A1105" t="s">
        <v>320</v>
      </c>
      <c r="B1105">
        <v>2015</v>
      </c>
      <c r="C1105" t="s">
        <v>21</v>
      </c>
      <c r="D1105">
        <v>141</v>
      </c>
      <c r="E1105">
        <v>117</v>
      </c>
      <c r="F1105">
        <v>15</v>
      </c>
      <c r="G1105">
        <v>4</v>
      </c>
      <c r="H1105">
        <v>10</v>
      </c>
      <c r="I1105">
        <v>11</v>
      </c>
      <c r="J1105">
        <v>120.51</v>
      </c>
      <c r="K1105">
        <v>14.1</v>
      </c>
      <c r="L1105">
        <f>_xlfn.XLOOKUP(C1105, dim_teams[team_name], dim_teams[team_id], "Not found", 0)</f>
        <v>2</v>
      </c>
    </row>
    <row r="1106" spans="1:12" x14ac:dyDescent="0.3">
      <c r="A1106" t="s">
        <v>320</v>
      </c>
      <c r="B1106">
        <v>2016</v>
      </c>
      <c r="C1106" t="s">
        <v>66</v>
      </c>
      <c r="D1106">
        <v>335</v>
      </c>
      <c r="E1106">
        <v>266</v>
      </c>
      <c r="F1106">
        <v>38</v>
      </c>
      <c r="G1106">
        <v>3</v>
      </c>
      <c r="H1106">
        <v>14</v>
      </c>
      <c r="I1106">
        <v>15</v>
      </c>
      <c r="J1106">
        <v>125.94</v>
      </c>
      <c r="K1106">
        <v>23.93</v>
      </c>
      <c r="L1106">
        <f>_xlfn.XLOOKUP(C1106, dim_teams[team_name], dim_teams[team_id], "Not found", 0)</f>
        <v>13</v>
      </c>
    </row>
    <row r="1107" spans="1:12" x14ac:dyDescent="0.3">
      <c r="A1107" t="s">
        <v>320</v>
      </c>
      <c r="B1107">
        <v>2017</v>
      </c>
      <c r="C1107" t="s">
        <v>66</v>
      </c>
      <c r="D1107">
        <v>361</v>
      </c>
      <c r="E1107">
        <v>258</v>
      </c>
      <c r="F1107">
        <v>30</v>
      </c>
      <c r="G1107">
        <v>11</v>
      </c>
      <c r="H1107">
        <v>10</v>
      </c>
      <c r="I1107">
        <v>13</v>
      </c>
      <c r="J1107">
        <v>139.91999999999999</v>
      </c>
      <c r="K1107">
        <v>36.1</v>
      </c>
      <c r="L1107">
        <f>_xlfn.XLOOKUP(C1107, dim_teams[team_name], dim_teams[team_id], "Not found", 0)</f>
        <v>13</v>
      </c>
    </row>
    <row r="1108" spans="1:12" x14ac:dyDescent="0.3">
      <c r="A1108" t="s">
        <v>320</v>
      </c>
      <c r="B1108">
        <v>2018</v>
      </c>
      <c r="C1108" t="s">
        <v>19</v>
      </c>
      <c r="D1108">
        <v>498</v>
      </c>
      <c r="E1108">
        <v>336</v>
      </c>
      <c r="F1108">
        <v>49</v>
      </c>
      <c r="G1108">
        <v>16</v>
      </c>
      <c r="H1108">
        <v>9</v>
      </c>
      <c r="I1108">
        <v>16</v>
      </c>
      <c r="J1108">
        <v>148.21</v>
      </c>
      <c r="K1108">
        <v>55.33</v>
      </c>
      <c r="L1108">
        <f>_xlfn.XLOOKUP(C1108, dim_teams[team_name], dim_teams[team_id], "Not found", 0)</f>
        <v>1</v>
      </c>
    </row>
    <row r="1109" spans="1:12" x14ac:dyDescent="0.3">
      <c r="A1109" t="s">
        <v>320</v>
      </c>
      <c r="B1109">
        <v>2019</v>
      </c>
      <c r="C1109" t="s">
        <v>19</v>
      </c>
      <c r="D1109">
        <v>254</v>
      </c>
      <c r="E1109">
        <v>173</v>
      </c>
      <c r="F1109">
        <v>22</v>
      </c>
      <c r="G1109">
        <v>14</v>
      </c>
      <c r="H1109">
        <v>9</v>
      </c>
      <c r="I1109">
        <v>12</v>
      </c>
      <c r="J1109">
        <v>146.82</v>
      </c>
      <c r="K1109">
        <v>28.22</v>
      </c>
      <c r="L1109">
        <f>_xlfn.XLOOKUP(C1109, dim_teams[team_name], dim_teams[team_id], "Not found", 0)</f>
        <v>1</v>
      </c>
    </row>
    <row r="1110" spans="1:12" x14ac:dyDescent="0.3">
      <c r="A1110" t="s">
        <v>320</v>
      </c>
      <c r="B1110">
        <v>2020</v>
      </c>
      <c r="C1110" t="s">
        <v>19</v>
      </c>
      <c r="D1110">
        <v>169</v>
      </c>
      <c r="E1110">
        <v>136</v>
      </c>
      <c r="F1110">
        <v>20</v>
      </c>
      <c r="G1110">
        <v>4</v>
      </c>
      <c r="H1110">
        <v>12</v>
      </c>
      <c r="I1110">
        <v>14</v>
      </c>
      <c r="J1110">
        <v>124.26</v>
      </c>
      <c r="K1110">
        <v>14.08</v>
      </c>
      <c r="L1110">
        <f>_xlfn.XLOOKUP(C1110, dim_teams[team_name], dim_teams[team_id], "Not found", 0)</f>
        <v>1</v>
      </c>
    </row>
    <row r="1111" spans="1:12" x14ac:dyDescent="0.3">
      <c r="A1111" t="s">
        <v>320</v>
      </c>
      <c r="B1111">
        <v>2021</v>
      </c>
      <c r="C1111" t="s">
        <v>19</v>
      </c>
      <c r="D1111">
        <v>223</v>
      </c>
      <c r="E1111">
        <v>170</v>
      </c>
      <c r="F1111">
        <v>22</v>
      </c>
      <c r="G1111">
        <v>7</v>
      </c>
      <c r="H1111">
        <v>10</v>
      </c>
      <c r="I1111">
        <v>15</v>
      </c>
      <c r="J1111">
        <v>131.18</v>
      </c>
      <c r="K1111">
        <v>22.3</v>
      </c>
      <c r="L1111">
        <f>_xlfn.XLOOKUP(C1111, dim_teams[team_name], dim_teams[team_id], "Not found", 0)</f>
        <v>1</v>
      </c>
    </row>
    <row r="1112" spans="1:12" x14ac:dyDescent="0.3">
      <c r="A1112" t="s">
        <v>320</v>
      </c>
      <c r="B1112">
        <v>2022</v>
      </c>
      <c r="C1112" t="s">
        <v>21</v>
      </c>
      <c r="D1112">
        <v>330</v>
      </c>
      <c r="E1112">
        <v>178</v>
      </c>
      <c r="F1112">
        <v>27</v>
      </c>
      <c r="G1112">
        <v>22</v>
      </c>
      <c r="H1112">
        <v>6</v>
      </c>
      <c r="I1112">
        <v>16</v>
      </c>
      <c r="J1112">
        <v>185.39</v>
      </c>
      <c r="K1112">
        <v>55</v>
      </c>
      <c r="L1112">
        <f>_xlfn.XLOOKUP(C1112, dim_teams[team_name], dim_teams[team_id], "Not found", 0)</f>
        <v>2</v>
      </c>
    </row>
    <row r="1113" spans="1:12" x14ac:dyDescent="0.3">
      <c r="A1113" t="s">
        <v>320</v>
      </c>
      <c r="B1113">
        <v>2023</v>
      </c>
      <c r="C1113" t="s">
        <v>21</v>
      </c>
      <c r="D1113">
        <v>140</v>
      </c>
      <c r="E1113">
        <v>104</v>
      </c>
      <c r="F1113">
        <v>13</v>
      </c>
      <c r="G1113">
        <v>5</v>
      </c>
      <c r="H1113">
        <v>12</v>
      </c>
      <c r="I1113">
        <v>13</v>
      </c>
      <c r="J1113">
        <v>134.62</v>
      </c>
      <c r="K1113">
        <v>11.67</v>
      </c>
      <c r="L1113">
        <f>_xlfn.XLOOKUP(C1113, dim_teams[team_name], dim_teams[team_id], "Not found", 0)</f>
        <v>2</v>
      </c>
    </row>
    <row r="1114" spans="1:12" x14ac:dyDescent="0.3">
      <c r="A1114" t="s">
        <v>320</v>
      </c>
      <c r="B1114">
        <v>2024</v>
      </c>
      <c r="C1114" t="s">
        <v>102</v>
      </c>
      <c r="D1114">
        <v>326</v>
      </c>
      <c r="E1114">
        <v>173</v>
      </c>
      <c r="F1114">
        <v>27</v>
      </c>
      <c r="G1114">
        <v>22</v>
      </c>
      <c r="H1114">
        <v>9</v>
      </c>
      <c r="I1114">
        <v>13</v>
      </c>
      <c r="J1114">
        <v>188.44</v>
      </c>
      <c r="K1114">
        <v>36.22</v>
      </c>
      <c r="L1114">
        <f>_xlfn.XLOOKUP(C1114, dim_teams[team_name], dim_teams[team_id], "Not found", 0)</f>
        <v>19</v>
      </c>
    </row>
    <row r="1115" spans="1:12" x14ac:dyDescent="0.3">
      <c r="A1115" t="s">
        <v>321</v>
      </c>
      <c r="B1115">
        <v>2016</v>
      </c>
      <c r="C1115" t="s">
        <v>23</v>
      </c>
      <c r="D1115">
        <v>237</v>
      </c>
      <c r="E1115">
        <v>124</v>
      </c>
      <c r="F1115">
        <v>22</v>
      </c>
      <c r="G1115">
        <v>13</v>
      </c>
      <c r="H1115">
        <v>5</v>
      </c>
      <c r="I1115">
        <v>8</v>
      </c>
      <c r="J1115">
        <v>191.13</v>
      </c>
      <c r="K1115">
        <v>47.4</v>
      </c>
      <c r="L1115">
        <f>_xlfn.XLOOKUP(C1115, dim_teams[team_name], dim_teams[team_id], "Not found", 0)</f>
        <v>7</v>
      </c>
    </row>
    <row r="1116" spans="1:12" x14ac:dyDescent="0.3">
      <c r="A1116" t="s">
        <v>321</v>
      </c>
      <c r="B1116">
        <v>2017</v>
      </c>
      <c r="C1116" t="s">
        <v>23</v>
      </c>
      <c r="D1116">
        <v>243</v>
      </c>
      <c r="E1116">
        <v>179</v>
      </c>
      <c r="F1116">
        <v>24</v>
      </c>
      <c r="G1116">
        <v>7</v>
      </c>
      <c r="H1116">
        <v>7</v>
      </c>
      <c r="I1116">
        <v>11</v>
      </c>
      <c r="J1116">
        <v>135.75</v>
      </c>
      <c r="K1116">
        <v>34.71</v>
      </c>
      <c r="L1116">
        <f>_xlfn.XLOOKUP(C1116, dim_teams[team_name], dim_teams[team_id], "Not found", 0)</f>
        <v>7</v>
      </c>
    </row>
    <row r="1117" spans="1:12" x14ac:dyDescent="0.3">
      <c r="A1117" t="s">
        <v>321</v>
      </c>
      <c r="B1117">
        <v>2018</v>
      </c>
      <c r="C1117" t="s">
        <v>23</v>
      </c>
      <c r="D1117">
        <v>228</v>
      </c>
      <c r="E1117">
        <v>157</v>
      </c>
      <c r="F1117">
        <v>22</v>
      </c>
      <c r="G1117">
        <v>10</v>
      </c>
      <c r="H1117">
        <v>9</v>
      </c>
      <c r="I1117">
        <v>13</v>
      </c>
      <c r="J1117">
        <v>145.22</v>
      </c>
      <c r="K1117">
        <v>25.33</v>
      </c>
      <c r="L1117">
        <f>_xlfn.XLOOKUP(C1117, dim_teams[team_name], dim_teams[team_id], "Not found", 0)</f>
        <v>7</v>
      </c>
    </row>
    <row r="1118" spans="1:12" x14ac:dyDescent="0.3">
      <c r="A1118" t="s">
        <v>321</v>
      </c>
      <c r="B1118">
        <v>2019</v>
      </c>
      <c r="C1118" t="s">
        <v>23</v>
      </c>
      <c r="D1118">
        <v>183</v>
      </c>
      <c r="E1118">
        <v>150</v>
      </c>
      <c r="F1118">
        <v>18</v>
      </c>
      <c r="G1118">
        <v>5</v>
      </c>
      <c r="H1118">
        <v>11</v>
      </c>
      <c r="I1118">
        <v>14</v>
      </c>
      <c r="J1118">
        <v>122</v>
      </c>
      <c r="K1118">
        <v>16.64</v>
      </c>
      <c r="L1118">
        <f>_xlfn.XLOOKUP(C1118, dim_teams[team_name], dim_teams[team_id], "Not found", 0)</f>
        <v>7</v>
      </c>
    </row>
    <row r="1119" spans="1:12" x14ac:dyDescent="0.3">
      <c r="A1119" t="s">
        <v>321</v>
      </c>
      <c r="B1119">
        <v>2020</v>
      </c>
      <c r="C1119" t="s">
        <v>23</v>
      </c>
      <c r="D1119">
        <v>109</v>
      </c>
      <c r="E1119">
        <v>92</v>
      </c>
      <c r="F1119">
        <v>9</v>
      </c>
      <c r="G1119">
        <v>5</v>
      </c>
      <c r="H1119">
        <v>6</v>
      </c>
      <c r="I1119">
        <v>11</v>
      </c>
      <c r="J1119">
        <v>118.48</v>
      </c>
      <c r="K1119">
        <v>18.170000000000002</v>
      </c>
      <c r="L1119">
        <f>_xlfn.XLOOKUP(C1119, dim_teams[team_name], dim_teams[team_id], "Not found", 0)</f>
        <v>7</v>
      </c>
    </row>
    <row r="1120" spans="1:12" x14ac:dyDescent="0.3">
      <c r="A1120" t="s">
        <v>321</v>
      </c>
      <c r="B1120">
        <v>2021</v>
      </c>
      <c r="C1120" t="s">
        <v>23</v>
      </c>
      <c r="D1120">
        <v>143</v>
      </c>
      <c r="E1120">
        <v>122</v>
      </c>
      <c r="F1120">
        <v>10</v>
      </c>
      <c r="G1120">
        <v>6</v>
      </c>
      <c r="H1120">
        <v>10</v>
      </c>
      <c r="I1120">
        <v>12</v>
      </c>
      <c r="J1120">
        <v>117.21</v>
      </c>
      <c r="K1120">
        <v>14.3</v>
      </c>
      <c r="L1120">
        <f>_xlfn.XLOOKUP(C1120, dim_teams[team_name], dim_teams[team_id], "Not found", 0)</f>
        <v>7</v>
      </c>
    </row>
    <row r="1121" spans="1:12" x14ac:dyDescent="0.3">
      <c r="A1121" t="s">
        <v>321</v>
      </c>
      <c r="B1121">
        <v>2022</v>
      </c>
      <c r="C1121" t="s">
        <v>15</v>
      </c>
      <c r="D1121">
        <v>183</v>
      </c>
      <c r="E1121">
        <v>145</v>
      </c>
      <c r="F1121">
        <v>16</v>
      </c>
      <c r="G1121">
        <v>4</v>
      </c>
      <c r="H1121">
        <v>10</v>
      </c>
      <c r="I1121">
        <v>13</v>
      </c>
      <c r="J1121">
        <v>126.21</v>
      </c>
      <c r="K1121">
        <v>18.3</v>
      </c>
      <c r="L1121">
        <f>_xlfn.XLOOKUP(C1121, dim_teams[team_name], dim_teams[team_id], "Not found", 0)</f>
        <v>17</v>
      </c>
    </row>
    <row r="1122" spans="1:12" x14ac:dyDescent="0.3">
      <c r="A1122" t="s">
        <v>321</v>
      </c>
      <c r="B1122">
        <v>2023</v>
      </c>
      <c r="C1122" t="s">
        <v>15</v>
      </c>
      <c r="D1122">
        <v>188</v>
      </c>
      <c r="E1122">
        <v>164</v>
      </c>
      <c r="F1122">
        <v>15</v>
      </c>
      <c r="G1122">
        <v>6</v>
      </c>
      <c r="H1122">
        <v>11</v>
      </c>
      <c r="I1122">
        <v>14</v>
      </c>
      <c r="J1122">
        <v>114.63</v>
      </c>
      <c r="K1122">
        <v>17.09</v>
      </c>
      <c r="L1122">
        <f>_xlfn.XLOOKUP(C1122, dim_teams[team_name], dim_teams[team_id], "Not found", 0)</f>
        <v>17</v>
      </c>
    </row>
    <row r="1123" spans="1:12" x14ac:dyDescent="0.3">
      <c r="A1123" t="s">
        <v>321</v>
      </c>
      <c r="B1123">
        <v>2024</v>
      </c>
      <c r="C1123" t="s">
        <v>15</v>
      </c>
      <c r="D1123">
        <v>133</v>
      </c>
      <c r="E1123">
        <v>105</v>
      </c>
      <c r="F1123">
        <v>8</v>
      </c>
      <c r="G1123">
        <v>5</v>
      </c>
      <c r="H1123">
        <v>5</v>
      </c>
      <c r="I1123">
        <v>11</v>
      </c>
      <c r="J1123">
        <v>126.67</v>
      </c>
      <c r="K1123">
        <v>26.6</v>
      </c>
      <c r="L1123">
        <f>_xlfn.XLOOKUP(C1123, dim_teams[team_name], dim_teams[team_id], "Not found", 0)</f>
        <v>17</v>
      </c>
    </row>
    <row r="1124" spans="1:12" x14ac:dyDescent="0.3">
      <c r="A1124" t="s">
        <v>321</v>
      </c>
      <c r="B1124">
        <v>2025</v>
      </c>
      <c r="C1124" t="s">
        <v>102</v>
      </c>
      <c r="D1124">
        <v>109</v>
      </c>
      <c r="E1124">
        <v>85</v>
      </c>
      <c r="F1124">
        <v>9</v>
      </c>
      <c r="G1124">
        <v>4</v>
      </c>
      <c r="H1124">
        <v>6</v>
      </c>
      <c r="I1124">
        <v>7</v>
      </c>
      <c r="J1124">
        <v>128.24</v>
      </c>
      <c r="K1124">
        <v>18.170000000000002</v>
      </c>
      <c r="L1124">
        <f>_xlfn.XLOOKUP(C1124, dim_teams[team_name], dim_teams[team_id], "Not found", 0)</f>
        <v>19</v>
      </c>
    </row>
    <row r="1125" spans="1:12" x14ac:dyDescent="0.3">
      <c r="A1125" t="s">
        <v>322</v>
      </c>
      <c r="B1125">
        <v>2016</v>
      </c>
      <c r="C1125" t="s">
        <v>54</v>
      </c>
      <c r="D1125">
        <v>13</v>
      </c>
      <c r="E1125">
        <v>8</v>
      </c>
      <c r="F1125">
        <v>0</v>
      </c>
      <c r="G1125">
        <v>1</v>
      </c>
      <c r="H1125">
        <v>1</v>
      </c>
      <c r="I1125">
        <v>3</v>
      </c>
      <c r="J1125">
        <v>162.5</v>
      </c>
      <c r="K1125">
        <v>13</v>
      </c>
      <c r="L1125">
        <f>_xlfn.XLOOKUP(C1125, dim_teams[team_name], dim_teams[team_id], "Not found", 0)</f>
        <v>4</v>
      </c>
    </row>
    <row r="1126" spans="1:12" x14ac:dyDescent="0.3">
      <c r="A1126" t="s">
        <v>323</v>
      </c>
      <c r="B1126">
        <v>2019</v>
      </c>
      <c r="C1126" t="s">
        <v>13</v>
      </c>
      <c r="D1126">
        <v>0</v>
      </c>
      <c r="E1126">
        <v>1</v>
      </c>
      <c r="F1126">
        <v>0</v>
      </c>
      <c r="G1126">
        <v>0</v>
      </c>
      <c r="H1126">
        <v>1</v>
      </c>
      <c r="I1126">
        <v>1</v>
      </c>
      <c r="J1126">
        <v>0</v>
      </c>
      <c r="K1126">
        <v>0</v>
      </c>
      <c r="L1126">
        <f>_xlfn.XLOOKUP(C1126, dim_teams[team_name], dim_teams[team_id], "Not found", 0)</f>
        <v>11</v>
      </c>
    </row>
    <row r="1127" spans="1:12" x14ac:dyDescent="0.3">
      <c r="A1127" t="s">
        <v>323</v>
      </c>
      <c r="B1127">
        <v>2020</v>
      </c>
      <c r="C1127" t="s">
        <v>13</v>
      </c>
      <c r="D1127">
        <v>0</v>
      </c>
      <c r="E1127">
        <v>2</v>
      </c>
      <c r="F1127">
        <v>0</v>
      </c>
      <c r="G1127">
        <v>0</v>
      </c>
      <c r="H1127">
        <v>1</v>
      </c>
      <c r="I1127">
        <v>1</v>
      </c>
      <c r="J1127">
        <v>0</v>
      </c>
      <c r="K1127">
        <v>0</v>
      </c>
      <c r="L1127">
        <f>_xlfn.XLOOKUP(C1127, dim_teams[team_name], dim_teams[team_id], "Not found", 0)</f>
        <v>11</v>
      </c>
    </row>
    <row r="1128" spans="1:12" x14ac:dyDescent="0.3">
      <c r="A1128" t="s">
        <v>323</v>
      </c>
      <c r="B1128">
        <v>2021</v>
      </c>
      <c r="C1128" t="s">
        <v>13</v>
      </c>
      <c r="D1128">
        <v>1</v>
      </c>
      <c r="E1128">
        <v>2</v>
      </c>
      <c r="F1128">
        <v>0</v>
      </c>
      <c r="G1128">
        <v>0</v>
      </c>
      <c r="H1128">
        <v>1</v>
      </c>
      <c r="I1128">
        <v>1</v>
      </c>
      <c r="J1128">
        <v>50</v>
      </c>
      <c r="K1128">
        <v>1</v>
      </c>
      <c r="L1128">
        <f>_xlfn.XLOOKUP(C1128, dim_teams[team_name], dim_teams[team_id], "Not found", 0)</f>
        <v>11</v>
      </c>
    </row>
    <row r="1129" spans="1:12" x14ac:dyDescent="0.3">
      <c r="A1129" t="s">
        <v>323</v>
      </c>
      <c r="B1129">
        <v>2022</v>
      </c>
      <c r="C1129" t="s">
        <v>33</v>
      </c>
      <c r="D1129">
        <v>0</v>
      </c>
      <c r="E1129">
        <v>2</v>
      </c>
      <c r="F1129">
        <v>0</v>
      </c>
      <c r="G1129">
        <v>0</v>
      </c>
      <c r="H1129">
        <v>2</v>
      </c>
      <c r="I1129">
        <v>2</v>
      </c>
      <c r="J1129">
        <v>0</v>
      </c>
      <c r="K1129">
        <v>0</v>
      </c>
      <c r="L1129">
        <f>_xlfn.XLOOKUP(C1129, dim_teams[team_name], dim_teams[team_id], "Not found", 0)</f>
        <v>15</v>
      </c>
    </row>
    <row r="1130" spans="1:12" x14ac:dyDescent="0.3">
      <c r="A1130" t="s">
        <v>323</v>
      </c>
      <c r="B1130">
        <v>2025</v>
      </c>
      <c r="C1130" t="s">
        <v>25</v>
      </c>
      <c r="D1130">
        <v>1</v>
      </c>
      <c r="E1130">
        <v>2</v>
      </c>
      <c r="F1130">
        <v>0</v>
      </c>
      <c r="G1130">
        <v>0</v>
      </c>
      <c r="H1130">
        <v>0</v>
      </c>
      <c r="I1130">
        <v>1</v>
      </c>
      <c r="J1130">
        <v>50</v>
      </c>
      <c r="L1130">
        <f>_xlfn.XLOOKUP(C1130, dim_teams[team_name], dim_teams[team_id], "Not found", 0)</f>
        <v>3</v>
      </c>
    </row>
    <row r="1131" spans="1:12" x14ac:dyDescent="0.3">
      <c r="A1131" t="s">
        <v>324</v>
      </c>
      <c r="B1131">
        <v>2012</v>
      </c>
      <c r="C1131" t="s">
        <v>17</v>
      </c>
      <c r="D1131">
        <v>38</v>
      </c>
      <c r="E1131">
        <v>19</v>
      </c>
      <c r="F1131">
        <v>3</v>
      </c>
      <c r="G1131">
        <v>3</v>
      </c>
      <c r="H1131">
        <v>2</v>
      </c>
      <c r="I1131">
        <v>4</v>
      </c>
      <c r="J1131">
        <v>200</v>
      </c>
      <c r="K1131">
        <v>19</v>
      </c>
      <c r="L1131">
        <f>_xlfn.XLOOKUP(C1131, dim_teams[team_name], dim_teams[team_id], "Not found", 0)</f>
        <v>5</v>
      </c>
    </row>
    <row r="1132" spans="1:12" x14ac:dyDescent="0.3">
      <c r="A1132" t="s">
        <v>324</v>
      </c>
      <c r="B1132">
        <v>2013</v>
      </c>
      <c r="C1132" t="s">
        <v>17</v>
      </c>
      <c r="D1132">
        <v>39</v>
      </c>
      <c r="E1132">
        <v>22</v>
      </c>
      <c r="F1132">
        <v>4</v>
      </c>
      <c r="G1132">
        <v>2</v>
      </c>
      <c r="H1132">
        <v>4</v>
      </c>
      <c r="I1132">
        <v>5</v>
      </c>
      <c r="J1132">
        <v>177.27</v>
      </c>
      <c r="K1132">
        <v>9.75</v>
      </c>
      <c r="L1132">
        <f>_xlfn.XLOOKUP(C1132, dim_teams[team_name], dim_teams[team_id], "Not found", 0)</f>
        <v>5</v>
      </c>
    </row>
    <row r="1133" spans="1:12" x14ac:dyDescent="0.3">
      <c r="A1133" t="s">
        <v>324</v>
      </c>
      <c r="B1133">
        <v>2014</v>
      </c>
      <c r="C1133" t="s">
        <v>17</v>
      </c>
      <c r="D1133">
        <v>39</v>
      </c>
      <c r="E1133">
        <v>26</v>
      </c>
      <c r="F1133">
        <v>2</v>
      </c>
      <c r="G1133">
        <v>3</v>
      </c>
      <c r="H1133">
        <v>3</v>
      </c>
      <c r="I1133">
        <v>3</v>
      </c>
      <c r="J1133">
        <v>150</v>
      </c>
      <c r="K1133">
        <v>13</v>
      </c>
      <c r="L1133">
        <f>_xlfn.XLOOKUP(C1133, dim_teams[team_name], dim_teams[team_id], "Not found", 0)</f>
        <v>5</v>
      </c>
    </row>
    <row r="1134" spans="1:12" x14ac:dyDescent="0.3">
      <c r="A1134" t="s">
        <v>325</v>
      </c>
      <c r="B1134">
        <v>2013</v>
      </c>
      <c r="C1134" t="s">
        <v>21</v>
      </c>
      <c r="D1134">
        <v>9</v>
      </c>
      <c r="E1134">
        <v>12</v>
      </c>
      <c r="F1134">
        <v>0</v>
      </c>
      <c r="G1134">
        <v>0</v>
      </c>
      <c r="H1134">
        <v>2</v>
      </c>
      <c r="I1134">
        <v>2</v>
      </c>
      <c r="J1134">
        <v>75</v>
      </c>
      <c r="K1134">
        <v>4.5</v>
      </c>
      <c r="L1134">
        <f>_xlfn.XLOOKUP(C1134, dim_teams[team_name], dim_teams[team_id], "Not found", 0)</f>
        <v>2</v>
      </c>
    </row>
    <row r="1135" spans="1:12" x14ac:dyDescent="0.3">
      <c r="A1135" t="s">
        <v>325</v>
      </c>
      <c r="B1135">
        <v>2014</v>
      </c>
      <c r="C1135" t="s">
        <v>17</v>
      </c>
      <c r="D1135">
        <v>330</v>
      </c>
      <c r="E1135">
        <v>232</v>
      </c>
      <c r="F1135">
        <v>38</v>
      </c>
      <c r="G1135">
        <v>9</v>
      </c>
      <c r="H1135">
        <v>11</v>
      </c>
      <c r="I1135">
        <v>11</v>
      </c>
      <c r="J1135">
        <v>142.24</v>
      </c>
      <c r="K1135">
        <v>30</v>
      </c>
      <c r="L1135">
        <f>_xlfn.XLOOKUP(C1135, dim_teams[team_name], dim_teams[team_id], "Not found", 0)</f>
        <v>5</v>
      </c>
    </row>
    <row r="1136" spans="1:12" x14ac:dyDescent="0.3">
      <c r="A1136" t="s">
        <v>325</v>
      </c>
      <c r="B1136">
        <v>2015</v>
      </c>
      <c r="C1136" t="s">
        <v>17</v>
      </c>
      <c r="D1136">
        <v>181</v>
      </c>
      <c r="E1136">
        <v>145</v>
      </c>
      <c r="F1136">
        <v>18</v>
      </c>
      <c r="G1136">
        <v>5</v>
      </c>
      <c r="H1136">
        <v>10</v>
      </c>
      <c r="I1136">
        <v>12</v>
      </c>
      <c r="J1136">
        <v>124.83</v>
      </c>
      <c r="K1136">
        <v>18.100000000000001</v>
      </c>
      <c r="L1136">
        <f>_xlfn.XLOOKUP(C1136, dim_teams[team_name], dim_teams[team_id], "Not found", 0)</f>
        <v>5</v>
      </c>
    </row>
    <row r="1137" spans="1:12" x14ac:dyDescent="0.3">
      <c r="A1137" t="s">
        <v>325</v>
      </c>
      <c r="B1137">
        <v>2016</v>
      </c>
      <c r="C1137" t="s">
        <v>32</v>
      </c>
      <c r="D1137">
        <v>357</v>
      </c>
      <c r="E1137">
        <v>295</v>
      </c>
      <c r="F1137">
        <v>40</v>
      </c>
      <c r="G1137">
        <v>6</v>
      </c>
      <c r="H1137">
        <v>11</v>
      </c>
      <c r="I1137">
        <v>12</v>
      </c>
      <c r="J1137">
        <v>121.02</v>
      </c>
      <c r="K1137">
        <v>32.450000000000003</v>
      </c>
      <c r="L1137">
        <f>_xlfn.XLOOKUP(C1137, dim_teams[team_name], dim_teams[team_id], "Not found", 0)</f>
        <v>6</v>
      </c>
    </row>
    <row r="1138" spans="1:12" x14ac:dyDescent="0.3">
      <c r="A1138" t="s">
        <v>325</v>
      </c>
      <c r="B1138">
        <v>2017</v>
      </c>
      <c r="C1138" t="s">
        <v>32</v>
      </c>
      <c r="D1138">
        <v>281</v>
      </c>
      <c r="E1138">
        <v>226</v>
      </c>
      <c r="F1138">
        <v>39</v>
      </c>
      <c r="G1138">
        <v>6</v>
      </c>
      <c r="H1138">
        <v>13</v>
      </c>
      <c r="I1138">
        <v>13</v>
      </c>
      <c r="J1138">
        <v>124.34</v>
      </c>
      <c r="K1138">
        <v>21.62</v>
      </c>
      <c r="L1138">
        <f>_xlfn.XLOOKUP(C1138, dim_teams[team_name], dim_teams[team_id], "Not found", 0)</f>
        <v>6</v>
      </c>
    </row>
    <row r="1139" spans="1:12" x14ac:dyDescent="0.3">
      <c r="A1139" t="s">
        <v>325</v>
      </c>
      <c r="B1139">
        <v>2018</v>
      </c>
      <c r="C1139" t="s">
        <v>54</v>
      </c>
      <c r="D1139">
        <v>301</v>
      </c>
      <c r="E1139">
        <v>221</v>
      </c>
      <c r="F1139">
        <v>23</v>
      </c>
      <c r="G1139">
        <v>13</v>
      </c>
      <c r="H1139">
        <v>13</v>
      </c>
      <c r="I1139">
        <v>12</v>
      </c>
      <c r="J1139">
        <v>136.19999999999999</v>
      </c>
      <c r="K1139">
        <v>23.15</v>
      </c>
      <c r="L1139">
        <f>_xlfn.XLOOKUP(C1139, dim_teams[team_name], dim_teams[team_id], "Not found", 0)</f>
        <v>4</v>
      </c>
    </row>
    <row r="1140" spans="1:12" x14ac:dyDescent="0.3">
      <c r="A1140" t="s">
        <v>325</v>
      </c>
      <c r="B1140">
        <v>2019</v>
      </c>
      <c r="C1140" t="s">
        <v>54</v>
      </c>
      <c r="D1140">
        <v>5</v>
      </c>
      <c r="E1140">
        <v>6</v>
      </c>
      <c r="F1140">
        <v>0</v>
      </c>
      <c r="G1140">
        <v>0</v>
      </c>
      <c r="H1140">
        <v>1</v>
      </c>
      <c r="I1140">
        <v>1</v>
      </c>
      <c r="J1140">
        <v>83.33</v>
      </c>
      <c r="K1140">
        <v>5</v>
      </c>
      <c r="L1140">
        <f>_xlfn.XLOOKUP(C1140, dim_teams[team_name], dim_teams[team_id], "Not found", 0)</f>
        <v>4</v>
      </c>
    </row>
    <row r="1141" spans="1:12" x14ac:dyDescent="0.3">
      <c r="A1141" t="s">
        <v>325</v>
      </c>
      <c r="B1141">
        <v>2020</v>
      </c>
      <c r="C1141" t="s">
        <v>54</v>
      </c>
      <c r="D1141">
        <v>16</v>
      </c>
      <c r="E1141">
        <v>14</v>
      </c>
      <c r="F1141">
        <v>2</v>
      </c>
      <c r="G1141">
        <v>0</v>
      </c>
      <c r="H1141">
        <v>2</v>
      </c>
      <c r="I1141">
        <v>3</v>
      </c>
      <c r="J1141">
        <v>114.29</v>
      </c>
      <c r="K1141">
        <v>8</v>
      </c>
      <c r="L1141">
        <f>_xlfn.XLOOKUP(C1141, dim_teams[team_name], dim_teams[team_id], "Not found", 0)</f>
        <v>4</v>
      </c>
    </row>
    <row r="1142" spans="1:12" x14ac:dyDescent="0.3">
      <c r="A1142" t="s">
        <v>325</v>
      </c>
      <c r="B1142">
        <v>2022</v>
      </c>
      <c r="C1142" t="s">
        <v>17</v>
      </c>
      <c r="D1142">
        <v>16</v>
      </c>
      <c r="E1142">
        <v>18</v>
      </c>
      <c r="F1142">
        <v>1</v>
      </c>
      <c r="G1142">
        <v>0</v>
      </c>
      <c r="H1142">
        <v>2</v>
      </c>
      <c r="I1142">
        <v>2</v>
      </c>
      <c r="J1142">
        <v>88.89</v>
      </c>
      <c r="K1142">
        <v>8</v>
      </c>
      <c r="L1142">
        <f>_xlfn.XLOOKUP(C1142, dim_teams[team_name], dim_teams[team_id], "Not found", 0)</f>
        <v>5</v>
      </c>
    </row>
    <row r="1143" spans="1:12" x14ac:dyDescent="0.3">
      <c r="A1143" t="s">
        <v>325</v>
      </c>
      <c r="B1143">
        <v>2025</v>
      </c>
      <c r="C1143" t="s">
        <v>33</v>
      </c>
      <c r="D1143">
        <v>198</v>
      </c>
      <c r="E1143">
        <v>114</v>
      </c>
      <c r="F1143">
        <v>24</v>
      </c>
      <c r="G1143">
        <v>10</v>
      </c>
      <c r="H1143">
        <v>7</v>
      </c>
      <c r="I1143">
        <v>8</v>
      </c>
      <c r="J1143">
        <v>173.68</v>
      </c>
      <c r="K1143">
        <v>28.29</v>
      </c>
      <c r="L1143">
        <f>_xlfn.XLOOKUP(C1143, dim_teams[team_name], dim_teams[team_id], "Not found", 0)</f>
        <v>15</v>
      </c>
    </row>
    <row r="1144" spans="1:12" x14ac:dyDescent="0.3">
      <c r="A1144" t="s">
        <v>326</v>
      </c>
      <c r="B1144">
        <v>2020</v>
      </c>
      <c r="C1144" t="s">
        <v>19</v>
      </c>
      <c r="D1144">
        <v>22</v>
      </c>
      <c r="E1144">
        <v>31</v>
      </c>
      <c r="F1144">
        <v>1</v>
      </c>
      <c r="G1144">
        <v>0</v>
      </c>
      <c r="H1144">
        <v>3</v>
      </c>
      <c r="I1144">
        <v>6</v>
      </c>
      <c r="J1144">
        <v>70.97</v>
      </c>
      <c r="K1144">
        <v>7.33</v>
      </c>
      <c r="L1144">
        <f>_xlfn.XLOOKUP(C1144, dim_teams[team_name], dim_teams[team_id], "Not found", 0)</f>
        <v>1</v>
      </c>
    </row>
    <row r="1145" spans="1:12" x14ac:dyDescent="0.3">
      <c r="A1145" t="s">
        <v>326</v>
      </c>
      <c r="B1145">
        <v>2021</v>
      </c>
      <c r="C1145" t="s">
        <v>19</v>
      </c>
      <c r="D1145">
        <v>0</v>
      </c>
      <c r="E1145">
        <v>2</v>
      </c>
      <c r="F1145">
        <v>0</v>
      </c>
      <c r="G1145">
        <v>0</v>
      </c>
      <c r="H1145">
        <v>1</v>
      </c>
      <c r="I1145">
        <v>1</v>
      </c>
      <c r="J1145">
        <v>0</v>
      </c>
      <c r="K1145">
        <v>0</v>
      </c>
      <c r="L1145">
        <f>_xlfn.XLOOKUP(C1145, dim_teams[team_name], dim_teams[team_id], "Not found", 0)</f>
        <v>1</v>
      </c>
    </row>
    <row r="1146" spans="1:12" x14ac:dyDescent="0.3">
      <c r="A1146" t="s">
        <v>327</v>
      </c>
      <c r="B1146">
        <v>2013</v>
      </c>
      <c r="C1146" t="s">
        <v>21</v>
      </c>
      <c r="D1146">
        <v>20</v>
      </c>
      <c r="E1146">
        <v>16</v>
      </c>
      <c r="F1146">
        <v>4</v>
      </c>
      <c r="G1146">
        <v>0</v>
      </c>
      <c r="H1146">
        <v>2</v>
      </c>
      <c r="I1146">
        <v>2</v>
      </c>
      <c r="J1146">
        <v>125</v>
      </c>
      <c r="K1146">
        <v>10</v>
      </c>
      <c r="L1146">
        <f>_xlfn.XLOOKUP(C1146, dim_teams[team_name], dim_teams[team_id], "Not found", 0)</f>
        <v>2</v>
      </c>
    </row>
    <row r="1147" spans="1:12" x14ac:dyDescent="0.3">
      <c r="A1147" t="s">
        <v>327</v>
      </c>
      <c r="B1147">
        <v>2014</v>
      </c>
      <c r="C1147" t="s">
        <v>13</v>
      </c>
      <c r="D1147">
        <v>166</v>
      </c>
      <c r="E1147">
        <v>164</v>
      </c>
      <c r="F1147">
        <v>12</v>
      </c>
      <c r="G1147">
        <v>3</v>
      </c>
      <c r="H1147">
        <v>8</v>
      </c>
      <c r="I1147">
        <v>8</v>
      </c>
      <c r="J1147">
        <v>101.22</v>
      </c>
      <c r="K1147">
        <v>20.75</v>
      </c>
      <c r="L1147">
        <f>_xlfn.XLOOKUP(C1147, dim_teams[team_name], dim_teams[team_id], "Not found", 0)</f>
        <v>11</v>
      </c>
    </row>
    <row r="1148" spans="1:12" x14ac:dyDescent="0.3">
      <c r="A1148" t="s">
        <v>327</v>
      </c>
      <c r="B1148">
        <v>2015</v>
      </c>
      <c r="C1148" t="s">
        <v>13</v>
      </c>
      <c r="D1148">
        <v>142</v>
      </c>
      <c r="E1148">
        <v>124</v>
      </c>
      <c r="F1148">
        <v>8</v>
      </c>
      <c r="G1148">
        <v>5</v>
      </c>
      <c r="H1148">
        <v>7</v>
      </c>
      <c r="I1148">
        <v>8</v>
      </c>
      <c r="J1148">
        <v>114.52</v>
      </c>
      <c r="K1148">
        <v>20.29</v>
      </c>
      <c r="L1148">
        <f>_xlfn.XLOOKUP(C1148, dim_teams[team_name], dim_teams[team_id], "Not found", 0)</f>
        <v>11</v>
      </c>
    </row>
    <row r="1149" spans="1:12" x14ac:dyDescent="0.3">
      <c r="A1149" t="s">
        <v>327</v>
      </c>
      <c r="B1149">
        <v>2016</v>
      </c>
      <c r="C1149" t="s">
        <v>21</v>
      </c>
      <c r="D1149">
        <v>397</v>
      </c>
      <c r="E1149">
        <v>271</v>
      </c>
      <c r="F1149">
        <v>37</v>
      </c>
      <c r="G1149">
        <v>16</v>
      </c>
      <c r="H1149">
        <v>9</v>
      </c>
      <c r="I1149">
        <v>12</v>
      </c>
      <c r="J1149">
        <v>146.49</v>
      </c>
      <c r="K1149">
        <v>44.11</v>
      </c>
      <c r="L1149">
        <f>_xlfn.XLOOKUP(C1149, dim_teams[team_name], dim_teams[team_id], "Not found", 0)</f>
        <v>2</v>
      </c>
    </row>
    <row r="1150" spans="1:12" x14ac:dyDescent="0.3">
      <c r="A1150" t="s">
        <v>327</v>
      </c>
      <c r="B1150">
        <v>2018</v>
      </c>
      <c r="C1150" t="s">
        <v>54</v>
      </c>
      <c r="D1150">
        <v>659</v>
      </c>
      <c r="E1150">
        <v>415</v>
      </c>
      <c r="F1150">
        <v>66</v>
      </c>
      <c r="G1150">
        <v>32</v>
      </c>
      <c r="H1150">
        <v>12</v>
      </c>
      <c r="I1150">
        <v>14</v>
      </c>
      <c r="J1150">
        <v>158.80000000000001</v>
      </c>
      <c r="K1150">
        <v>54.92</v>
      </c>
      <c r="L1150">
        <f>_xlfn.XLOOKUP(C1150, dim_teams[team_name], dim_teams[team_id], "Not found", 0)</f>
        <v>4</v>
      </c>
    </row>
    <row r="1151" spans="1:12" x14ac:dyDescent="0.3">
      <c r="A1151" t="s">
        <v>327</v>
      </c>
      <c r="B1151">
        <v>2019</v>
      </c>
      <c r="C1151" t="s">
        <v>54</v>
      </c>
      <c r="D1151">
        <v>593</v>
      </c>
      <c r="E1151">
        <v>437</v>
      </c>
      <c r="F1151">
        <v>49</v>
      </c>
      <c r="G1151">
        <v>25</v>
      </c>
      <c r="H1151">
        <v>11</v>
      </c>
      <c r="I1151">
        <v>14</v>
      </c>
      <c r="J1151">
        <v>135.69999999999999</v>
      </c>
      <c r="K1151">
        <v>53.91</v>
      </c>
      <c r="L1151">
        <f>_xlfn.XLOOKUP(C1151, dim_teams[team_name], dim_teams[team_id], "Not found", 0)</f>
        <v>4</v>
      </c>
    </row>
    <row r="1152" spans="1:12" x14ac:dyDescent="0.3">
      <c r="A1152" t="s">
        <v>327</v>
      </c>
      <c r="B1152">
        <v>2020</v>
      </c>
      <c r="C1152" t="s">
        <v>54</v>
      </c>
      <c r="D1152">
        <v>676</v>
      </c>
      <c r="E1152">
        <v>521</v>
      </c>
      <c r="F1152">
        <v>58</v>
      </c>
      <c r="G1152">
        <v>23</v>
      </c>
      <c r="H1152">
        <v>15</v>
      </c>
      <c r="I1152">
        <v>14</v>
      </c>
      <c r="J1152">
        <v>129.75</v>
      </c>
      <c r="K1152">
        <v>45.07</v>
      </c>
      <c r="L1152">
        <f>_xlfn.XLOOKUP(C1152, dim_teams[team_name], dim_teams[team_id], "Not found", 0)</f>
        <v>4</v>
      </c>
    </row>
    <row r="1153" spans="1:12" x14ac:dyDescent="0.3">
      <c r="A1153" t="s">
        <v>327</v>
      </c>
      <c r="B1153">
        <v>2021</v>
      </c>
      <c r="C1153" t="s">
        <v>76</v>
      </c>
      <c r="D1153">
        <v>626</v>
      </c>
      <c r="E1153">
        <v>450</v>
      </c>
      <c r="F1153">
        <v>48</v>
      </c>
      <c r="G1153">
        <v>30</v>
      </c>
      <c r="H1153">
        <v>9</v>
      </c>
      <c r="I1153">
        <v>13</v>
      </c>
      <c r="J1153">
        <v>139.11000000000001</v>
      </c>
      <c r="K1153">
        <v>69.56</v>
      </c>
      <c r="L1153">
        <f>_xlfn.XLOOKUP(C1153, dim_teams[team_name], dim_teams[team_id], "Not found", 0)</f>
        <v>16</v>
      </c>
    </row>
    <row r="1154" spans="1:12" x14ac:dyDescent="0.3">
      <c r="A1154" t="s">
        <v>327</v>
      </c>
      <c r="B1154">
        <v>2022</v>
      </c>
      <c r="C1154" t="s">
        <v>15</v>
      </c>
      <c r="D1154">
        <v>616</v>
      </c>
      <c r="E1154">
        <v>454</v>
      </c>
      <c r="F1154">
        <v>45</v>
      </c>
      <c r="G1154">
        <v>30</v>
      </c>
      <c r="H1154">
        <v>11</v>
      </c>
      <c r="I1154">
        <v>14</v>
      </c>
      <c r="J1154">
        <v>135.68</v>
      </c>
      <c r="K1154">
        <v>56</v>
      </c>
      <c r="L1154">
        <f>_xlfn.XLOOKUP(C1154, dim_teams[team_name], dim_teams[team_id], "Not found", 0)</f>
        <v>17</v>
      </c>
    </row>
    <row r="1155" spans="1:12" x14ac:dyDescent="0.3">
      <c r="A1155" t="s">
        <v>327</v>
      </c>
      <c r="B1155">
        <v>2023</v>
      </c>
      <c r="C1155" t="s">
        <v>15</v>
      </c>
      <c r="D1155">
        <v>274</v>
      </c>
      <c r="E1155">
        <v>241</v>
      </c>
      <c r="F1155">
        <v>28</v>
      </c>
      <c r="G1155">
        <v>4</v>
      </c>
      <c r="H1155">
        <v>8</v>
      </c>
      <c r="I1155">
        <v>9</v>
      </c>
      <c r="J1155">
        <v>113.69</v>
      </c>
      <c r="K1155">
        <v>34.25</v>
      </c>
      <c r="L1155">
        <f>_xlfn.XLOOKUP(C1155, dim_teams[team_name], dim_teams[team_id], "Not found", 0)</f>
        <v>17</v>
      </c>
    </row>
    <row r="1156" spans="1:12" x14ac:dyDescent="0.3">
      <c r="A1156" t="s">
        <v>327</v>
      </c>
      <c r="B1156">
        <v>2024</v>
      </c>
      <c r="C1156" t="s">
        <v>15</v>
      </c>
      <c r="D1156">
        <v>520</v>
      </c>
      <c r="E1156">
        <v>380</v>
      </c>
      <c r="F1156">
        <v>45</v>
      </c>
      <c r="G1156">
        <v>19</v>
      </c>
      <c r="H1156">
        <v>14</v>
      </c>
      <c r="I1156">
        <v>14</v>
      </c>
      <c r="J1156">
        <v>136.84</v>
      </c>
      <c r="K1156">
        <v>37.14</v>
      </c>
      <c r="L1156">
        <f>_xlfn.XLOOKUP(C1156, dim_teams[team_name], dim_teams[team_id], "Not found", 0)</f>
        <v>17</v>
      </c>
    </row>
    <row r="1157" spans="1:12" x14ac:dyDescent="0.3">
      <c r="A1157" t="s">
        <v>327</v>
      </c>
      <c r="B1157">
        <v>2025</v>
      </c>
      <c r="C1157" t="s">
        <v>33</v>
      </c>
      <c r="D1157">
        <v>546</v>
      </c>
      <c r="E1157">
        <v>363</v>
      </c>
      <c r="F1157">
        <v>53</v>
      </c>
      <c r="G1157">
        <v>21</v>
      </c>
      <c r="H1157">
        <v>9</v>
      </c>
      <c r="I1157">
        <v>13</v>
      </c>
      <c r="J1157">
        <v>150.41</v>
      </c>
      <c r="K1157">
        <v>60.67</v>
      </c>
      <c r="L1157">
        <f>_xlfn.XLOOKUP(C1157, dim_teams[team_name], dim_teams[team_id], "Not found", 0)</f>
        <v>15</v>
      </c>
    </row>
    <row r="1158" spans="1:12" x14ac:dyDescent="0.3">
      <c r="A1158" t="s">
        <v>328</v>
      </c>
      <c r="B1158">
        <v>2023</v>
      </c>
      <c r="C1158" t="s">
        <v>17</v>
      </c>
      <c r="D1158">
        <v>0</v>
      </c>
      <c r="E1158">
        <v>2</v>
      </c>
      <c r="F1158">
        <v>0</v>
      </c>
      <c r="G1158">
        <v>0</v>
      </c>
      <c r="H1158">
        <v>1</v>
      </c>
      <c r="I1158">
        <v>1</v>
      </c>
      <c r="J1158">
        <v>0</v>
      </c>
      <c r="K1158">
        <v>0</v>
      </c>
      <c r="L1158">
        <f>_xlfn.XLOOKUP(C1158, dim_teams[team_name], dim_teams[team_id], "Not found", 0)</f>
        <v>5</v>
      </c>
    </row>
    <row r="1159" spans="1:12" x14ac:dyDescent="0.3">
      <c r="A1159" t="s">
        <v>329</v>
      </c>
      <c r="B1159">
        <v>2010</v>
      </c>
      <c r="C1159" t="s">
        <v>32</v>
      </c>
      <c r="D1159">
        <v>76</v>
      </c>
      <c r="E1159">
        <v>56</v>
      </c>
      <c r="F1159">
        <v>7</v>
      </c>
      <c r="G1159">
        <v>2</v>
      </c>
      <c r="H1159">
        <v>4</v>
      </c>
      <c r="I1159">
        <v>5</v>
      </c>
      <c r="J1159">
        <v>135.71</v>
      </c>
      <c r="K1159">
        <v>19</v>
      </c>
      <c r="L1159">
        <f>_xlfn.XLOOKUP(C1159, dim_teams[team_name], dim_teams[team_id], "Not found", 0)</f>
        <v>6</v>
      </c>
    </row>
    <row r="1160" spans="1:12" x14ac:dyDescent="0.3">
      <c r="A1160" t="s">
        <v>329</v>
      </c>
      <c r="B1160">
        <v>2011</v>
      </c>
      <c r="C1160" t="s">
        <v>122</v>
      </c>
      <c r="D1160">
        <v>18</v>
      </c>
      <c r="E1160">
        <v>23</v>
      </c>
      <c r="F1160">
        <v>1</v>
      </c>
      <c r="G1160">
        <v>0</v>
      </c>
      <c r="H1160">
        <v>3</v>
      </c>
      <c r="I1160">
        <v>4</v>
      </c>
      <c r="J1160">
        <v>78.260000000000005</v>
      </c>
      <c r="K1160">
        <v>6</v>
      </c>
      <c r="L1160">
        <f>_xlfn.XLOOKUP(C1160, dim_teams[team_name], dim_teams[team_id], "Not found", 0)</f>
        <v>9</v>
      </c>
    </row>
    <row r="1161" spans="1:12" x14ac:dyDescent="0.3">
      <c r="A1161" t="s">
        <v>329</v>
      </c>
      <c r="B1161">
        <v>2013</v>
      </c>
      <c r="C1161" t="s">
        <v>32</v>
      </c>
      <c r="D1161">
        <v>152</v>
      </c>
      <c r="E1161">
        <v>123</v>
      </c>
      <c r="F1161">
        <v>8</v>
      </c>
      <c r="G1161">
        <v>5</v>
      </c>
      <c r="H1161">
        <v>8</v>
      </c>
      <c r="I1161">
        <v>10</v>
      </c>
      <c r="J1161">
        <v>123.58</v>
      </c>
      <c r="K1161">
        <v>19</v>
      </c>
      <c r="L1161">
        <f>_xlfn.XLOOKUP(C1161, dim_teams[team_name], dim_teams[team_id], "Not found", 0)</f>
        <v>6</v>
      </c>
    </row>
    <row r="1162" spans="1:12" x14ac:dyDescent="0.3">
      <c r="A1162" t="s">
        <v>329</v>
      </c>
      <c r="B1162">
        <v>2014</v>
      </c>
      <c r="C1162" t="s">
        <v>32</v>
      </c>
      <c r="D1162">
        <v>149</v>
      </c>
      <c r="E1162">
        <v>99</v>
      </c>
      <c r="F1162">
        <v>13</v>
      </c>
      <c r="G1162">
        <v>7</v>
      </c>
      <c r="H1162">
        <v>3</v>
      </c>
      <c r="I1162">
        <v>10</v>
      </c>
      <c r="J1162">
        <v>150.51</v>
      </c>
      <c r="K1162">
        <v>49.67</v>
      </c>
      <c r="L1162">
        <f>_xlfn.XLOOKUP(C1162, dim_teams[team_name], dim_teams[team_id], "Not found", 0)</f>
        <v>6</v>
      </c>
    </row>
    <row r="1163" spans="1:12" x14ac:dyDescent="0.3">
      <c r="A1163" t="s">
        <v>329</v>
      </c>
      <c r="B1163">
        <v>2015</v>
      </c>
      <c r="C1163" t="s">
        <v>32</v>
      </c>
      <c r="D1163">
        <v>189</v>
      </c>
      <c r="E1163">
        <v>140</v>
      </c>
      <c r="F1163">
        <v>16</v>
      </c>
      <c r="G1163">
        <v>7</v>
      </c>
      <c r="H1163">
        <v>8</v>
      </c>
      <c r="I1163">
        <v>12</v>
      </c>
      <c r="J1163">
        <v>135</v>
      </c>
      <c r="K1163">
        <v>23.62</v>
      </c>
      <c r="L1163">
        <f>_xlfn.XLOOKUP(C1163, dim_teams[team_name], dim_teams[team_id], "Not found", 0)</f>
        <v>6</v>
      </c>
    </row>
    <row r="1164" spans="1:12" x14ac:dyDescent="0.3">
      <c r="A1164" t="s">
        <v>329</v>
      </c>
      <c r="B1164">
        <v>2016</v>
      </c>
      <c r="C1164" t="s">
        <v>21</v>
      </c>
      <c r="D1164">
        <v>42</v>
      </c>
      <c r="E1164">
        <v>31</v>
      </c>
      <c r="F1164">
        <v>2</v>
      </c>
      <c r="G1164">
        <v>2</v>
      </c>
      <c r="H1164">
        <v>0</v>
      </c>
      <c r="I1164">
        <v>3</v>
      </c>
      <c r="J1164">
        <v>135.47999999999999</v>
      </c>
      <c r="L1164">
        <f>_xlfn.XLOOKUP(C1164, dim_teams[team_name], dim_teams[team_id], "Not found", 0)</f>
        <v>2</v>
      </c>
    </row>
    <row r="1165" spans="1:12" x14ac:dyDescent="0.3">
      <c r="A1165" t="s">
        <v>329</v>
      </c>
      <c r="B1165">
        <v>2017</v>
      </c>
      <c r="C1165" t="s">
        <v>21</v>
      </c>
      <c r="D1165">
        <v>267</v>
      </c>
      <c r="E1165">
        <v>183</v>
      </c>
      <c r="F1165">
        <v>25</v>
      </c>
      <c r="G1165">
        <v>10</v>
      </c>
      <c r="H1165">
        <v>11</v>
      </c>
      <c r="I1165">
        <v>13</v>
      </c>
      <c r="J1165">
        <v>145.9</v>
      </c>
      <c r="K1165">
        <v>24.27</v>
      </c>
      <c r="L1165">
        <f>_xlfn.XLOOKUP(C1165, dim_teams[team_name], dim_teams[team_id], "Not found", 0)</f>
        <v>2</v>
      </c>
    </row>
    <row r="1166" spans="1:12" x14ac:dyDescent="0.3">
      <c r="A1166" t="s">
        <v>329</v>
      </c>
      <c r="B1166">
        <v>2018</v>
      </c>
      <c r="C1166" t="s">
        <v>25</v>
      </c>
      <c r="D1166">
        <v>24</v>
      </c>
      <c r="E1166">
        <v>21</v>
      </c>
      <c r="F1166">
        <v>1</v>
      </c>
      <c r="G1166">
        <v>2</v>
      </c>
      <c r="H1166">
        <v>0</v>
      </c>
      <c r="I1166">
        <v>1</v>
      </c>
      <c r="J1166">
        <v>114.29</v>
      </c>
      <c r="L1166">
        <f>_xlfn.XLOOKUP(C1166, dim_teams[team_name], dim_teams[team_id], "Not found", 0)</f>
        <v>3</v>
      </c>
    </row>
    <row r="1167" spans="1:12" x14ac:dyDescent="0.3">
      <c r="A1167" t="s">
        <v>329</v>
      </c>
      <c r="B1167">
        <v>2019</v>
      </c>
      <c r="C1167" t="s">
        <v>25</v>
      </c>
      <c r="D1167">
        <v>162</v>
      </c>
      <c r="E1167">
        <v>166</v>
      </c>
      <c r="F1167">
        <v>19</v>
      </c>
      <c r="G1167">
        <v>3</v>
      </c>
      <c r="H1167">
        <v>9</v>
      </c>
      <c r="I1167">
        <v>12</v>
      </c>
      <c r="J1167">
        <v>97.59</v>
      </c>
      <c r="K1167">
        <v>18</v>
      </c>
      <c r="L1167">
        <f>_xlfn.XLOOKUP(C1167, dim_teams[team_name], dim_teams[team_id], "Not found", 0)</f>
        <v>3</v>
      </c>
    </row>
    <row r="1168" spans="1:12" x14ac:dyDescent="0.3">
      <c r="A1168" t="s">
        <v>329</v>
      </c>
      <c r="B1168">
        <v>2020</v>
      </c>
      <c r="C1168" t="s">
        <v>25</v>
      </c>
      <c r="D1168">
        <v>62</v>
      </c>
      <c r="E1168">
        <v>65</v>
      </c>
      <c r="F1168">
        <v>7</v>
      </c>
      <c r="G1168">
        <v>0</v>
      </c>
      <c r="H1168">
        <v>4</v>
      </c>
      <c r="I1168">
        <v>5</v>
      </c>
      <c r="J1168">
        <v>95.38</v>
      </c>
      <c r="K1168">
        <v>15.5</v>
      </c>
      <c r="L1168">
        <f>_xlfn.XLOOKUP(C1168, dim_teams[team_name], dim_teams[team_id], "Not found", 0)</f>
        <v>3</v>
      </c>
    </row>
    <row r="1169" spans="1:12" x14ac:dyDescent="0.3">
      <c r="A1169" t="s">
        <v>329</v>
      </c>
      <c r="B1169">
        <v>2021</v>
      </c>
      <c r="C1169" t="s">
        <v>13</v>
      </c>
      <c r="D1169">
        <v>55</v>
      </c>
      <c r="E1169">
        <v>52</v>
      </c>
      <c r="F1169">
        <v>2</v>
      </c>
      <c r="G1169">
        <v>2</v>
      </c>
      <c r="H1169">
        <v>4</v>
      </c>
      <c r="I1169">
        <v>5</v>
      </c>
      <c r="J1169">
        <v>105.77</v>
      </c>
      <c r="K1169">
        <v>13.75</v>
      </c>
      <c r="L1169">
        <f>_xlfn.XLOOKUP(C1169, dim_teams[team_name], dim_teams[team_id], "Not found", 0)</f>
        <v>11</v>
      </c>
    </row>
    <row r="1170" spans="1:12" x14ac:dyDescent="0.3">
      <c r="A1170" t="s">
        <v>329</v>
      </c>
      <c r="B1170">
        <v>2023</v>
      </c>
      <c r="C1170" t="s">
        <v>21</v>
      </c>
      <c r="D1170">
        <v>12</v>
      </c>
      <c r="E1170">
        <v>10</v>
      </c>
      <c r="F1170">
        <v>1</v>
      </c>
      <c r="G1170">
        <v>0</v>
      </c>
      <c r="H1170">
        <v>0</v>
      </c>
      <c r="I1170">
        <v>1</v>
      </c>
      <c r="J1170">
        <v>120</v>
      </c>
      <c r="L1170">
        <f>_xlfn.XLOOKUP(C1170, dim_teams[team_name], dim_teams[team_id], "Not found", 0)</f>
        <v>2</v>
      </c>
    </row>
    <row r="1171" spans="1:12" x14ac:dyDescent="0.3">
      <c r="A1171" t="s">
        <v>330</v>
      </c>
      <c r="B1171">
        <v>2019</v>
      </c>
      <c r="C1171" t="s">
        <v>33</v>
      </c>
      <c r="D1171">
        <v>18</v>
      </c>
      <c r="E1171">
        <v>24</v>
      </c>
      <c r="F1171">
        <v>1</v>
      </c>
      <c r="G1171">
        <v>1</v>
      </c>
      <c r="H1171">
        <v>4</v>
      </c>
      <c r="I1171">
        <v>5</v>
      </c>
      <c r="J1171">
        <v>75</v>
      </c>
      <c r="K1171">
        <v>4.5</v>
      </c>
      <c r="L1171">
        <f>_xlfn.XLOOKUP(C1171, dim_teams[team_name], dim_teams[team_id], "Not found", 0)</f>
        <v>15</v>
      </c>
    </row>
    <row r="1172" spans="1:12" x14ac:dyDescent="0.3">
      <c r="A1172" t="s">
        <v>331</v>
      </c>
      <c r="B1172">
        <v>2012</v>
      </c>
      <c r="C1172" t="s">
        <v>25</v>
      </c>
      <c r="D1172">
        <v>5</v>
      </c>
      <c r="E1172">
        <v>3</v>
      </c>
      <c r="F1172">
        <v>1</v>
      </c>
      <c r="G1172">
        <v>0</v>
      </c>
      <c r="H1172">
        <v>0</v>
      </c>
      <c r="I1172">
        <v>1</v>
      </c>
      <c r="J1172">
        <v>166.67</v>
      </c>
      <c r="L1172">
        <f>_xlfn.XLOOKUP(C1172, dim_teams[team_name], dim_teams[team_id], "Not found", 0)</f>
        <v>3</v>
      </c>
    </row>
    <row r="1173" spans="1:12" x14ac:dyDescent="0.3">
      <c r="A1173" t="s">
        <v>332</v>
      </c>
      <c r="B1173">
        <v>2009</v>
      </c>
      <c r="C1173" t="s">
        <v>21</v>
      </c>
      <c r="D1173">
        <v>0</v>
      </c>
      <c r="E1173">
        <v>1</v>
      </c>
      <c r="F1173">
        <v>0</v>
      </c>
      <c r="G1173">
        <v>0</v>
      </c>
      <c r="H1173">
        <v>0</v>
      </c>
      <c r="I1173">
        <v>1</v>
      </c>
      <c r="J1173">
        <v>0</v>
      </c>
      <c r="L1173">
        <f>_xlfn.XLOOKUP(C1173, dim_teams[team_name], dim_teams[team_id], "Not found", 0)</f>
        <v>2</v>
      </c>
    </row>
    <row r="1174" spans="1:12" x14ac:dyDescent="0.3">
      <c r="A1174" t="s">
        <v>332</v>
      </c>
      <c r="B1174">
        <v>2010</v>
      </c>
      <c r="C1174" t="s">
        <v>21</v>
      </c>
      <c r="D1174">
        <v>2</v>
      </c>
      <c r="E1174">
        <v>3</v>
      </c>
      <c r="F1174">
        <v>0</v>
      </c>
      <c r="G1174">
        <v>0</v>
      </c>
      <c r="H1174">
        <v>1</v>
      </c>
      <c r="I1174">
        <v>2</v>
      </c>
      <c r="J1174">
        <v>66.67</v>
      </c>
      <c r="K1174">
        <v>2</v>
      </c>
      <c r="L1174">
        <f>_xlfn.XLOOKUP(C1174, dim_teams[team_name], dim_teams[team_id], "Not found", 0)</f>
        <v>2</v>
      </c>
    </row>
    <row r="1175" spans="1:12" x14ac:dyDescent="0.3">
      <c r="A1175" t="s">
        <v>333</v>
      </c>
      <c r="B1175">
        <v>2009</v>
      </c>
      <c r="C1175" t="s">
        <v>21</v>
      </c>
      <c r="D1175">
        <v>93</v>
      </c>
      <c r="E1175">
        <v>84</v>
      </c>
      <c r="F1175">
        <v>8</v>
      </c>
      <c r="G1175">
        <v>2</v>
      </c>
      <c r="H1175">
        <v>6</v>
      </c>
      <c r="I1175">
        <v>6</v>
      </c>
      <c r="J1175">
        <v>110.71</v>
      </c>
      <c r="K1175">
        <v>15.5</v>
      </c>
      <c r="L1175">
        <f>_xlfn.XLOOKUP(C1175, dim_teams[team_name], dim_teams[team_id], "Not found", 0)</f>
        <v>2</v>
      </c>
    </row>
    <row r="1176" spans="1:12" x14ac:dyDescent="0.3">
      <c r="A1176" t="s">
        <v>333</v>
      </c>
      <c r="B1176">
        <v>2010</v>
      </c>
      <c r="C1176" t="s">
        <v>21</v>
      </c>
      <c r="D1176">
        <v>236</v>
      </c>
      <c r="E1176">
        <v>157</v>
      </c>
      <c r="F1176">
        <v>23</v>
      </c>
      <c r="G1176">
        <v>8</v>
      </c>
      <c r="H1176">
        <v>4</v>
      </c>
      <c r="I1176">
        <v>7</v>
      </c>
      <c r="J1176">
        <v>150.32</v>
      </c>
      <c r="K1176">
        <v>59</v>
      </c>
      <c r="L1176">
        <f>_xlfn.XLOOKUP(C1176, dim_teams[team_name], dim_teams[team_id], "Not found", 0)</f>
        <v>2</v>
      </c>
    </row>
    <row r="1177" spans="1:12" x14ac:dyDescent="0.3">
      <c r="A1177" t="s">
        <v>333</v>
      </c>
      <c r="B1177">
        <v>2012</v>
      </c>
      <c r="C1177" t="s">
        <v>32</v>
      </c>
      <c r="D1177">
        <v>305</v>
      </c>
      <c r="E1177">
        <v>207</v>
      </c>
      <c r="F1177">
        <v>22</v>
      </c>
      <c r="G1177">
        <v>20</v>
      </c>
      <c r="H1177">
        <v>6</v>
      </c>
      <c r="I1177">
        <v>8</v>
      </c>
      <c r="J1177">
        <v>147.34</v>
      </c>
      <c r="K1177">
        <v>50.83</v>
      </c>
      <c r="L1177">
        <f>_xlfn.XLOOKUP(C1177, dim_teams[team_name], dim_teams[team_id], "Not found", 0)</f>
        <v>6</v>
      </c>
    </row>
    <row r="1178" spans="1:12" x14ac:dyDescent="0.3">
      <c r="A1178" t="s">
        <v>333</v>
      </c>
      <c r="B1178">
        <v>2014</v>
      </c>
      <c r="C1178" t="s">
        <v>32</v>
      </c>
      <c r="D1178">
        <v>294</v>
      </c>
      <c r="E1178">
        <v>233</v>
      </c>
      <c r="F1178">
        <v>34</v>
      </c>
      <c r="G1178">
        <v>7</v>
      </c>
      <c r="H1178">
        <v>10</v>
      </c>
      <c r="I1178">
        <v>11</v>
      </c>
      <c r="J1178">
        <v>126.18</v>
      </c>
      <c r="K1178">
        <v>29.4</v>
      </c>
      <c r="L1178">
        <f>_xlfn.XLOOKUP(C1178, dim_teams[team_name], dim_teams[team_id], "Not found", 0)</f>
        <v>6</v>
      </c>
    </row>
    <row r="1179" spans="1:12" x14ac:dyDescent="0.3">
      <c r="A1179" t="s">
        <v>333</v>
      </c>
      <c r="B1179">
        <v>2016</v>
      </c>
      <c r="C1179" t="s">
        <v>45</v>
      </c>
      <c r="D1179">
        <v>73</v>
      </c>
      <c r="E1179">
        <v>61</v>
      </c>
      <c r="F1179">
        <v>4</v>
      </c>
      <c r="G1179">
        <v>3</v>
      </c>
      <c r="H1179">
        <v>3</v>
      </c>
      <c r="I1179">
        <v>4</v>
      </c>
      <c r="J1179">
        <v>119.67</v>
      </c>
      <c r="K1179">
        <v>24.33</v>
      </c>
      <c r="L1179">
        <f>_xlfn.XLOOKUP(C1179, dim_teams[team_name], dim_teams[team_id], "Not found", 0)</f>
        <v>12</v>
      </c>
    </row>
    <row r="1180" spans="1:12" x14ac:dyDescent="0.3">
      <c r="A1180" t="s">
        <v>334</v>
      </c>
      <c r="B1180">
        <v>2023</v>
      </c>
      <c r="C1180" t="s">
        <v>15</v>
      </c>
      <c r="D1180">
        <v>379</v>
      </c>
      <c r="E1180">
        <v>258</v>
      </c>
      <c r="F1180">
        <v>38</v>
      </c>
      <c r="G1180">
        <v>22</v>
      </c>
      <c r="H1180">
        <v>13</v>
      </c>
      <c r="I1180">
        <v>13</v>
      </c>
      <c r="J1180">
        <v>146.9</v>
      </c>
      <c r="K1180">
        <v>29.15</v>
      </c>
      <c r="L1180">
        <f>_xlfn.XLOOKUP(C1180, dim_teams[team_name], dim_teams[team_id], "Not found", 0)</f>
        <v>17</v>
      </c>
    </row>
    <row r="1181" spans="1:12" x14ac:dyDescent="0.3">
      <c r="A1181" t="s">
        <v>335</v>
      </c>
      <c r="B1181">
        <v>2022</v>
      </c>
      <c r="C1181" t="s">
        <v>17</v>
      </c>
      <c r="D1181">
        <v>0</v>
      </c>
      <c r="E1181">
        <v>3</v>
      </c>
      <c r="F1181">
        <v>0</v>
      </c>
      <c r="G1181">
        <v>0</v>
      </c>
      <c r="H1181">
        <v>0</v>
      </c>
      <c r="I1181">
        <v>1</v>
      </c>
      <c r="J1181">
        <v>0</v>
      </c>
      <c r="L1181">
        <f>_xlfn.XLOOKUP(C1181, dim_teams[team_name], dim_teams[team_id], "Not found", 0)</f>
        <v>5</v>
      </c>
    </row>
    <row r="1182" spans="1:12" x14ac:dyDescent="0.3">
      <c r="A1182" t="s">
        <v>336</v>
      </c>
      <c r="B1182">
        <v>2021</v>
      </c>
      <c r="C1182" t="s">
        <v>21</v>
      </c>
      <c r="D1182">
        <v>191</v>
      </c>
      <c r="E1182">
        <v>154</v>
      </c>
      <c r="F1182">
        <v>10</v>
      </c>
      <c r="G1182">
        <v>8</v>
      </c>
      <c r="H1182">
        <v>5</v>
      </c>
      <c r="I1182">
        <v>6</v>
      </c>
      <c r="J1182">
        <v>124.03</v>
      </c>
      <c r="K1182">
        <v>38.200000000000003</v>
      </c>
      <c r="L1182">
        <f>_xlfn.XLOOKUP(C1182, dim_teams[team_name], dim_teams[team_id], "Not found", 0)</f>
        <v>2</v>
      </c>
    </row>
    <row r="1183" spans="1:12" x14ac:dyDescent="0.3">
      <c r="A1183" t="s">
        <v>336</v>
      </c>
      <c r="B1183">
        <v>2022</v>
      </c>
      <c r="C1183" t="s">
        <v>33</v>
      </c>
      <c r="D1183">
        <v>8</v>
      </c>
      <c r="E1183">
        <v>7</v>
      </c>
      <c r="F1183">
        <v>2</v>
      </c>
      <c r="G1183">
        <v>0</v>
      </c>
      <c r="H1183">
        <v>2</v>
      </c>
      <c r="I1183">
        <v>2</v>
      </c>
      <c r="J1183">
        <v>114.29</v>
      </c>
      <c r="K1183">
        <v>4</v>
      </c>
      <c r="L1183">
        <f>_xlfn.XLOOKUP(C1183, dim_teams[team_name], dim_teams[team_id], "Not found", 0)</f>
        <v>15</v>
      </c>
    </row>
    <row r="1184" spans="1:12" x14ac:dyDescent="0.3">
      <c r="A1184" t="s">
        <v>337</v>
      </c>
      <c r="B1184">
        <v>2025</v>
      </c>
      <c r="C1184" t="s">
        <v>17</v>
      </c>
      <c r="D1184">
        <v>0</v>
      </c>
      <c r="E1184">
        <v>5</v>
      </c>
      <c r="F1184">
        <v>0</v>
      </c>
      <c r="G1184">
        <v>0</v>
      </c>
      <c r="H1184">
        <v>1</v>
      </c>
      <c r="I1184">
        <v>1</v>
      </c>
      <c r="J1184">
        <v>0</v>
      </c>
      <c r="K1184">
        <v>0</v>
      </c>
      <c r="L1184">
        <f>_xlfn.XLOOKUP(C1184, dim_teams[team_name], dim_teams[team_id], "Not found", 0)</f>
        <v>5</v>
      </c>
    </row>
    <row r="1185" spans="1:12" x14ac:dyDescent="0.3">
      <c r="A1185" t="s">
        <v>338</v>
      </c>
      <c r="B1185">
        <v>2022</v>
      </c>
      <c r="C1185" t="s">
        <v>15</v>
      </c>
      <c r="D1185">
        <v>4</v>
      </c>
      <c r="E1185">
        <v>4</v>
      </c>
      <c r="F1185">
        <v>1</v>
      </c>
      <c r="G1185">
        <v>0</v>
      </c>
      <c r="H1185">
        <v>1</v>
      </c>
      <c r="I1185">
        <v>1</v>
      </c>
      <c r="J1185">
        <v>100</v>
      </c>
      <c r="K1185">
        <v>4</v>
      </c>
      <c r="L1185">
        <f>_xlfn.XLOOKUP(C1185, dim_teams[team_name], dim_teams[team_id], "Not found", 0)</f>
        <v>17</v>
      </c>
    </row>
    <row r="1186" spans="1:12" x14ac:dyDescent="0.3">
      <c r="A1186" t="s">
        <v>338</v>
      </c>
      <c r="B1186">
        <v>2023</v>
      </c>
      <c r="C1186" t="s">
        <v>15</v>
      </c>
      <c r="D1186">
        <v>12</v>
      </c>
      <c r="E1186">
        <v>21</v>
      </c>
      <c r="F1186">
        <v>0</v>
      </c>
      <c r="G1186">
        <v>0</v>
      </c>
      <c r="H1186">
        <v>2</v>
      </c>
      <c r="I1186">
        <v>2</v>
      </c>
      <c r="J1186">
        <v>57.14</v>
      </c>
      <c r="K1186">
        <v>6</v>
      </c>
      <c r="L1186">
        <f>_xlfn.XLOOKUP(C1186, dim_teams[team_name], dim_teams[team_id], "Not found", 0)</f>
        <v>17</v>
      </c>
    </row>
    <row r="1187" spans="1:12" x14ac:dyDescent="0.3">
      <c r="A1187" t="s">
        <v>339</v>
      </c>
      <c r="B1187">
        <v>2015</v>
      </c>
      <c r="C1187" t="s">
        <v>13</v>
      </c>
      <c r="D1187">
        <v>31</v>
      </c>
      <c r="E1187">
        <v>27</v>
      </c>
      <c r="F1187">
        <v>1</v>
      </c>
      <c r="G1187">
        <v>1</v>
      </c>
      <c r="H1187">
        <v>1</v>
      </c>
      <c r="I1187">
        <v>2</v>
      </c>
      <c r="J1187">
        <v>114.81</v>
      </c>
      <c r="K1187">
        <v>31</v>
      </c>
      <c r="L1187">
        <f>_xlfn.XLOOKUP(C1187, dim_teams[team_name], dim_teams[team_id], "Not found", 0)</f>
        <v>11</v>
      </c>
    </row>
    <row r="1188" spans="1:12" x14ac:dyDescent="0.3">
      <c r="A1188" t="s">
        <v>339</v>
      </c>
      <c r="B1188">
        <v>2016</v>
      </c>
      <c r="C1188" t="s">
        <v>13</v>
      </c>
      <c r="D1188">
        <v>124</v>
      </c>
      <c r="E1188">
        <v>122</v>
      </c>
      <c r="F1188">
        <v>14</v>
      </c>
      <c r="G1188">
        <v>0</v>
      </c>
      <c r="H1188">
        <v>6</v>
      </c>
      <c r="I1188">
        <v>6</v>
      </c>
      <c r="J1188">
        <v>101.64</v>
      </c>
      <c r="K1188">
        <v>20.67</v>
      </c>
      <c r="L1188">
        <f>_xlfn.XLOOKUP(C1188, dim_teams[team_name], dim_teams[team_id], "Not found", 0)</f>
        <v>11</v>
      </c>
    </row>
    <row r="1189" spans="1:12" x14ac:dyDescent="0.3">
      <c r="A1189" t="s">
        <v>339</v>
      </c>
      <c r="B1189">
        <v>2017</v>
      </c>
      <c r="C1189" t="s">
        <v>13</v>
      </c>
      <c r="D1189">
        <v>256</v>
      </c>
      <c r="E1189">
        <v>168</v>
      </c>
      <c r="F1189">
        <v>20</v>
      </c>
      <c r="G1189">
        <v>10</v>
      </c>
      <c r="H1189">
        <v>5</v>
      </c>
      <c r="I1189">
        <v>7</v>
      </c>
      <c r="J1189">
        <v>152.38</v>
      </c>
      <c r="K1189">
        <v>51.2</v>
      </c>
      <c r="L1189">
        <f>_xlfn.XLOOKUP(C1189, dim_teams[team_name], dim_teams[team_id], "Not found", 0)</f>
        <v>11</v>
      </c>
    </row>
    <row r="1190" spans="1:12" x14ac:dyDescent="0.3">
      <c r="A1190" t="s">
        <v>339</v>
      </c>
      <c r="B1190">
        <v>2018</v>
      </c>
      <c r="C1190" t="s">
        <v>13</v>
      </c>
      <c r="D1190">
        <v>735</v>
      </c>
      <c r="E1190">
        <v>515</v>
      </c>
      <c r="F1190">
        <v>64</v>
      </c>
      <c r="G1190">
        <v>28</v>
      </c>
      <c r="H1190">
        <v>15</v>
      </c>
      <c r="I1190">
        <v>17</v>
      </c>
      <c r="J1190">
        <v>142.72</v>
      </c>
      <c r="K1190">
        <v>49</v>
      </c>
      <c r="L1190">
        <f>_xlfn.XLOOKUP(C1190, dim_teams[team_name], dim_teams[team_id], "Not found", 0)</f>
        <v>11</v>
      </c>
    </row>
    <row r="1191" spans="1:12" x14ac:dyDescent="0.3">
      <c r="A1191" t="s">
        <v>339</v>
      </c>
      <c r="B1191">
        <v>2019</v>
      </c>
      <c r="C1191" t="s">
        <v>13</v>
      </c>
      <c r="D1191">
        <v>156</v>
      </c>
      <c r="E1191">
        <v>129</v>
      </c>
      <c r="F1191">
        <v>12</v>
      </c>
      <c r="G1191">
        <v>5</v>
      </c>
      <c r="H1191">
        <v>7</v>
      </c>
      <c r="I1191">
        <v>9</v>
      </c>
      <c r="J1191">
        <v>120.93</v>
      </c>
      <c r="K1191">
        <v>22.29</v>
      </c>
      <c r="L1191">
        <f>_xlfn.XLOOKUP(C1191, dim_teams[team_name], dim_teams[team_id], "Not found", 0)</f>
        <v>11</v>
      </c>
    </row>
    <row r="1192" spans="1:12" x14ac:dyDescent="0.3">
      <c r="A1192" t="s">
        <v>339</v>
      </c>
      <c r="B1192">
        <v>2020</v>
      </c>
      <c r="C1192" t="s">
        <v>13</v>
      </c>
      <c r="D1192">
        <v>317</v>
      </c>
      <c r="E1192">
        <v>236</v>
      </c>
      <c r="F1192">
        <v>26</v>
      </c>
      <c r="G1192">
        <v>10</v>
      </c>
      <c r="H1192">
        <v>7</v>
      </c>
      <c r="I1192">
        <v>11</v>
      </c>
      <c r="J1192">
        <v>134.32</v>
      </c>
      <c r="K1192">
        <v>45.29</v>
      </c>
      <c r="L1192">
        <f>_xlfn.XLOOKUP(C1192, dim_teams[team_name], dim_teams[team_id], "Not found", 0)</f>
        <v>11</v>
      </c>
    </row>
    <row r="1193" spans="1:12" x14ac:dyDescent="0.3">
      <c r="A1193" t="s">
        <v>339</v>
      </c>
      <c r="B1193">
        <v>2021</v>
      </c>
      <c r="C1193" t="s">
        <v>13</v>
      </c>
      <c r="D1193">
        <v>270</v>
      </c>
      <c r="E1193">
        <v>237</v>
      </c>
      <c r="F1193">
        <v>30</v>
      </c>
      <c r="G1193">
        <v>2</v>
      </c>
      <c r="H1193">
        <v>6</v>
      </c>
      <c r="I1193">
        <v>10</v>
      </c>
      <c r="J1193">
        <v>113.92</v>
      </c>
      <c r="K1193">
        <v>45</v>
      </c>
      <c r="L1193">
        <f>_xlfn.XLOOKUP(C1193, dim_teams[team_name], dim_teams[team_id], "Not found", 0)</f>
        <v>11</v>
      </c>
    </row>
    <row r="1194" spans="1:12" x14ac:dyDescent="0.3">
      <c r="A1194" t="s">
        <v>339</v>
      </c>
      <c r="B1194">
        <v>2022</v>
      </c>
      <c r="C1194" t="s">
        <v>13</v>
      </c>
      <c r="D1194">
        <v>216</v>
      </c>
      <c r="E1194">
        <v>231</v>
      </c>
      <c r="F1194">
        <v>16</v>
      </c>
      <c r="G1194">
        <v>8</v>
      </c>
      <c r="H1194">
        <v>10</v>
      </c>
      <c r="I1194">
        <v>12</v>
      </c>
      <c r="J1194">
        <v>93.51</v>
      </c>
      <c r="K1194">
        <v>21.6</v>
      </c>
      <c r="L1194">
        <f>_xlfn.XLOOKUP(C1194, dim_teams[team_name], dim_teams[team_id], "Not found", 0)</f>
        <v>11</v>
      </c>
    </row>
    <row r="1195" spans="1:12" x14ac:dyDescent="0.3">
      <c r="A1195" t="s">
        <v>339</v>
      </c>
      <c r="B1195">
        <v>2024</v>
      </c>
      <c r="C1195" t="s">
        <v>29</v>
      </c>
      <c r="D1195">
        <v>27</v>
      </c>
      <c r="E1195">
        <v>27</v>
      </c>
      <c r="F1195">
        <v>4</v>
      </c>
      <c r="G1195">
        <v>0</v>
      </c>
      <c r="H1195">
        <v>2</v>
      </c>
      <c r="I1195">
        <v>2</v>
      </c>
      <c r="J1195">
        <v>100</v>
      </c>
      <c r="K1195">
        <v>13.5</v>
      </c>
      <c r="L1195">
        <f>_xlfn.XLOOKUP(C1195, dim_teams[team_name], dim_teams[team_id], "Not found", 0)</f>
        <v>18</v>
      </c>
    </row>
    <row r="1196" spans="1:12" x14ac:dyDescent="0.3">
      <c r="A1196" t="s">
        <v>340</v>
      </c>
      <c r="B1196">
        <v>2025</v>
      </c>
      <c r="C1196" t="s">
        <v>17</v>
      </c>
      <c r="D1196">
        <v>8</v>
      </c>
      <c r="E1196">
        <v>2</v>
      </c>
      <c r="F1196">
        <v>2</v>
      </c>
      <c r="G1196">
        <v>0</v>
      </c>
      <c r="H1196">
        <v>0</v>
      </c>
      <c r="I1196">
        <v>1</v>
      </c>
      <c r="J1196">
        <v>400</v>
      </c>
      <c r="L1196">
        <f>_xlfn.XLOOKUP(C1196, dim_teams[team_name], dim_teams[team_id], "Not found", 0)</f>
        <v>5</v>
      </c>
    </row>
    <row r="1197" spans="1:12" x14ac:dyDescent="0.3">
      <c r="A1197" t="s">
        <v>341</v>
      </c>
      <c r="B1197">
        <v>2009</v>
      </c>
      <c r="C1197" t="s">
        <v>21</v>
      </c>
      <c r="D1197">
        <v>1</v>
      </c>
      <c r="E1197">
        <v>3</v>
      </c>
      <c r="F1197">
        <v>0</v>
      </c>
      <c r="G1197">
        <v>0</v>
      </c>
      <c r="H1197">
        <v>1</v>
      </c>
      <c r="I1197">
        <v>1</v>
      </c>
      <c r="J1197">
        <v>33.33</v>
      </c>
      <c r="K1197">
        <v>1</v>
      </c>
      <c r="L1197">
        <f>_xlfn.XLOOKUP(C1197, dim_teams[team_name], dim_teams[team_id], "Not found", 0)</f>
        <v>2</v>
      </c>
    </row>
    <row r="1198" spans="1:12" x14ac:dyDescent="0.3">
      <c r="A1198" t="s">
        <v>341</v>
      </c>
      <c r="B1198">
        <v>2013</v>
      </c>
      <c r="C1198" t="s">
        <v>13</v>
      </c>
      <c r="D1198">
        <v>85</v>
      </c>
      <c r="E1198">
        <v>86</v>
      </c>
      <c r="F1198">
        <v>6</v>
      </c>
      <c r="G1198">
        <v>2</v>
      </c>
      <c r="H1198">
        <v>5</v>
      </c>
      <c r="I1198">
        <v>7</v>
      </c>
      <c r="J1198">
        <v>98.84</v>
      </c>
      <c r="K1198">
        <v>17</v>
      </c>
      <c r="L1198">
        <f>_xlfn.XLOOKUP(C1198, dim_teams[team_name], dim_teams[team_id], "Not found", 0)</f>
        <v>11</v>
      </c>
    </row>
    <row r="1199" spans="1:12" x14ac:dyDescent="0.3">
      <c r="A1199" t="s">
        <v>341</v>
      </c>
      <c r="B1199">
        <v>2014</v>
      </c>
      <c r="C1199" t="s">
        <v>13</v>
      </c>
      <c r="D1199">
        <v>42</v>
      </c>
      <c r="E1199">
        <v>29</v>
      </c>
      <c r="F1199">
        <v>1</v>
      </c>
      <c r="G1199">
        <v>3</v>
      </c>
      <c r="H1199">
        <v>3</v>
      </c>
      <c r="I1199">
        <v>8</v>
      </c>
      <c r="J1199">
        <v>144.83000000000001</v>
      </c>
      <c r="K1199">
        <v>14</v>
      </c>
      <c r="L1199">
        <f>_xlfn.XLOOKUP(C1199, dim_teams[team_name], dim_teams[team_id], "Not found", 0)</f>
        <v>11</v>
      </c>
    </row>
    <row r="1200" spans="1:12" x14ac:dyDescent="0.3">
      <c r="A1200" t="s">
        <v>341</v>
      </c>
      <c r="B1200">
        <v>2015</v>
      </c>
      <c r="C1200" t="s">
        <v>13</v>
      </c>
      <c r="D1200">
        <v>104</v>
      </c>
      <c r="E1200">
        <v>85</v>
      </c>
      <c r="F1200">
        <v>3</v>
      </c>
      <c r="G1200">
        <v>6</v>
      </c>
      <c r="H1200">
        <v>6</v>
      </c>
      <c r="I1200">
        <v>9</v>
      </c>
      <c r="J1200">
        <v>122.35</v>
      </c>
      <c r="K1200">
        <v>17.329999999999998</v>
      </c>
      <c r="L1200">
        <f>_xlfn.XLOOKUP(C1200, dim_teams[team_name], dim_teams[team_id], "Not found", 0)</f>
        <v>11</v>
      </c>
    </row>
    <row r="1201" spans="1:12" x14ac:dyDescent="0.3">
      <c r="A1201" t="s">
        <v>341</v>
      </c>
      <c r="B1201">
        <v>2016</v>
      </c>
      <c r="C1201" t="s">
        <v>13</v>
      </c>
      <c r="D1201">
        <v>36</v>
      </c>
      <c r="E1201">
        <v>30</v>
      </c>
      <c r="F1201">
        <v>3</v>
      </c>
      <c r="G1201">
        <v>1</v>
      </c>
      <c r="H1201">
        <v>0</v>
      </c>
      <c r="I1201">
        <v>3</v>
      </c>
      <c r="J1201">
        <v>120</v>
      </c>
      <c r="L1201">
        <f>_xlfn.XLOOKUP(C1201, dim_teams[team_name], dim_teams[team_id], "Not found", 0)</f>
        <v>11</v>
      </c>
    </row>
    <row r="1202" spans="1:12" x14ac:dyDescent="0.3">
      <c r="A1202" t="s">
        <v>341</v>
      </c>
      <c r="B1202">
        <v>2017</v>
      </c>
      <c r="C1202" t="s">
        <v>23</v>
      </c>
      <c r="D1202">
        <v>49</v>
      </c>
      <c r="E1202">
        <v>41</v>
      </c>
      <c r="F1202">
        <v>5</v>
      </c>
      <c r="G1202">
        <v>2</v>
      </c>
      <c r="H1202">
        <v>6</v>
      </c>
      <c r="I1202">
        <v>6</v>
      </c>
      <c r="J1202">
        <v>119.51</v>
      </c>
      <c r="K1202">
        <v>8.17</v>
      </c>
      <c r="L1202">
        <f>_xlfn.XLOOKUP(C1202, dim_teams[team_name], dim_teams[team_id], "Not found", 0)</f>
        <v>7</v>
      </c>
    </row>
    <row r="1203" spans="1:12" x14ac:dyDescent="0.3">
      <c r="A1203" t="s">
        <v>341</v>
      </c>
      <c r="B1203">
        <v>2023</v>
      </c>
      <c r="C1203" t="s">
        <v>21</v>
      </c>
      <c r="D1203">
        <v>3</v>
      </c>
      <c r="E1203">
        <v>5</v>
      </c>
      <c r="F1203">
        <v>0</v>
      </c>
      <c r="G1203">
        <v>0</v>
      </c>
      <c r="H1203">
        <v>2</v>
      </c>
      <c r="I1203">
        <v>2</v>
      </c>
      <c r="J1203">
        <v>60</v>
      </c>
      <c r="K1203">
        <v>1.5</v>
      </c>
      <c r="L1203">
        <f>_xlfn.XLOOKUP(C1203, dim_teams[team_name], dim_teams[team_id], "Not found", 0)</f>
        <v>2</v>
      </c>
    </row>
    <row r="1204" spans="1:12" x14ac:dyDescent="0.3">
      <c r="A1204" t="s">
        <v>341</v>
      </c>
      <c r="B1204">
        <v>2024</v>
      </c>
      <c r="C1204" t="s">
        <v>102</v>
      </c>
      <c r="D1204">
        <v>31</v>
      </c>
      <c r="E1204">
        <v>15</v>
      </c>
      <c r="F1204">
        <v>2</v>
      </c>
      <c r="G1204">
        <v>3</v>
      </c>
      <c r="H1204">
        <v>2</v>
      </c>
      <c r="I1204">
        <v>3</v>
      </c>
      <c r="J1204">
        <v>206.67</v>
      </c>
      <c r="K1204">
        <v>15.5</v>
      </c>
      <c r="L1204">
        <f>_xlfn.XLOOKUP(C1204, dim_teams[team_name], dim_teams[team_id], "Not found", 0)</f>
        <v>19</v>
      </c>
    </row>
    <row r="1205" spans="1:12" x14ac:dyDescent="0.3">
      <c r="A1205" t="s">
        <v>341</v>
      </c>
      <c r="B1205">
        <v>2025</v>
      </c>
      <c r="C1205" t="s">
        <v>23</v>
      </c>
      <c r="D1205">
        <v>1</v>
      </c>
      <c r="E1205">
        <v>1</v>
      </c>
      <c r="F1205">
        <v>0</v>
      </c>
      <c r="G1205">
        <v>0</v>
      </c>
      <c r="H1205">
        <v>0</v>
      </c>
      <c r="I1205">
        <v>1</v>
      </c>
      <c r="J1205">
        <v>100</v>
      </c>
      <c r="L1205">
        <f>_xlfn.XLOOKUP(C1205, dim_teams[team_name], dim_teams[team_id], "Not found", 0)</f>
        <v>7</v>
      </c>
    </row>
    <row r="1206" spans="1:12" x14ac:dyDescent="0.3">
      <c r="A1206" t="s">
        <v>342</v>
      </c>
      <c r="B1206">
        <v>2013</v>
      </c>
      <c r="C1206" t="s">
        <v>37</v>
      </c>
      <c r="D1206">
        <v>34</v>
      </c>
      <c r="E1206">
        <v>36</v>
      </c>
      <c r="F1206">
        <v>2</v>
      </c>
      <c r="G1206">
        <v>1</v>
      </c>
      <c r="H1206">
        <v>2</v>
      </c>
      <c r="I1206">
        <v>2</v>
      </c>
      <c r="J1206">
        <v>94.44</v>
      </c>
      <c r="K1206">
        <v>17</v>
      </c>
      <c r="L1206">
        <f>_xlfn.XLOOKUP(C1206, dim_teams[team_name], dim_teams[team_id], "Not found", 0)</f>
        <v>10</v>
      </c>
    </row>
    <row r="1207" spans="1:12" x14ac:dyDescent="0.3">
      <c r="A1207" t="s">
        <v>342</v>
      </c>
      <c r="B1207">
        <v>2014</v>
      </c>
      <c r="C1207" t="s">
        <v>17</v>
      </c>
      <c r="D1207">
        <v>1</v>
      </c>
      <c r="E1207">
        <v>2</v>
      </c>
      <c r="F1207">
        <v>0</v>
      </c>
      <c r="G1207">
        <v>0</v>
      </c>
      <c r="H1207">
        <v>1</v>
      </c>
      <c r="I1207">
        <v>1</v>
      </c>
      <c r="J1207">
        <v>50</v>
      </c>
      <c r="K1207">
        <v>1</v>
      </c>
      <c r="L1207">
        <f>_xlfn.XLOOKUP(C1207, dim_teams[team_name], dim_teams[team_id], "Not found", 0)</f>
        <v>5</v>
      </c>
    </row>
    <row r="1208" spans="1:12" x14ac:dyDescent="0.3">
      <c r="A1208" t="s">
        <v>342</v>
      </c>
      <c r="B1208">
        <v>2016</v>
      </c>
      <c r="C1208" t="s">
        <v>21</v>
      </c>
      <c r="D1208">
        <v>1</v>
      </c>
      <c r="E1208">
        <v>1</v>
      </c>
      <c r="F1208">
        <v>0</v>
      </c>
      <c r="G1208">
        <v>0</v>
      </c>
      <c r="H1208">
        <v>0</v>
      </c>
      <c r="I1208">
        <v>1</v>
      </c>
      <c r="J1208">
        <v>100</v>
      </c>
      <c r="L1208">
        <f>_xlfn.XLOOKUP(C1208, dim_teams[team_name], dim_teams[team_id], "Not found", 0)</f>
        <v>2</v>
      </c>
    </row>
    <row r="1209" spans="1:12" x14ac:dyDescent="0.3">
      <c r="A1209" t="s">
        <v>343</v>
      </c>
      <c r="B1209">
        <v>2008</v>
      </c>
      <c r="C1209" t="s">
        <v>17</v>
      </c>
      <c r="D1209">
        <v>128</v>
      </c>
      <c r="E1209">
        <v>77</v>
      </c>
      <c r="F1209">
        <v>13</v>
      </c>
      <c r="G1209">
        <v>8</v>
      </c>
      <c r="H1209">
        <v>4</v>
      </c>
      <c r="I1209">
        <v>6</v>
      </c>
      <c r="J1209">
        <v>166.23</v>
      </c>
      <c r="K1209">
        <v>32</v>
      </c>
      <c r="L1209">
        <f>_xlfn.XLOOKUP(C1209, dim_teams[team_name], dim_teams[team_id], "Not found", 0)</f>
        <v>5</v>
      </c>
    </row>
    <row r="1210" spans="1:12" x14ac:dyDescent="0.3">
      <c r="A1210" t="s">
        <v>344</v>
      </c>
      <c r="B1210">
        <v>2009</v>
      </c>
      <c r="C1210" t="s">
        <v>17</v>
      </c>
      <c r="D1210">
        <v>3</v>
      </c>
      <c r="E1210">
        <v>5</v>
      </c>
      <c r="F1210">
        <v>0</v>
      </c>
      <c r="G1210">
        <v>0</v>
      </c>
      <c r="H1210">
        <v>1</v>
      </c>
      <c r="I1210">
        <v>1</v>
      </c>
      <c r="J1210">
        <v>60</v>
      </c>
      <c r="K1210">
        <v>3</v>
      </c>
      <c r="L1210">
        <f>_xlfn.XLOOKUP(C1210, dim_teams[team_name], dim_teams[team_id], "Not found", 0)</f>
        <v>5</v>
      </c>
    </row>
    <row r="1211" spans="1:12" x14ac:dyDescent="0.3">
      <c r="A1211" t="s">
        <v>345</v>
      </c>
      <c r="B1211">
        <v>2014</v>
      </c>
      <c r="C1211" t="s">
        <v>54</v>
      </c>
      <c r="D1211">
        <v>1</v>
      </c>
      <c r="E1211">
        <v>1</v>
      </c>
      <c r="F1211">
        <v>0</v>
      </c>
      <c r="G1211">
        <v>0</v>
      </c>
      <c r="H1211">
        <v>0</v>
      </c>
      <c r="I1211">
        <v>1</v>
      </c>
      <c r="J1211">
        <v>100</v>
      </c>
      <c r="L1211">
        <f>_xlfn.XLOOKUP(C1211, dim_teams[team_name], dim_teams[team_id], "Not found", 0)</f>
        <v>4</v>
      </c>
    </row>
    <row r="1212" spans="1:12" x14ac:dyDescent="0.3">
      <c r="A1212" t="s">
        <v>345</v>
      </c>
      <c r="B1212">
        <v>2015</v>
      </c>
      <c r="C1212" t="s">
        <v>54</v>
      </c>
      <c r="D1212">
        <v>11</v>
      </c>
      <c r="E1212">
        <v>16</v>
      </c>
      <c r="F1212">
        <v>1</v>
      </c>
      <c r="G1212">
        <v>0</v>
      </c>
      <c r="H1212">
        <v>1</v>
      </c>
      <c r="I1212">
        <v>3</v>
      </c>
      <c r="J1212">
        <v>68.75</v>
      </c>
      <c r="K1212">
        <v>11</v>
      </c>
      <c r="L1212">
        <f>_xlfn.XLOOKUP(C1212, dim_teams[team_name], dim_teams[team_id], "Not found", 0)</f>
        <v>4</v>
      </c>
    </row>
    <row r="1213" spans="1:12" x14ac:dyDescent="0.3">
      <c r="A1213" t="s">
        <v>346</v>
      </c>
      <c r="B1213">
        <v>2020</v>
      </c>
      <c r="C1213" t="s">
        <v>17</v>
      </c>
      <c r="D1213">
        <v>4</v>
      </c>
      <c r="E1213">
        <v>6</v>
      </c>
      <c r="F1213">
        <v>0</v>
      </c>
      <c r="G1213">
        <v>0</v>
      </c>
      <c r="H1213">
        <v>1</v>
      </c>
      <c r="I1213">
        <v>2</v>
      </c>
      <c r="J1213">
        <v>66.67</v>
      </c>
      <c r="K1213">
        <v>4</v>
      </c>
      <c r="L1213">
        <f>_xlfn.XLOOKUP(C1213, dim_teams[team_name], dim_teams[team_id], "Not found", 0)</f>
        <v>5</v>
      </c>
    </row>
    <row r="1214" spans="1:12" x14ac:dyDescent="0.3">
      <c r="A1214" t="s">
        <v>346</v>
      </c>
      <c r="B1214">
        <v>2021</v>
      </c>
      <c r="C1214" t="s">
        <v>17</v>
      </c>
      <c r="D1214">
        <v>2</v>
      </c>
      <c r="E1214">
        <v>4</v>
      </c>
      <c r="F1214">
        <v>0</v>
      </c>
      <c r="G1214">
        <v>0</v>
      </c>
      <c r="H1214">
        <v>1</v>
      </c>
      <c r="I1214">
        <v>2</v>
      </c>
      <c r="J1214">
        <v>50</v>
      </c>
      <c r="K1214">
        <v>2</v>
      </c>
      <c r="L1214">
        <f>_xlfn.XLOOKUP(C1214, dim_teams[team_name], dim_teams[team_id], "Not found", 0)</f>
        <v>5</v>
      </c>
    </row>
    <row r="1215" spans="1:12" x14ac:dyDescent="0.3">
      <c r="A1215" t="s">
        <v>346</v>
      </c>
      <c r="B1215">
        <v>2022</v>
      </c>
      <c r="C1215" t="s">
        <v>13</v>
      </c>
      <c r="D1215">
        <v>7</v>
      </c>
      <c r="E1215">
        <v>6</v>
      </c>
      <c r="F1215">
        <v>1</v>
      </c>
      <c r="G1215">
        <v>0</v>
      </c>
      <c r="H1215">
        <v>2</v>
      </c>
      <c r="I1215">
        <v>2</v>
      </c>
      <c r="J1215">
        <v>116.67</v>
      </c>
      <c r="K1215">
        <v>3.5</v>
      </c>
      <c r="L1215">
        <f>_xlfn.XLOOKUP(C1215, dim_teams[team_name], dim_teams[team_id], "Not found", 0)</f>
        <v>11</v>
      </c>
    </row>
    <row r="1216" spans="1:12" x14ac:dyDescent="0.3">
      <c r="A1216" t="s">
        <v>347</v>
      </c>
      <c r="B1216">
        <v>2017</v>
      </c>
      <c r="C1216" t="s">
        <v>19</v>
      </c>
      <c r="D1216">
        <v>20</v>
      </c>
      <c r="E1216">
        <v>22</v>
      </c>
      <c r="F1216">
        <v>2</v>
      </c>
      <c r="G1216">
        <v>0</v>
      </c>
      <c r="H1216">
        <v>2</v>
      </c>
      <c r="I1216">
        <v>2</v>
      </c>
      <c r="J1216">
        <v>90.91</v>
      </c>
      <c r="K1216">
        <v>10</v>
      </c>
      <c r="L1216">
        <f>_xlfn.XLOOKUP(C1216, dim_teams[team_name], dim_teams[team_id], "Not found", 0)</f>
        <v>1</v>
      </c>
    </row>
    <row r="1217" spans="1:12" x14ac:dyDescent="0.3">
      <c r="A1217" t="s">
        <v>347</v>
      </c>
      <c r="B1217">
        <v>2018</v>
      </c>
      <c r="C1217" t="s">
        <v>19</v>
      </c>
      <c r="D1217">
        <v>12</v>
      </c>
      <c r="E1217">
        <v>24</v>
      </c>
      <c r="F1217">
        <v>1</v>
      </c>
      <c r="G1217">
        <v>0</v>
      </c>
      <c r="H1217">
        <v>1</v>
      </c>
      <c r="I1217">
        <v>3</v>
      </c>
      <c r="J1217">
        <v>50</v>
      </c>
      <c r="K1217">
        <v>12</v>
      </c>
      <c r="L1217">
        <f>_xlfn.XLOOKUP(C1217, dim_teams[team_name], dim_teams[team_id], "Not found", 0)</f>
        <v>1</v>
      </c>
    </row>
    <row r="1218" spans="1:12" x14ac:dyDescent="0.3">
      <c r="A1218" t="s">
        <v>347</v>
      </c>
      <c r="B1218">
        <v>2019</v>
      </c>
      <c r="C1218" t="s">
        <v>19</v>
      </c>
      <c r="D1218">
        <v>12</v>
      </c>
      <c r="E1218">
        <v>8</v>
      </c>
      <c r="F1218">
        <v>1</v>
      </c>
      <c r="G1218">
        <v>0</v>
      </c>
      <c r="H1218">
        <v>1</v>
      </c>
      <c r="I1218">
        <v>3</v>
      </c>
      <c r="J1218">
        <v>150</v>
      </c>
      <c r="K1218">
        <v>12</v>
      </c>
      <c r="L1218">
        <f>_xlfn.XLOOKUP(C1218, dim_teams[team_name], dim_teams[team_id], "Not found", 0)</f>
        <v>1</v>
      </c>
    </row>
    <row r="1219" spans="1:12" x14ac:dyDescent="0.3">
      <c r="A1219" t="s">
        <v>347</v>
      </c>
      <c r="B1219">
        <v>2020</v>
      </c>
      <c r="C1219" t="s">
        <v>19</v>
      </c>
      <c r="D1219">
        <v>13</v>
      </c>
      <c r="E1219">
        <v>21</v>
      </c>
      <c r="F1219">
        <v>1</v>
      </c>
      <c r="G1219">
        <v>0</v>
      </c>
      <c r="H1219">
        <v>0</v>
      </c>
      <c r="I1219">
        <v>2</v>
      </c>
      <c r="J1219">
        <v>61.9</v>
      </c>
      <c r="L1219">
        <f>_xlfn.XLOOKUP(C1219, dim_teams[team_name], dim_teams[team_id], "Not found", 0)</f>
        <v>1</v>
      </c>
    </row>
    <row r="1220" spans="1:12" x14ac:dyDescent="0.3">
      <c r="A1220" t="s">
        <v>347</v>
      </c>
      <c r="B1220">
        <v>2022</v>
      </c>
      <c r="C1220" t="s">
        <v>33</v>
      </c>
      <c r="D1220">
        <v>48</v>
      </c>
      <c r="E1220">
        <v>52</v>
      </c>
      <c r="F1220">
        <v>3</v>
      </c>
      <c r="G1220">
        <v>2</v>
      </c>
      <c r="H1220">
        <v>1</v>
      </c>
      <c r="I1220">
        <v>7</v>
      </c>
      <c r="J1220">
        <v>92.31</v>
      </c>
      <c r="K1220">
        <v>48</v>
      </c>
      <c r="L1220">
        <f>_xlfn.XLOOKUP(C1220, dim_teams[team_name], dim_teams[team_id], "Not found", 0)</f>
        <v>15</v>
      </c>
    </row>
    <row r="1221" spans="1:12" x14ac:dyDescent="0.3">
      <c r="A1221" t="s">
        <v>347</v>
      </c>
      <c r="B1221">
        <v>2023</v>
      </c>
      <c r="C1221" t="s">
        <v>33</v>
      </c>
      <c r="D1221">
        <v>31</v>
      </c>
      <c r="E1221">
        <v>48</v>
      </c>
      <c r="F1221">
        <v>2</v>
      </c>
      <c r="G1221">
        <v>0</v>
      </c>
      <c r="H1221">
        <v>3</v>
      </c>
      <c r="I1221">
        <v>10</v>
      </c>
      <c r="J1221">
        <v>64.58</v>
      </c>
      <c r="K1221">
        <v>10.33</v>
      </c>
      <c r="L1221">
        <f>_xlfn.XLOOKUP(C1221, dim_teams[team_name], dim_teams[team_id], "Not found", 0)</f>
        <v>15</v>
      </c>
    </row>
    <row r="1222" spans="1:12" x14ac:dyDescent="0.3">
      <c r="A1222" t="s">
        <v>347</v>
      </c>
      <c r="B1222">
        <v>2024</v>
      </c>
      <c r="C1222" t="s">
        <v>33</v>
      </c>
      <c r="D1222">
        <v>47</v>
      </c>
      <c r="E1222">
        <v>41</v>
      </c>
      <c r="F1222">
        <v>6</v>
      </c>
      <c r="G1222">
        <v>1</v>
      </c>
      <c r="H1222">
        <v>2</v>
      </c>
      <c r="I1222">
        <v>5</v>
      </c>
      <c r="J1222">
        <v>114.63</v>
      </c>
      <c r="K1222">
        <v>23.5</v>
      </c>
      <c r="L1222">
        <f>_xlfn.XLOOKUP(C1222, dim_teams[team_name], dim_teams[team_id], "Not found", 0)</f>
        <v>15</v>
      </c>
    </row>
    <row r="1223" spans="1:12" x14ac:dyDescent="0.3">
      <c r="A1223" t="s">
        <v>347</v>
      </c>
      <c r="B1223">
        <v>2025</v>
      </c>
      <c r="C1223" t="s">
        <v>33</v>
      </c>
      <c r="D1223">
        <v>18</v>
      </c>
      <c r="E1223">
        <v>16</v>
      </c>
      <c r="F1223">
        <v>2</v>
      </c>
      <c r="G1223">
        <v>0</v>
      </c>
      <c r="H1223">
        <v>3</v>
      </c>
      <c r="I1223">
        <v>5</v>
      </c>
      <c r="J1223">
        <v>112.5</v>
      </c>
      <c r="K1223">
        <v>6</v>
      </c>
      <c r="L1223">
        <f>_xlfn.XLOOKUP(C1223, dim_teams[team_name], dim_teams[team_id], "Not found", 0)</f>
        <v>15</v>
      </c>
    </row>
    <row r="1224" spans="1:12" x14ac:dyDescent="0.3">
      <c r="A1224" t="s">
        <v>348</v>
      </c>
      <c r="B1224">
        <v>2024</v>
      </c>
      <c r="C1224" t="s">
        <v>33</v>
      </c>
      <c r="D1224">
        <v>3</v>
      </c>
      <c r="E1224">
        <v>7</v>
      </c>
      <c r="F1224">
        <v>0</v>
      </c>
      <c r="G1224">
        <v>0</v>
      </c>
      <c r="H1224">
        <v>3</v>
      </c>
      <c r="I1224">
        <v>3</v>
      </c>
      <c r="J1224">
        <v>42.86</v>
      </c>
      <c r="K1224">
        <v>1</v>
      </c>
      <c r="L1224">
        <f>_xlfn.XLOOKUP(C1224, dim_teams[team_name], dim_teams[team_id], "Not found", 0)</f>
        <v>15</v>
      </c>
    </row>
    <row r="1225" spans="1:12" x14ac:dyDescent="0.3">
      <c r="A1225" t="s">
        <v>349</v>
      </c>
      <c r="B1225">
        <v>2011</v>
      </c>
      <c r="C1225" t="s">
        <v>54</v>
      </c>
      <c r="D1225">
        <v>0</v>
      </c>
      <c r="E1225">
        <v>2</v>
      </c>
      <c r="F1225">
        <v>0</v>
      </c>
      <c r="G1225">
        <v>0</v>
      </c>
      <c r="H1225">
        <v>0</v>
      </c>
      <c r="I1225">
        <v>1</v>
      </c>
      <c r="J1225">
        <v>0</v>
      </c>
      <c r="L1225">
        <f>_xlfn.XLOOKUP(C1225, dim_teams[team_name], dim_teams[team_id], "Not found", 0)</f>
        <v>4</v>
      </c>
    </row>
    <row r="1226" spans="1:12" x14ac:dyDescent="0.3">
      <c r="A1226" t="s">
        <v>350</v>
      </c>
      <c r="B1226">
        <v>2008</v>
      </c>
      <c r="C1226" t="s">
        <v>25</v>
      </c>
      <c r="D1226">
        <v>0</v>
      </c>
      <c r="E1226">
        <v>4</v>
      </c>
      <c r="F1226">
        <v>0</v>
      </c>
      <c r="G1226">
        <v>0</v>
      </c>
      <c r="H1226">
        <v>1</v>
      </c>
      <c r="I1226">
        <v>1</v>
      </c>
      <c r="J1226">
        <v>0</v>
      </c>
      <c r="K1226">
        <v>0</v>
      </c>
      <c r="L1226">
        <f>_xlfn.XLOOKUP(C1226, dim_teams[team_name], dim_teams[team_id], "Not found", 0)</f>
        <v>3</v>
      </c>
    </row>
    <row r="1227" spans="1:12" x14ac:dyDescent="0.3">
      <c r="A1227" t="s">
        <v>350</v>
      </c>
      <c r="B1227">
        <v>2009</v>
      </c>
      <c r="C1227" t="s">
        <v>25</v>
      </c>
      <c r="D1227">
        <v>4</v>
      </c>
      <c r="E1227">
        <v>10</v>
      </c>
      <c r="F1227">
        <v>0</v>
      </c>
      <c r="G1227">
        <v>0</v>
      </c>
      <c r="H1227">
        <v>2</v>
      </c>
      <c r="I1227">
        <v>3</v>
      </c>
      <c r="J1227">
        <v>40</v>
      </c>
      <c r="K1227">
        <v>2</v>
      </c>
      <c r="L1227">
        <f>_xlfn.XLOOKUP(C1227, dim_teams[team_name], dim_teams[team_id], "Not found", 0)</f>
        <v>3</v>
      </c>
    </row>
    <row r="1228" spans="1:12" x14ac:dyDescent="0.3">
      <c r="A1228" t="s">
        <v>350</v>
      </c>
      <c r="B1228">
        <v>2010</v>
      </c>
      <c r="C1228" t="s">
        <v>25</v>
      </c>
      <c r="D1228">
        <v>18</v>
      </c>
      <c r="E1228">
        <v>20</v>
      </c>
      <c r="F1228">
        <v>1</v>
      </c>
      <c r="G1228">
        <v>1</v>
      </c>
      <c r="H1228">
        <v>2</v>
      </c>
      <c r="I1228">
        <v>3</v>
      </c>
      <c r="J1228">
        <v>90</v>
      </c>
      <c r="K1228">
        <v>9</v>
      </c>
      <c r="L1228">
        <f>_xlfn.XLOOKUP(C1228, dim_teams[team_name], dim_teams[team_id], "Not found", 0)</f>
        <v>3</v>
      </c>
    </row>
    <row r="1229" spans="1:12" x14ac:dyDescent="0.3">
      <c r="A1229" t="s">
        <v>350</v>
      </c>
      <c r="B1229">
        <v>2011</v>
      </c>
      <c r="C1229" t="s">
        <v>19</v>
      </c>
      <c r="D1229">
        <v>4</v>
      </c>
      <c r="E1229">
        <v>2</v>
      </c>
      <c r="F1229">
        <v>0</v>
      </c>
      <c r="G1229">
        <v>0</v>
      </c>
      <c r="H1229">
        <v>0</v>
      </c>
      <c r="I1229">
        <v>2</v>
      </c>
      <c r="J1229">
        <v>200</v>
      </c>
      <c r="L1229">
        <f>_xlfn.XLOOKUP(C1229, dim_teams[team_name], dim_teams[team_id], "Not found", 0)</f>
        <v>1</v>
      </c>
    </row>
    <row r="1230" spans="1:12" x14ac:dyDescent="0.3">
      <c r="A1230" t="s">
        <v>350</v>
      </c>
      <c r="B1230">
        <v>2013</v>
      </c>
      <c r="C1230" t="s">
        <v>19</v>
      </c>
      <c r="D1230">
        <v>9</v>
      </c>
      <c r="E1230">
        <v>10</v>
      </c>
      <c r="F1230">
        <v>1</v>
      </c>
      <c r="G1230">
        <v>0</v>
      </c>
      <c r="H1230">
        <v>1</v>
      </c>
      <c r="I1230">
        <v>2</v>
      </c>
      <c r="J1230">
        <v>90</v>
      </c>
      <c r="K1230">
        <v>9</v>
      </c>
      <c r="L1230">
        <f>_xlfn.XLOOKUP(C1230, dim_teams[team_name], dim_teams[team_id], "Not found", 0)</f>
        <v>1</v>
      </c>
    </row>
    <row r="1231" spans="1:12" x14ac:dyDescent="0.3">
      <c r="A1231" t="s">
        <v>350</v>
      </c>
      <c r="B1231">
        <v>2014</v>
      </c>
      <c r="C1231" t="s">
        <v>54</v>
      </c>
      <c r="D1231">
        <v>1</v>
      </c>
      <c r="E1231">
        <v>3</v>
      </c>
      <c r="F1231">
        <v>0</v>
      </c>
      <c r="G1231">
        <v>0</v>
      </c>
      <c r="H1231">
        <v>1</v>
      </c>
      <c r="I1231">
        <v>2</v>
      </c>
      <c r="J1231">
        <v>33.33</v>
      </c>
      <c r="K1231">
        <v>1</v>
      </c>
      <c r="L1231">
        <f>_xlfn.XLOOKUP(C1231, dim_teams[team_name], dim_teams[team_id], "Not found", 0)</f>
        <v>4</v>
      </c>
    </row>
    <row r="1232" spans="1:12" x14ac:dyDescent="0.3">
      <c r="A1232" t="s">
        <v>351</v>
      </c>
      <c r="B1232">
        <v>2025</v>
      </c>
      <c r="C1232" t="s">
        <v>102</v>
      </c>
      <c r="D1232">
        <v>0</v>
      </c>
      <c r="E1232">
        <v>2</v>
      </c>
      <c r="F1232">
        <v>0</v>
      </c>
      <c r="G1232">
        <v>0</v>
      </c>
      <c r="H1232">
        <v>0</v>
      </c>
      <c r="I1232">
        <v>1</v>
      </c>
      <c r="J1232">
        <v>0</v>
      </c>
      <c r="L1232">
        <f>_xlfn.XLOOKUP(C1232, dim_teams[team_name], dim_teams[team_id], "Not found", 0)</f>
        <v>19</v>
      </c>
    </row>
    <row r="1233" spans="1:12" x14ac:dyDescent="0.3">
      <c r="A1233" t="s">
        <v>352</v>
      </c>
      <c r="B1233">
        <v>2008</v>
      </c>
      <c r="C1233" t="s">
        <v>23</v>
      </c>
      <c r="D1233">
        <v>34</v>
      </c>
      <c r="E1233">
        <v>32</v>
      </c>
      <c r="F1233">
        <v>6</v>
      </c>
      <c r="G1233">
        <v>1</v>
      </c>
      <c r="H1233">
        <v>2</v>
      </c>
      <c r="I1233">
        <v>4</v>
      </c>
      <c r="J1233">
        <v>106.25</v>
      </c>
      <c r="K1233">
        <v>17</v>
      </c>
      <c r="L1233">
        <f>_xlfn.XLOOKUP(C1233, dim_teams[team_name], dim_teams[team_id], "Not found", 0)</f>
        <v>7</v>
      </c>
    </row>
    <row r="1234" spans="1:12" x14ac:dyDescent="0.3">
      <c r="A1234" t="s">
        <v>352</v>
      </c>
      <c r="B1234">
        <v>2009</v>
      </c>
      <c r="C1234" t="s">
        <v>23</v>
      </c>
      <c r="D1234">
        <v>0</v>
      </c>
      <c r="E1234">
        <v>2</v>
      </c>
      <c r="F1234">
        <v>0</v>
      </c>
      <c r="G1234">
        <v>0</v>
      </c>
      <c r="H1234">
        <v>1</v>
      </c>
      <c r="I1234">
        <v>1</v>
      </c>
      <c r="J1234">
        <v>0</v>
      </c>
      <c r="K1234">
        <v>0</v>
      </c>
      <c r="L1234">
        <f>_xlfn.XLOOKUP(C1234, dim_teams[team_name], dim_teams[team_id], "Not found", 0)</f>
        <v>7</v>
      </c>
    </row>
    <row r="1235" spans="1:12" x14ac:dyDescent="0.3">
      <c r="A1235" t="s">
        <v>353</v>
      </c>
      <c r="B1235">
        <v>2024</v>
      </c>
      <c r="C1235" t="s">
        <v>23</v>
      </c>
      <c r="D1235">
        <v>9</v>
      </c>
      <c r="E1235">
        <v>3</v>
      </c>
      <c r="F1235">
        <v>0</v>
      </c>
      <c r="G1235">
        <v>1</v>
      </c>
      <c r="H1235">
        <v>0</v>
      </c>
      <c r="I1235">
        <v>1</v>
      </c>
      <c r="J1235">
        <v>300</v>
      </c>
      <c r="L1235">
        <f>_xlfn.XLOOKUP(C1235, dim_teams[team_name], dim_teams[team_id], "Not found", 0)</f>
        <v>7</v>
      </c>
    </row>
    <row r="1236" spans="1:12" x14ac:dyDescent="0.3">
      <c r="A1236" t="s">
        <v>354</v>
      </c>
      <c r="B1236">
        <v>2009</v>
      </c>
      <c r="C1236" t="s">
        <v>17</v>
      </c>
      <c r="D1236">
        <v>81</v>
      </c>
      <c r="E1236">
        <v>66</v>
      </c>
      <c r="F1236">
        <v>11</v>
      </c>
      <c r="G1236">
        <v>0</v>
      </c>
      <c r="H1236">
        <v>3</v>
      </c>
      <c r="I1236">
        <v>5</v>
      </c>
      <c r="J1236">
        <v>122.73</v>
      </c>
      <c r="K1236">
        <v>27</v>
      </c>
      <c r="L1236">
        <f>_xlfn.XLOOKUP(C1236, dim_teams[team_name], dim_teams[team_id], "Not found", 0)</f>
        <v>5</v>
      </c>
    </row>
    <row r="1237" spans="1:12" x14ac:dyDescent="0.3">
      <c r="A1237" t="s">
        <v>355</v>
      </c>
      <c r="B1237">
        <v>2008</v>
      </c>
      <c r="C1237" t="s">
        <v>54</v>
      </c>
      <c r="D1237">
        <v>152</v>
      </c>
      <c r="E1237">
        <v>99</v>
      </c>
      <c r="F1237">
        <v>13</v>
      </c>
      <c r="G1237">
        <v>9</v>
      </c>
      <c r="H1237">
        <v>1</v>
      </c>
      <c r="I1237">
        <v>5</v>
      </c>
      <c r="J1237">
        <v>153.54</v>
      </c>
      <c r="K1237">
        <v>152</v>
      </c>
      <c r="L1237">
        <f>_xlfn.XLOOKUP(C1237, dim_teams[team_name], dim_teams[team_id], "Not found", 0)</f>
        <v>4</v>
      </c>
    </row>
    <row r="1238" spans="1:12" x14ac:dyDescent="0.3">
      <c r="A1238" t="s">
        <v>355</v>
      </c>
      <c r="B1238">
        <v>2009</v>
      </c>
      <c r="C1238" t="s">
        <v>54</v>
      </c>
      <c r="D1238">
        <v>41</v>
      </c>
      <c r="E1238">
        <v>46</v>
      </c>
      <c r="F1238">
        <v>3</v>
      </c>
      <c r="G1238">
        <v>1</v>
      </c>
      <c r="H1238">
        <v>3</v>
      </c>
      <c r="I1238">
        <v>4</v>
      </c>
      <c r="J1238">
        <v>89.13</v>
      </c>
      <c r="K1238">
        <v>13.67</v>
      </c>
      <c r="L1238">
        <f>_xlfn.XLOOKUP(C1238, dim_teams[team_name], dim_teams[team_id], "Not found", 0)</f>
        <v>4</v>
      </c>
    </row>
    <row r="1239" spans="1:12" x14ac:dyDescent="0.3">
      <c r="A1239" t="s">
        <v>355</v>
      </c>
      <c r="B1239">
        <v>2011</v>
      </c>
      <c r="C1239" t="s">
        <v>21</v>
      </c>
      <c r="D1239">
        <v>51</v>
      </c>
      <c r="E1239">
        <v>39</v>
      </c>
      <c r="F1239">
        <v>4</v>
      </c>
      <c r="G1239">
        <v>2</v>
      </c>
      <c r="H1239">
        <v>4</v>
      </c>
      <c r="I1239">
        <v>4</v>
      </c>
      <c r="J1239">
        <v>130.77000000000001</v>
      </c>
      <c r="K1239">
        <v>12.75</v>
      </c>
      <c r="L1239">
        <f>_xlfn.XLOOKUP(C1239, dim_teams[team_name], dim_teams[team_id], "Not found", 0)</f>
        <v>2</v>
      </c>
    </row>
    <row r="1240" spans="1:12" x14ac:dyDescent="0.3">
      <c r="A1240" t="s">
        <v>355</v>
      </c>
      <c r="B1240">
        <v>2013</v>
      </c>
      <c r="C1240" t="s">
        <v>54</v>
      </c>
      <c r="D1240">
        <v>58</v>
      </c>
      <c r="E1240">
        <v>59</v>
      </c>
      <c r="F1240">
        <v>5</v>
      </c>
      <c r="G1240">
        <v>1</v>
      </c>
      <c r="H1240">
        <v>3</v>
      </c>
      <c r="I1240">
        <v>3</v>
      </c>
      <c r="J1240">
        <v>98.31</v>
      </c>
      <c r="K1240">
        <v>19.329999999999998</v>
      </c>
      <c r="L1240">
        <f>_xlfn.XLOOKUP(C1240, dim_teams[team_name], dim_teams[team_id], "Not found", 0)</f>
        <v>4</v>
      </c>
    </row>
    <row r="1241" spans="1:12" x14ac:dyDescent="0.3">
      <c r="A1241" t="s">
        <v>356</v>
      </c>
      <c r="B1241">
        <v>2024</v>
      </c>
      <c r="C1241" t="s">
        <v>33</v>
      </c>
      <c r="D1241">
        <v>1</v>
      </c>
      <c r="E1241">
        <v>2</v>
      </c>
      <c r="F1241">
        <v>0</v>
      </c>
      <c r="G1241">
        <v>0</v>
      </c>
      <c r="H1241">
        <v>0</v>
      </c>
      <c r="I1241">
        <v>1</v>
      </c>
      <c r="J1241">
        <v>50</v>
      </c>
      <c r="L1241">
        <f>_xlfn.XLOOKUP(C1241, dim_teams[team_name], dim_teams[team_id], "Not found", 0)</f>
        <v>15</v>
      </c>
    </row>
    <row r="1242" spans="1:12" x14ac:dyDescent="0.3">
      <c r="A1242" t="s">
        <v>357</v>
      </c>
      <c r="B1242">
        <v>2018</v>
      </c>
      <c r="C1242" t="s">
        <v>32</v>
      </c>
      <c r="D1242">
        <v>1</v>
      </c>
      <c r="E1242">
        <v>3</v>
      </c>
      <c r="F1242">
        <v>0</v>
      </c>
      <c r="G1242">
        <v>0</v>
      </c>
      <c r="H1242">
        <v>1</v>
      </c>
      <c r="I1242">
        <v>2</v>
      </c>
      <c r="J1242">
        <v>33.33</v>
      </c>
      <c r="K1242">
        <v>1</v>
      </c>
      <c r="L1242">
        <f>_xlfn.XLOOKUP(C1242, dim_teams[team_name], dim_teams[team_id], "Not found", 0)</f>
        <v>6</v>
      </c>
    </row>
    <row r="1243" spans="1:12" x14ac:dyDescent="0.3">
      <c r="A1243" t="s">
        <v>358</v>
      </c>
      <c r="B1243">
        <v>2017</v>
      </c>
      <c r="C1243" t="s">
        <v>46</v>
      </c>
      <c r="D1243">
        <v>1</v>
      </c>
      <c r="E1243">
        <v>1</v>
      </c>
      <c r="F1243">
        <v>0</v>
      </c>
      <c r="G1243">
        <v>0</v>
      </c>
      <c r="H1243">
        <v>0</v>
      </c>
      <c r="I1243">
        <v>1</v>
      </c>
      <c r="J1243">
        <v>100</v>
      </c>
      <c r="L1243">
        <f>_xlfn.XLOOKUP(C1243, dim_teams[team_name], dim_teams[team_id], "Not found", 0)</f>
        <v>14</v>
      </c>
    </row>
    <row r="1244" spans="1:12" x14ac:dyDescent="0.3">
      <c r="A1244" t="s">
        <v>358</v>
      </c>
      <c r="B1244">
        <v>2020</v>
      </c>
      <c r="C1244" t="s">
        <v>19</v>
      </c>
      <c r="D1244">
        <v>43</v>
      </c>
      <c r="E1244">
        <v>29</v>
      </c>
      <c r="F1244">
        <v>4</v>
      </c>
      <c r="G1244">
        <v>1</v>
      </c>
      <c r="H1244">
        <v>1</v>
      </c>
      <c r="I1244">
        <v>2</v>
      </c>
      <c r="J1244">
        <v>148.28</v>
      </c>
      <c r="K1244">
        <v>43</v>
      </c>
      <c r="L1244">
        <f>_xlfn.XLOOKUP(C1244, dim_teams[team_name], dim_teams[team_id], "Not found", 0)</f>
        <v>1</v>
      </c>
    </row>
    <row r="1245" spans="1:12" x14ac:dyDescent="0.3">
      <c r="A1245" t="s">
        <v>358</v>
      </c>
      <c r="B1245">
        <v>2021</v>
      </c>
      <c r="C1245" t="s">
        <v>19</v>
      </c>
      <c r="D1245">
        <v>18</v>
      </c>
      <c r="E1245">
        <v>10</v>
      </c>
      <c r="F1245">
        <v>1</v>
      </c>
      <c r="G1245">
        <v>1</v>
      </c>
      <c r="H1245">
        <v>0</v>
      </c>
      <c r="I1245">
        <v>1</v>
      </c>
      <c r="J1245">
        <v>180</v>
      </c>
      <c r="L1245">
        <f>_xlfn.XLOOKUP(C1245, dim_teams[team_name], dim_teams[team_id], "Not found", 0)</f>
        <v>1</v>
      </c>
    </row>
    <row r="1246" spans="1:12" x14ac:dyDescent="0.3">
      <c r="A1246" t="s">
        <v>358</v>
      </c>
      <c r="B1246">
        <v>2022</v>
      </c>
      <c r="C1246" t="s">
        <v>29</v>
      </c>
      <c r="D1246">
        <v>5</v>
      </c>
      <c r="E1246">
        <v>4</v>
      </c>
      <c r="F1246">
        <v>1</v>
      </c>
      <c r="G1246">
        <v>0</v>
      </c>
      <c r="H1246">
        <v>2</v>
      </c>
      <c r="I1246">
        <v>2</v>
      </c>
      <c r="J1246">
        <v>125</v>
      </c>
      <c r="K1246">
        <v>2.5</v>
      </c>
      <c r="L1246">
        <f>_xlfn.XLOOKUP(C1246, dim_teams[team_name], dim_teams[team_id], "Not found", 0)</f>
        <v>18</v>
      </c>
    </row>
    <row r="1247" spans="1:12" x14ac:dyDescent="0.3">
      <c r="A1247" t="s">
        <v>358</v>
      </c>
      <c r="B1247">
        <v>2024</v>
      </c>
      <c r="C1247" t="s">
        <v>102</v>
      </c>
      <c r="D1247">
        <v>1</v>
      </c>
      <c r="E1247">
        <v>1</v>
      </c>
      <c r="F1247">
        <v>0</v>
      </c>
      <c r="G1247">
        <v>0</v>
      </c>
      <c r="H1247">
        <v>1</v>
      </c>
      <c r="I1247">
        <v>1</v>
      </c>
      <c r="J1247">
        <v>100</v>
      </c>
      <c r="K1247">
        <v>1</v>
      </c>
      <c r="L1247">
        <f>_xlfn.XLOOKUP(C1247, dim_teams[team_name], dim_teams[team_id], "Not found", 0)</f>
        <v>19</v>
      </c>
    </row>
    <row r="1248" spans="1:12" x14ac:dyDescent="0.3">
      <c r="A1248" t="s">
        <v>358</v>
      </c>
      <c r="B1248">
        <v>2025</v>
      </c>
      <c r="C1248" t="s">
        <v>76</v>
      </c>
      <c r="D1248">
        <v>4</v>
      </c>
      <c r="E1248">
        <v>1</v>
      </c>
      <c r="F1248">
        <v>1</v>
      </c>
      <c r="G1248">
        <v>0</v>
      </c>
      <c r="H1248">
        <v>0</v>
      </c>
      <c r="I1248">
        <v>1</v>
      </c>
      <c r="J1248">
        <v>400</v>
      </c>
      <c r="L1248">
        <f>_xlfn.XLOOKUP(C1248, dim_teams[team_name], dim_teams[team_id], "Not found", 0)</f>
        <v>16</v>
      </c>
    </row>
    <row r="1249" spans="1:12" x14ac:dyDescent="0.3">
      <c r="A1249" t="s">
        <v>359</v>
      </c>
      <c r="B1249">
        <v>2013</v>
      </c>
      <c r="C1249" t="s">
        <v>37</v>
      </c>
      <c r="D1249">
        <v>106</v>
      </c>
      <c r="E1249">
        <v>59</v>
      </c>
      <c r="F1249">
        <v>16</v>
      </c>
      <c r="G1249">
        <v>3</v>
      </c>
      <c r="H1249">
        <v>4</v>
      </c>
      <c r="I1249">
        <v>5</v>
      </c>
      <c r="J1249">
        <v>179.66</v>
      </c>
      <c r="K1249">
        <v>26.5</v>
      </c>
      <c r="L1249">
        <f>_xlfn.XLOOKUP(C1249, dim_teams[team_name], dim_teams[team_id], "Not found", 0)</f>
        <v>10</v>
      </c>
    </row>
    <row r="1250" spans="1:12" x14ac:dyDescent="0.3">
      <c r="A1250" t="s">
        <v>360</v>
      </c>
      <c r="B1250">
        <v>2014</v>
      </c>
      <c r="C1250" t="s">
        <v>23</v>
      </c>
      <c r="D1250">
        <v>394</v>
      </c>
      <c r="E1250">
        <v>290</v>
      </c>
      <c r="F1250">
        <v>43</v>
      </c>
      <c r="G1250">
        <v>14</v>
      </c>
      <c r="H1250">
        <v>7</v>
      </c>
      <c r="I1250">
        <v>8</v>
      </c>
      <c r="J1250">
        <v>135.86000000000001</v>
      </c>
      <c r="K1250">
        <v>56.29</v>
      </c>
      <c r="L1250">
        <f>_xlfn.XLOOKUP(C1250, dim_teams[team_name], dim_teams[team_id], "Not found", 0)</f>
        <v>7</v>
      </c>
    </row>
    <row r="1251" spans="1:12" x14ac:dyDescent="0.3">
      <c r="A1251" t="s">
        <v>360</v>
      </c>
      <c r="B1251">
        <v>2015</v>
      </c>
      <c r="C1251" t="s">
        <v>23</v>
      </c>
      <c r="D1251">
        <v>540</v>
      </c>
      <c r="E1251">
        <v>438</v>
      </c>
      <c r="F1251">
        <v>56</v>
      </c>
      <c r="G1251">
        <v>21</v>
      </c>
      <c r="H1251">
        <v>13</v>
      </c>
      <c r="I1251">
        <v>13</v>
      </c>
      <c r="J1251">
        <v>123.29</v>
      </c>
      <c r="K1251">
        <v>41.54</v>
      </c>
      <c r="L1251">
        <f>_xlfn.XLOOKUP(C1251, dim_teams[team_name], dim_teams[team_id], "Not found", 0)</f>
        <v>7</v>
      </c>
    </row>
    <row r="1252" spans="1:12" x14ac:dyDescent="0.3">
      <c r="A1252" t="s">
        <v>360</v>
      </c>
      <c r="B1252">
        <v>2016</v>
      </c>
      <c r="C1252" t="s">
        <v>23</v>
      </c>
      <c r="D1252">
        <v>8</v>
      </c>
      <c r="E1252">
        <v>8</v>
      </c>
      <c r="F1252">
        <v>0</v>
      </c>
      <c r="G1252">
        <v>1</v>
      </c>
      <c r="H1252">
        <v>1</v>
      </c>
      <c r="I1252">
        <v>1</v>
      </c>
      <c r="J1252">
        <v>100</v>
      </c>
      <c r="K1252">
        <v>8</v>
      </c>
      <c r="L1252">
        <f>_xlfn.XLOOKUP(C1252, dim_teams[team_name], dim_teams[team_id], "Not found", 0)</f>
        <v>7</v>
      </c>
    </row>
    <row r="1253" spans="1:12" x14ac:dyDescent="0.3">
      <c r="A1253" t="s">
        <v>360</v>
      </c>
      <c r="B1253">
        <v>2017</v>
      </c>
      <c r="C1253" t="s">
        <v>23</v>
      </c>
      <c r="D1253">
        <v>137</v>
      </c>
      <c r="E1253">
        <v>112</v>
      </c>
      <c r="F1253">
        <v>10</v>
      </c>
      <c r="G1253">
        <v>8</v>
      </c>
      <c r="H1253">
        <v>6</v>
      </c>
      <c r="I1253">
        <v>7</v>
      </c>
      <c r="J1253">
        <v>122.32</v>
      </c>
      <c r="K1253">
        <v>22.83</v>
      </c>
      <c r="L1253">
        <f>_xlfn.XLOOKUP(C1253, dim_teams[team_name], dim_teams[team_id], "Not found", 0)</f>
        <v>7</v>
      </c>
    </row>
    <row r="1254" spans="1:12" x14ac:dyDescent="0.3">
      <c r="A1254" t="s">
        <v>361</v>
      </c>
      <c r="B1254">
        <v>2008</v>
      </c>
      <c r="C1254" t="s">
        <v>12</v>
      </c>
      <c r="D1254">
        <v>40</v>
      </c>
      <c r="E1254">
        <v>26</v>
      </c>
      <c r="F1254">
        <v>5</v>
      </c>
      <c r="G1254">
        <v>1</v>
      </c>
      <c r="H1254">
        <v>2</v>
      </c>
      <c r="I1254">
        <v>3</v>
      </c>
      <c r="J1254">
        <v>153.85</v>
      </c>
      <c r="K1254">
        <v>20</v>
      </c>
      <c r="L1254">
        <f>_xlfn.XLOOKUP(C1254, dim_teams[team_name], dim_teams[team_id], "Not found", 0)</f>
        <v>8</v>
      </c>
    </row>
    <row r="1255" spans="1:12" x14ac:dyDescent="0.3">
      <c r="A1255" t="s">
        <v>362</v>
      </c>
      <c r="B1255">
        <v>2008</v>
      </c>
      <c r="C1255" t="s">
        <v>19</v>
      </c>
      <c r="D1255">
        <v>163</v>
      </c>
      <c r="E1255">
        <v>122</v>
      </c>
      <c r="F1255">
        <v>17</v>
      </c>
      <c r="G1255">
        <v>5</v>
      </c>
      <c r="H1255">
        <v>8</v>
      </c>
      <c r="I1255">
        <v>12</v>
      </c>
      <c r="J1255">
        <v>133.61000000000001</v>
      </c>
      <c r="K1255">
        <v>20.38</v>
      </c>
      <c r="L1255">
        <f>_xlfn.XLOOKUP(C1255, dim_teams[team_name], dim_teams[team_id], "Not found", 0)</f>
        <v>1</v>
      </c>
    </row>
    <row r="1256" spans="1:12" x14ac:dyDescent="0.3">
      <c r="A1256" t="s">
        <v>362</v>
      </c>
      <c r="B1256">
        <v>2009</v>
      </c>
      <c r="C1256" t="s">
        <v>19</v>
      </c>
      <c r="D1256">
        <v>83</v>
      </c>
      <c r="E1256">
        <v>85</v>
      </c>
      <c r="F1256">
        <v>5</v>
      </c>
      <c r="G1256">
        <v>3</v>
      </c>
      <c r="H1256">
        <v>6</v>
      </c>
      <c r="I1256">
        <v>6</v>
      </c>
      <c r="J1256">
        <v>97.65</v>
      </c>
      <c r="K1256">
        <v>13.83</v>
      </c>
      <c r="L1256">
        <f>_xlfn.XLOOKUP(C1256, dim_teams[team_name], dim_teams[team_id], "Not found", 0)</f>
        <v>1</v>
      </c>
    </row>
    <row r="1257" spans="1:12" x14ac:dyDescent="0.3">
      <c r="A1257" t="s">
        <v>362</v>
      </c>
      <c r="B1257">
        <v>2010</v>
      </c>
      <c r="C1257" t="s">
        <v>19</v>
      </c>
      <c r="D1257">
        <v>36</v>
      </c>
      <c r="E1257">
        <v>26</v>
      </c>
      <c r="F1257">
        <v>3</v>
      </c>
      <c r="G1257">
        <v>2</v>
      </c>
      <c r="H1257">
        <v>2</v>
      </c>
      <c r="I1257">
        <v>2</v>
      </c>
      <c r="J1257">
        <v>138.46</v>
      </c>
      <c r="K1257">
        <v>18</v>
      </c>
      <c r="L1257">
        <f>_xlfn.XLOOKUP(C1257, dim_teams[team_name], dim_teams[team_id], "Not found", 0)</f>
        <v>1</v>
      </c>
    </row>
    <row r="1258" spans="1:12" x14ac:dyDescent="0.3">
      <c r="A1258" t="s">
        <v>362</v>
      </c>
      <c r="B1258">
        <v>2011</v>
      </c>
      <c r="C1258" t="s">
        <v>19</v>
      </c>
      <c r="D1258">
        <v>14</v>
      </c>
      <c r="E1258">
        <v>10</v>
      </c>
      <c r="F1258">
        <v>2</v>
      </c>
      <c r="G1258">
        <v>0</v>
      </c>
      <c r="H1258">
        <v>1</v>
      </c>
      <c r="I1258">
        <v>1</v>
      </c>
      <c r="J1258">
        <v>140</v>
      </c>
      <c r="K1258">
        <v>14</v>
      </c>
      <c r="L1258">
        <f>_xlfn.XLOOKUP(C1258, dim_teams[team_name], dim_teams[team_id], "Not found", 0)</f>
        <v>1</v>
      </c>
    </row>
    <row r="1259" spans="1:12" x14ac:dyDescent="0.3">
      <c r="A1259" t="s">
        <v>362</v>
      </c>
      <c r="B1259">
        <v>2012</v>
      </c>
      <c r="C1259" t="s">
        <v>19</v>
      </c>
      <c r="D1259">
        <v>75</v>
      </c>
      <c r="E1259">
        <v>57</v>
      </c>
      <c r="F1259">
        <v>4</v>
      </c>
      <c r="G1259">
        <v>5</v>
      </c>
      <c r="H1259">
        <v>7</v>
      </c>
      <c r="I1259">
        <v>7</v>
      </c>
      <c r="J1259">
        <v>131.58000000000001</v>
      </c>
      <c r="K1259">
        <v>10.71</v>
      </c>
      <c r="L1259">
        <f>_xlfn.XLOOKUP(C1259, dim_teams[team_name], dim_teams[team_id], "Not found", 0)</f>
        <v>1</v>
      </c>
    </row>
    <row r="1260" spans="1:12" x14ac:dyDescent="0.3">
      <c r="A1260" t="s">
        <v>362</v>
      </c>
      <c r="B1260">
        <v>2013</v>
      </c>
      <c r="C1260" t="s">
        <v>19</v>
      </c>
      <c r="D1260">
        <v>3</v>
      </c>
      <c r="E1260">
        <v>12</v>
      </c>
      <c r="F1260">
        <v>0</v>
      </c>
      <c r="G1260">
        <v>0</v>
      </c>
      <c r="H1260">
        <v>2</v>
      </c>
      <c r="I1260">
        <v>2</v>
      </c>
      <c r="J1260">
        <v>25</v>
      </c>
      <c r="K1260">
        <v>1.5</v>
      </c>
      <c r="L1260">
        <f>_xlfn.XLOOKUP(C1260, dim_teams[team_name], dim_teams[team_id], "Not found", 0)</f>
        <v>1</v>
      </c>
    </row>
    <row r="1261" spans="1:12" x14ac:dyDescent="0.3">
      <c r="A1261" t="s">
        <v>362</v>
      </c>
      <c r="B1261">
        <v>2014</v>
      </c>
      <c r="C1261" t="s">
        <v>32</v>
      </c>
      <c r="D1261">
        <v>31</v>
      </c>
      <c r="E1261">
        <v>38</v>
      </c>
      <c r="F1261">
        <v>2</v>
      </c>
      <c r="G1261">
        <v>1</v>
      </c>
      <c r="H1261">
        <v>3</v>
      </c>
      <c r="I1261">
        <v>3</v>
      </c>
      <c r="J1261">
        <v>81.58</v>
      </c>
      <c r="K1261">
        <v>10.33</v>
      </c>
      <c r="L1261">
        <f>_xlfn.XLOOKUP(C1261, dim_teams[team_name], dim_teams[team_id], "Not found", 0)</f>
        <v>6</v>
      </c>
    </row>
    <row r="1262" spans="1:12" x14ac:dyDescent="0.3">
      <c r="A1262" t="s">
        <v>363</v>
      </c>
      <c r="B1262">
        <v>2008</v>
      </c>
      <c r="C1262" t="s">
        <v>21</v>
      </c>
      <c r="D1262">
        <v>149</v>
      </c>
      <c r="E1262">
        <v>81</v>
      </c>
      <c r="F1262">
        <v>13</v>
      </c>
      <c r="G1262">
        <v>10</v>
      </c>
      <c r="H1262">
        <v>4</v>
      </c>
      <c r="I1262">
        <v>4</v>
      </c>
      <c r="J1262">
        <v>183.95</v>
      </c>
      <c r="K1262">
        <v>37.25</v>
      </c>
      <c r="L1262">
        <f>_xlfn.XLOOKUP(C1262, dim_teams[team_name], dim_teams[team_id], "Not found", 0)</f>
        <v>2</v>
      </c>
    </row>
    <row r="1263" spans="1:12" x14ac:dyDescent="0.3">
      <c r="A1263" t="s">
        <v>363</v>
      </c>
      <c r="B1263">
        <v>2009</v>
      </c>
      <c r="C1263" t="s">
        <v>21</v>
      </c>
      <c r="D1263">
        <v>280</v>
      </c>
      <c r="E1263">
        <v>206</v>
      </c>
      <c r="F1263">
        <v>20</v>
      </c>
      <c r="G1263">
        <v>15</v>
      </c>
      <c r="H1263">
        <v>10</v>
      </c>
      <c r="I1263">
        <v>11</v>
      </c>
      <c r="J1263">
        <v>135.91999999999999</v>
      </c>
      <c r="K1263">
        <v>28</v>
      </c>
      <c r="L1263">
        <f>_xlfn.XLOOKUP(C1263, dim_teams[team_name], dim_teams[team_id], "Not found", 0)</f>
        <v>2</v>
      </c>
    </row>
    <row r="1264" spans="1:12" x14ac:dyDescent="0.3">
      <c r="A1264" t="s">
        <v>363</v>
      </c>
      <c r="B1264">
        <v>2010</v>
      </c>
      <c r="C1264" t="s">
        <v>21</v>
      </c>
      <c r="D1264">
        <v>88</v>
      </c>
      <c r="E1264">
        <v>75</v>
      </c>
      <c r="F1264">
        <v>2</v>
      </c>
      <c r="G1264">
        <v>6</v>
      </c>
      <c r="H1264">
        <v>4</v>
      </c>
      <c r="I1264">
        <v>7</v>
      </c>
      <c r="J1264">
        <v>117.33</v>
      </c>
      <c r="K1264">
        <v>22</v>
      </c>
      <c r="L1264">
        <f>_xlfn.XLOOKUP(C1264, dim_teams[team_name], dim_teams[team_id], "Not found", 0)</f>
        <v>2</v>
      </c>
    </row>
    <row r="1265" spans="1:12" x14ac:dyDescent="0.3">
      <c r="A1265" t="s">
        <v>363</v>
      </c>
      <c r="B1265">
        <v>2011</v>
      </c>
      <c r="C1265" t="s">
        <v>17</v>
      </c>
      <c r="D1265">
        <v>181</v>
      </c>
      <c r="E1265">
        <v>150</v>
      </c>
      <c r="F1265">
        <v>11</v>
      </c>
      <c r="G1265">
        <v>7</v>
      </c>
      <c r="H1265">
        <v>5</v>
      </c>
      <c r="I1265">
        <v>11</v>
      </c>
      <c r="J1265">
        <v>120.67</v>
      </c>
      <c r="K1265">
        <v>36.200000000000003</v>
      </c>
      <c r="L1265">
        <f>_xlfn.XLOOKUP(C1265, dim_teams[team_name], dim_teams[team_id], "Not found", 0)</f>
        <v>5</v>
      </c>
    </row>
    <row r="1266" spans="1:12" x14ac:dyDescent="0.3">
      <c r="A1266" t="s">
        <v>363</v>
      </c>
      <c r="B1266">
        <v>2012</v>
      </c>
      <c r="C1266" t="s">
        <v>32</v>
      </c>
      <c r="D1266">
        <v>197</v>
      </c>
      <c r="E1266">
        <v>171</v>
      </c>
      <c r="F1266">
        <v>12</v>
      </c>
      <c r="G1266">
        <v>7</v>
      </c>
      <c r="H1266">
        <v>11</v>
      </c>
      <c r="I1266">
        <v>12</v>
      </c>
      <c r="J1266">
        <v>115.2</v>
      </c>
      <c r="K1266">
        <v>17.91</v>
      </c>
      <c r="L1266">
        <f>_xlfn.XLOOKUP(C1266, dim_teams[team_name], dim_teams[team_id], "Not found", 0)</f>
        <v>6</v>
      </c>
    </row>
    <row r="1267" spans="1:12" x14ac:dyDescent="0.3">
      <c r="A1267" t="s">
        <v>363</v>
      </c>
      <c r="B1267">
        <v>2013</v>
      </c>
      <c r="C1267" t="s">
        <v>37</v>
      </c>
      <c r="D1267">
        <v>63</v>
      </c>
      <c r="E1267">
        <v>76</v>
      </c>
      <c r="F1267">
        <v>2</v>
      </c>
      <c r="G1267">
        <v>1</v>
      </c>
      <c r="H1267">
        <v>4</v>
      </c>
      <c r="I1267">
        <v>5</v>
      </c>
      <c r="J1267">
        <v>82.89</v>
      </c>
      <c r="K1267">
        <v>15.75</v>
      </c>
      <c r="L1267">
        <f>_xlfn.XLOOKUP(C1267, dim_teams[team_name], dim_teams[team_id], "Not found", 0)</f>
        <v>10</v>
      </c>
    </row>
    <row r="1268" spans="1:12" x14ac:dyDescent="0.3">
      <c r="A1268" t="s">
        <v>363</v>
      </c>
      <c r="B1268">
        <v>2014</v>
      </c>
      <c r="C1268" t="s">
        <v>32</v>
      </c>
      <c r="D1268">
        <v>59</v>
      </c>
      <c r="E1268">
        <v>59</v>
      </c>
      <c r="F1268">
        <v>6</v>
      </c>
      <c r="G1268">
        <v>0</v>
      </c>
      <c r="H1268">
        <v>3</v>
      </c>
      <c r="I1268">
        <v>4</v>
      </c>
      <c r="J1268">
        <v>100</v>
      </c>
      <c r="K1268">
        <v>19.670000000000002</v>
      </c>
      <c r="L1268">
        <f>_xlfn.XLOOKUP(C1268, dim_teams[team_name], dim_teams[team_id], "Not found", 0)</f>
        <v>6</v>
      </c>
    </row>
    <row r="1269" spans="1:12" x14ac:dyDescent="0.3">
      <c r="A1269" t="s">
        <v>364</v>
      </c>
      <c r="B1269">
        <v>2019</v>
      </c>
      <c r="C1269" t="s">
        <v>17</v>
      </c>
      <c r="D1269">
        <v>70</v>
      </c>
      <c r="E1269">
        <v>48</v>
      </c>
      <c r="F1269">
        <v>6</v>
      </c>
      <c r="G1269">
        <v>5</v>
      </c>
      <c r="H1269">
        <v>3</v>
      </c>
      <c r="I1269">
        <v>4</v>
      </c>
      <c r="J1269">
        <v>145.83000000000001</v>
      </c>
      <c r="K1269">
        <v>23.33</v>
      </c>
      <c r="L1269">
        <f>_xlfn.XLOOKUP(C1269, dim_teams[team_name], dim_teams[team_id], "Not found", 0)</f>
        <v>5</v>
      </c>
    </row>
    <row r="1270" spans="1:12" x14ac:dyDescent="0.3">
      <c r="A1270" t="s">
        <v>364</v>
      </c>
      <c r="B1270">
        <v>2021</v>
      </c>
      <c r="C1270" t="s">
        <v>17</v>
      </c>
      <c r="D1270">
        <v>42</v>
      </c>
      <c r="E1270">
        <v>41</v>
      </c>
      <c r="F1270">
        <v>3</v>
      </c>
      <c r="G1270">
        <v>1</v>
      </c>
      <c r="H1270">
        <v>5</v>
      </c>
      <c r="I1270">
        <v>5</v>
      </c>
      <c r="J1270">
        <v>102.44</v>
      </c>
      <c r="K1270">
        <v>8.4</v>
      </c>
      <c r="L1270">
        <f>_xlfn.XLOOKUP(C1270, dim_teams[team_name], dim_teams[team_id], "Not found", 0)</f>
        <v>5</v>
      </c>
    </row>
    <row r="1271" spans="1:12" x14ac:dyDescent="0.3">
      <c r="A1271" t="s">
        <v>364</v>
      </c>
      <c r="B1271">
        <v>2022</v>
      </c>
      <c r="C1271" t="s">
        <v>76</v>
      </c>
      <c r="D1271">
        <v>437</v>
      </c>
      <c r="E1271">
        <v>238</v>
      </c>
      <c r="F1271">
        <v>29</v>
      </c>
      <c r="G1271">
        <v>34</v>
      </c>
      <c r="H1271">
        <v>12</v>
      </c>
      <c r="I1271">
        <v>14</v>
      </c>
      <c r="J1271">
        <v>183.61</v>
      </c>
      <c r="K1271">
        <v>36.42</v>
      </c>
      <c r="L1271">
        <f>_xlfn.XLOOKUP(C1271, dim_teams[team_name], dim_teams[team_id], "Not found", 0)</f>
        <v>16</v>
      </c>
    </row>
    <row r="1272" spans="1:12" x14ac:dyDescent="0.3">
      <c r="A1272" t="s">
        <v>364</v>
      </c>
      <c r="B1272">
        <v>2023</v>
      </c>
      <c r="C1272" t="s">
        <v>76</v>
      </c>
      <c r="D1272">
        <v>279</v>
      </c>
      <c r="E1272">
        <v>166</v>
      </c>
      <c r="F1272">
        <v>20</v>
      </c>
      <c r="G1272">
        <v>19</v>
      </c>
      <c r="H1272">
        <v>9</v>
      </c>
      <c r="I1272">
        <v>9</v>
      </c>
      <c r="J1272">
        <v>168.07</v>
      </c>
      <c r="K1272">
        <v>31</v>
      </c>
      <c r="L1272">
        <f>_xlfn.XLOOKUP(C1272, dim_teams[team_name], dim_teams[team_id], "Not found", 0)</f>
        <v>16</v>
      </c>
    </row>
    <row r="1273" spans="1:12" x14ac:dyDescent="0.3">
      <c r="A1273" t="s">
        <v>364</v>
      </c>
      <c r="B1273">
        <v>2024</v>
      </c>
      <c r="C1273" t="s">
        <v>76</v>
      </c>
      <c r="D1273">
        <v>111</v>
      </c>
      <c r="E1273">
        <v>78</v>
      </c>
      <c r="F1273">
        <v>8</v>
      </c>
      <c r="G1273">
        <v>7</v>
      </c>
      <c r="H1273">
        <v>4</v>
      </c>
      <c r="I1273">
        <v>7</v>
      </c>
      <c r="J1273">
        <v>142.31</v>
      </c>
      <c r="K1273">
        <v>27.75</v>
      </c>
      <c r="L1273">
        <f>_xlfn.XLOOKUP(C1273, dim_teams[team_name], dim_teams[team_id], "Not found", 0)</f>
        <v>16</v>
      </c>
    </row>
    <row r="1274" spans="1:12" x14ac:dyDescent="0.3">
      <c r="A1274" t="s">
        <v>364</v>
      </c>
      <c r="B1274">
        <v>2025</v>
      </c>
      <c r="C1274" t="s">
        <v>102</v>
      </c>
      <c r="D1274">
        <v>112</v>
      </c>
      <c r="E1274">
        <v>84</v>
      </c>
      <c r="F1274">
        <v>4</v>
      </c>
      <c r="G1274">
        <v>9</v>
      </c>
      <c r="H1274">
        <v>7</v>
      </c>
      <c r="I1274">
        <v>8</v>
      </c>
      <c r="J1274">
        <v>133.33000000000001</v>
      </c>
      <c r="K1274">
        <v>16</v>
      </c>
      <c r="L1274">
        <f>_xlfn.XLOOKUP(C1274, dim_teams[team_name], dim_teams[team_id], "Not found", 0)</f>
        <v>19</v>
      </c>
    </row>
    <row r="1275" spans="1:12" x14ac:dyDescent="0.3">
      <c r="A1275" t="s">
        <v>365</v>
      </c>
      <c r="B1275">
        <v>2021</v>
      </c>
      <c r="C1275" t="s">
        <v>33</v>
      </c>
      <c r="D1275">
        <v>68</v>
      </c>
      <c r="E1275">
        <v>70</v>
      </c>
      <c r="F1275">
        <v>7</v>
      </c>
      <c r="G1275">
        <v>0</v>
      </c>
      <c r="H1275">
        <v>2</v>
      </c>
      <c r="I1275">
        <v>5</v>
      </c>
      <c r="J1275">
        <v>97.14</v>
      </c>
      <c r="K1275">
        <v>34</v>
      </c>
      <c r="L1275">
        <f>_xlfn.XLOOKUP(C1275, dim_teams[team_name], dim_teams[team_id], "Not found", 0)</f>
        <v>15</v>
      </c>
    </row>
    <row r="1276" spans="1:12" x14ac:dyDescent="0.3">
      <c r="A1276" t="s">
        <v>365</v>
      </c>
      <c r="B1276">
        <v>2022</v>
      </c>
      <c r="C1276" t="s">
        <v>33</v>
      </c>
      <c r="D1276">
        <v>161</v>
      </c>
      <c r="E1276">
        <v>144</v>
      </c>
      <c r="F1276">
        <v>11</v>
      </c>
      <c r="G1276">
        <v>7</v>
      </c>
      <c r="H1276">
        <v>6</v>
      </c>
      <c r="I1276">
        <v>8</v>
      </c>
      <c r="J1276">
        <v>111.81</v>
      </c>
      <c r="K1276">
        <v>26.83</v>
      </c>
      <c r="L1276">
        <f>_xlfn.XLOOKUP(C1276, dim_teams[team_name], dim_teams[team_id], "Not found", 0)</f>
        <v>15</v>
      </c>
    </row>
    <row r="1277" spans="1:12" x14ac:dyDescent="0.3">
      <c r="A1277" t="s">
        <v>365</v>
      </c>
      <c r="B1277">
        <v>2023</v>
      </c>
      <c r="C1277" t="s">
        <v>33</v>
      </c>
      <c r="D1277">
        <v>66</v>
      </c>
      <c r="E1277">
        <v>59</v>
      </c>
      <c r="F1277">
        <v>8</v>
      </c>
      <c r="G1277">
        <v>0</v>
      </c>
      <c r="H1277">
        <v>5</v>
      </c>
      <c r="I1277">
        <v>6</v>
      </c>
      <c r="J1277">
        <v>111.86</v>
      </c>
      <c r="K1277">
        <v>13.2</v>
      </c>
      <c r="L1277">
        <f>_xlfn.XLOOKUP(C1277, dim_teams[team_name], dim_teams[team_id], "Not found", 0)</f>
        <v>15</v>
      </c>
    </row>
    <row r="1278" spans="1:12" x14ac:dyDescent="0.3">
      <c r="A1278" t="s">
        <v>365</v>
      </c>
      <c r="B1278">
        <v>2024</v>
      </c>
      <c r="C1278" t="s">
        <v>33</v>
      </c>
      <c r="D1278">
        <v>10</v>
      </c>
      <c r="E1278">
        <v>12</v>
      </c>
      <c r="F1278">
        <v>1</v>
      </c>
      <c r="G1278">
        <v>0</v>
      </c>
      <c r="H1278">
        <v>2</v>
      </c>
      <c r="I1278">
        <v>2</v>
      </c>
      <c r="J1278">
        <v>83.33</v>
      </c>
      <c r="K1278">
        <v>5</v>
      </c>
      <c r="L1278">
        <f>_xlfn.XLOOKUP(C1278, dim_teams[team_name], dim_teams[team_id], "Not found", 0)</f>
        <v>15</v>
      </c>
    </row>
    <row r="1279" spans="1:12" x14ac:dyDescent="0.3">
      <c r="A1279" t="s">
        <v>366</v>
      </c>
      <c r="B1279">
        <v>2023</v>
      </c>
      <c r="C1279" t="s">
        <v>19</v>
      </c>
      <c r="D1279">
        <v>4</v>
      </c>
      <c r="E1279">
        <v>4</v>
      </c>
      <c r="F1279">
        <v>1</v>
      </c>
      <c r="G1279">
        <v>0</v>
      </c>
      <c r="H1279">
        <v>1</v>
      </c>
      <c r="I1279">
        <v>1</v>
      </c>
      <c r="J1279">
        <v>100</v>
      </c>
      <c r="K1279">
        <v>4</v>
      </c>
      <c r="L1279">
        <f>_xlfn.XLOOKUP(C1279, dim_teams[team_name], dim_teams[team_id], "Not found", 0)</f>
        <v>1</v>
      </c>
    </row>
    <row r="1280" spans="1:12" x14ac:dyDescent="0.3">
      <c r="A1280" t="s">
        <v>367</v>
      </c>
      <c r="B1280">
        <v>2016</v>
      </c>
      <c r="C1280" t="s">
        <v>45</v>
      </c>
      <c r="D1280">
        <v>0</v>
      </c>
      <c r="E1280">
        <v>1</v>
      </c>
      <c r="F1280">
        <v>0</v>
      </c>
      <c r="G1280">
        <v>0</v>
      </c>
      <c r="H1280">
        <v>1</v>
      </c>
      <c r="I1280">
        <v>1</v>
      </c>
      <c r="J1280">
        <v>0</v>
      </c>
      <c r="K1280">
        <v>0</v>
      </c>
      <c r="L1280">
        <f>_xlfn.XLOOKUP(C1280, dim_teams[team_name], dim_teams[team_id], "Not found", 0)</f>
        <v>12</v>
      </c>
    </row>
    <row r="1281" spans="1:12" x14ac:dyDescent="0.3">
      <c r="A1281" t="s">
        <v>367</v>
      </c>
      <c r="B1281">
        <v>2018</v>
      </c>
      <c r="C1281" t="s">
        <v>21</v>
      </c>
      <c r="D1281">
        <v>1</v>
      </c>
      <c r="E1281">
        <v>2</v>
      </c>
      <c r="F1281">
        <v>0</v>
      </c>
      <c r="G1281">
        <v>0</v>
      </c>
      <c r="H1281">
        <v>1</v>
      </c>
      <c r="I1281">
        <v>1</v>
      </c>
      <c r="J1281">
        <v>50</v>
      </c>
      <c r="K1281">
        <v>1</v>
      </c>
      <c r="L1281">
        <f>_xlfn.XLOOKUP(C1281, dim_teams[team_name], dim_teams[team_id], "Not found", 0)</f>
        <v>2</v>
      </c>
    </row>
    <row r="1282" spans="1:12" x14ac:dyDescent="0.3">
      <c r="A1282" t="s">
        <v>367</v>
      </c>
      <c r="B1282">
        <v>2019</v>
      </c>
      <c r="C1282" t="s">
        <v>54</v>
      </c>
      <c r="D1282">
        <v>3</v>
      </c>
      <c r="E1282">
        <v>5</v>
      </c>
      <c r="F1282">
        <v>0</v>
      </c>
      <c r="G1282">
        <v>0</v>
      </c>
      <c r="H1282">
        <v>1</v>
      </c>
      <c r="I1282">
        <v>3</v>
      </c>
      <c r="J1282">
        <v>60</v>
      </c>
      <c r="K1282">
        <v>3</v>
      </c>
      <c r="L1282">
        <f>_xlfn.XLOOKUP(C1282, dim_teams[team_name], dim_teams[team_id], "Not found", 0)</f>
        <v>4</v>
      </c>
    </row>
    <row r="1283" spans="1:12" x14ac:dyDescent="0.3">
      <c r="A1283" t="s">
        <v>367</v>
      </c>
      <c r="B1283">
        <v>2020</v>
      </c>
      <c r="C1283" t="s">
        <v>54</v>
      </c>
      <c r="D1283">
        <v>4</v>
      </c>
      <c r="E1283">
        <v>4</v>
      </c>
      <c r="F1283">
        <v>0</v>
      </c>
      <c r="G1283">
        <v>0</v>
      </c>
      <c r="H1283">
        <v>1</v>
      </c>
      <c r="I1283">
        <v>1</v>
      </c>
      <c r="J1283">
        <v>100</v>
      </c>
      <c r="K1283">
        <v>4</v>
      </c>
      <c r="L1283">
        <f>_xlfn.XLOOKUP(C1283, dim_teams[team_name], dim_teams[team_id], "Not found", 0)</f>
        <v>4</v>
      </c>
    </row>
    <row r="1284" spans="1:12" x14ac:dyDescent="0.3">
      <c r="A1284" t="s">
        <v>367</v>
      </c>
      <c r="B1284">
        <v>2021</v>
      </c>
      <c r="C1284" t="s">
        <v>76</v>
      </c>
      <c r="D1284">
        <v>15</v>
      </c>
      <c r="E1284">
        <v>24</v>
      </c>
      <c r="F1284">
        <v>1</v>
      </c>
      <c r="G1284">
        <v>0</v>
      </c>
      <c r="H1284">
        <v>2</v>
      </c>
      <c r="I1284">
        <v>2</v>
      </c>
      <c r="J1284">
        <v>62.5</v>
      </c>
      <c r="K1284">
        <v>7.5</v>
      </c>
      <c r="L1284">
        <f>_xlfn.XLOOKUP(C1284, dim_teams[team_name], dim_teams[team_id], "Not found", 0)</f>
        <v>16</v>
      </c>
    </row>
    <row r="1285" spans="1:12" x14ac:dyDescent="0.3">
      <c r="A1285" t="s">
        <v>367</v>
      </c>
      <c r="B1285">
        <v>2022</v>
      </c>
      <c r="C1285" t="s">
        <v>23</v>
      </c>
      <c r="D1285">
        <v>12</v>
      </c>
      <c r="E1285">
        <v>14</v>
      </c>
      <c r="F1285">
        <v>1</v>
      </c>
      <c r="G1285">
        <v>1</v>
      </c>
      <c r="H1285">
        <v>2</v>
      </c>
      <c r="I1285">
        <v>4</v>
      </c>
      <c r="J1285">
        <v>85.71</v>
      </c>
      <c r="K1285">
        <v>6</v>
      </c>
      <c r="L1285">
        <f>_xlfn.XLOOKUP(C1285, dim_teams[team_name], dim_teams[team_id], "Not found", 0)</f>
        <v>7</v>
      </c>
    </row>
    <row r="1286" spans="1:12" x14ac:dyDescent="0.3">
      <c r="A1286" t="s">
        <v>368</v>
      </c>
      <c r="B1286">
        <v>2021</v>
      </c>
      <c r="C1286" t="s">
        <v>23</v>
      </c>
      <c r="D1286">
        <v>0</v>
      </c>
      <c r="E1286">
        <v>3</v>
      </c>
      <c r="F1286">
        <v>0</v>
      </c>
      <c r="G1286">
        <v>0</v>
      </c>
      <c r="H1286">
        <v>2</v>
      </c>
      <c r="I1286">
        <v>2</v>
      </c>
      <c r="J1286">
        <v>0</v>
      </c>
      <c r="K1286">
        <v>0</v>
      </c>
      <c r="L1286">
        <f>_xlfn.XLOOKUP(C1286, dim_teams[team_name], dim_teams[team_id], "Not found", 0)</f>
        <v>7</v>
      </c>
    </row>
    <row r="1287" spans="1:12" x14ac:dyDescent="0.3">
      <c r="A1287" t="s">
        <v>368</v>
      </c>
      <c r="B1287">
        <v>2022</v>
      </c>
      <c r="C1287" t="s">
        <v>13</v>
      </c>
      <c r="D1287">
        <v>9</v>
      </c>
      <c r="E1287">
        <v>7</v>
      </c>
      <c r="F1287">
        <v>0</v>
      </c>
      <c r="G1287">
        <v>1</v>
      </c>
      <c r="H1287">
        <v>1</v>
      </c>
      <c r="I1287">
        <v>2</v>
      </c>
      <c r="J1287">
        <v>128.57</v>
      </c>
      <c r="K1287">
        <v>9</v>
      </c>
      <c r="L1287">
        <f>_xlfn.XLOOKUP(C1287, dim_teams[team_name], dim_teams[team_id], "Not found", 0)</f>
        <v>11</v>
      </c>
    </row>
    <row r="1288" spans="1:12" x14ac:dyDescent="0.3">
      <c r="A1288" t="s">
        <v>368</v>
      </c>
      <c r="B1288">
        <v>2023</v>
      </c>
      <c r="C1288" t="s">
        <v>13</v>
      </c>
      <c r="D1288">
        <v>39</v>
      </c>
      <c r="E1288">
        <v>43</v>
      </c>
      <c r="F1288">
        <v>4</v>
      </c>
      <c r="G1288">
        <v>0</v>
      </c>
      <c r="H1288">
        <v>4</v>
      </c>
      <c r="I1288">
        <v>6</v>
      </c>
      <c r="J1288">
        <v>90.7</v>
      </c>
      <c r="K1288">
        <v>9.75</v>
      </c>
      <c r="L1288">
        <f>_xlfn.XLOOKUP(C1288, dim_teams[team_name], dim_teams[team_id], "Not found", 0)</f>
        <v>11</v>
      </c>
    </row>
    <row r="1289" spans="1:12" x14ac:dyDescent="0.3">
      <c r="A1289" t="s">
        <v>368</v>
      </c>
      <c r="B1289">
        <v>2024</v>
      </c>
      <c r="C1289" t="s">
        <v>13</v>
      </c>
      <c r="D1289">
        <v>18</v>
      </c>
      <c r="E1289">
        <v>13</v>
      </c>
      <c r="F1289">
        <v>1</v>
      </c>
      <c r="G1289">
        <v>1</v>
      </c>
      <c r="H1289">
        <v>1</v>
      </c>
      <c r="I1289">
        <v>2</v>
      </c>
      <c r="J1289">
        <v>138.46</v>
      </c>
      <c r="K1289">
        <v>18</v>
      </c>
      <c r="L1289">
        <f>_xlfn.XLOOKUP(C1289, dim_teams[team_name], dim_teams[team_id], "Not found", 0)</f>
        <v>11</v>
      </c>
    </row>
    <row r="1290" spans="1:12" x14ac:dyDescent="0.3">
      <c r="A1290" t="s">
        <v>368</v>
      </c>
      <c r="B1290">
        <v>2025</v>
      </c>
      <c r="C1290" t="s">
        <v>76</v>
      </c>
      <c r="D1290">
        <v>75</v>
      </c>
      <c r="E1290">
        <v>63</v>
      </c>
      <c r="F1290">
        <v>3</v>
      </c>
      <c r="G1290">
        <v>4</v>
      </c>
      <c r="H1290">
        <v>4</v>
      </c>
      <c r="I1290">
        <v>8</v>
      </c>
      <c r="J1290">
        <v>119.05</v>
      </c>
      <c r="K1290">
        <v>18.75</v>
      </c>
      <c r="L1290">
        <f>_xlfn.XLOOKUP(C1290, dim_teams[team_name], dim_teams[team_id], "Not found", 0)</f>
        <v>16</v>
      </c>
    </row>
    <row r="1291" spans="1:12" x14ac:dyDescent="0.3">
      <c r="A1291" t="s">
        <v>369</v>
      </c>
      <c r="B1291">
        <v>2008</v>
      </c>
      <c r="C1291" t="s">
        <v>17</v>
      </c>
      <c r="D1291">
        <v>176</v>
      </c>
      <c r="E1291">
        <v>170</v>
      </c>
      <c r="F1291">
        <v>14</v>
      </c>
      <c r="G1291">
        <v>6</v>
      </c>
      <c r="H1291">
        <v>9</v>
      </c>
      <c r="I1291">
        <v>14</v>
      </c>
      <c r="J1291">
        <v>103.53</v>
      </c>
      <c r="K1291">
        <v>19.559999999999999</v>
      </c>
      <c r="L1291">
        <f>_xlfn.XLOOKUP(C1291, dim_teams[team_name], dim_teams[team_id], "Not found", 0)</f>
        <v>5</v>
      </c>
    </row>
    <row r="1292" spans="1:12" x14ac:dyDescent="0.3">
      <c r="A1292" t="s">
        <v>369</v>
      </c>
      <c r="B1292">
        <v>2010</v>
      </c>
      <c r="C1292" t="s">
        <v>54</v>
      </c>
      <c r="D1292">
        <v>28</v>
      </c>
      <c r="E1292">
        <v>30</v>
      </c>
      <c r="F1292">
        <v>2</v>
      </c>
      <c r="G1292">
        <v>0</v>
      </c>
      <c r="H1292">
        <v>3</v>
      </c>
      <c r="I1292">
        <v>3</v>
      </c>
      <c r="J1292">
        <v>93.33</v>
      </c>
      <c r="K1292">
        <v>9.33</v>
      </c>
      <c r="L1292">
        <f>_xlfn.XLOOKUP(C1292, dim_teams[team_name], dim_teams[team_id], "Not found", 0)</f>
        <v>4</v>
      </c>
    </row>
    <row r="1293" spans="1:12" x14ac:dyDescent="0.3">
      <c r="A1293" t="s">
        <v>369</v>
      </c>
      <c r="B1293">
        <v>2011</v>
      </c>
      <c r="C1293" t="s">
        <v>21</v>
      </c>
      <c r="D1293">
        <v>41</v>
      </c>
      <c r="E1293">
        <v>33</v>
      </c>
      <c r="F1293">
        <v>5</v>
      </c>
      <c r="G1293">
        <v>0</v>
      </c>
      <c r="H1293">
        <v>3</v>
      </c>
      <c r="I1293">
        <v>4</v>
      </c>
      <c r="J1293">
        <v>124.24</v>
      </c>
      <c r="K1293">
        <v>13.67</v>
      </c>
      <c r="L1293">
        <f>_xlfn.XLOOKUP(C1293, dim_teams[team_name], dim_teams[team_id], "Not found", 0)</f>
        <v>2</v>
      </c>
    </row>
    <row r="1294" spans="1:12" x14ac:dyDescent="0.3">
      <c r="A1294" t="s">
        <v>369</v>
      </c>
      <c r="B1294">
        <v>2012</v>
      </c>
      <c r="C1294" t="s">
        <v>21</v>
      </c>
      <c r="D1294">
        <v>14</v>
      </c>
      <c r="E1294">
        <v>16</v>
      </c>
      <c r="F1294">
        <v>1</v>
      </c>
      <c r="G1294">
        <v>0</v>
      </c>
      <c r="H1294">
        <v>1</v>
      </c>
      <c r="I1294">
        <v>1</v>
      </c>
      <c r="J1294">
        <v>87.5</v>
      </c>
      <c r="K1294">
        <v>14</v>
      </c>
      <c r="L1294">
        <f>_xlfn.XLOOKUP(C1294, dim_teams[team_name], dim_teams[team_id], "Not found", 0)</f>
        <v>2</v>
      </c>
    </row>
    <row r="1295" spans="1:12" x14ac:dyDescent="0.3">
      <c r="A1295" t="s">
        <v>370</v>
      </c>
      <c r="B1295">
        <v>2008</v>
      </c>
      <c r="C1295" t="s">
        <v>19</v>
      </c>
      <c r="D1295">
        <v>30</v>
      </c>
      <c r="E1295">
        <v>27</v>
      </c>
      <c r="F1295">
        <v>3</v>
      </c>
      <c r="G1295">
        <v>0</v>
      </c>
      <c r="H1295">
        <v>3</v>
      </c>
      <c r="I1295">
        <v>3</v>
      </c>
      <c r="J1295">
        <v>111.11</v>
      </c>
      <c r="K1295">
        <v>10</v>
      </c>
      <c r="L1295">
        <f>_xlfn.XLOOKUP(C1295, dim_teams[team_name], dim_teams[team_id], "Not found", 0)</f>
        <v>1</v>
      </c>
    </row>
    <row r="1296" spans="1:12" x14ac:dyDescent="0.3">
      <c r="A1296" t="s">
        <v>370</v>
      </c>
      <c r="B1296">
        <v>2009</v>
      </c>
      <c r="C1296" t="s">
        <v>19</v>
      </c>
      <c r="D1296">
        <v>21</v>
      </c>
      <c r="E1296">
        <v>20</v>
      </c>
      <c r="F1296">
        <v>0</v>
      </c>
      <c r="G1296">
        <v>0</v>
      </c>
      <c r="H1296">
        <v>0</v>
      </c>
      <c r="I1296">
        <v>2</v>
      </c>
      <c r="J1296">
        <v>105</v>
      </c>
      <c r="L1296">
        <f>_xlfn.XLOOKUP(C1296, dim_teams[team_name], dim_teams[team_id], "Not found", 0)</f>
        <v>1</v>
      </c>
    </row>
    <row r="1297" spans="1:12" x14ac:dyDescent="0.3">
      <c r="A1297" t="s">
        <v>370</v>
      </c>
      <c r="B1297">
        <v>2010</v>
      </c>
      <c r="C1297" t="s">
        <v>19</v>
      </c>
      <c r="D1297">
        <v>22</v>
      </c>
      <c r="E1297">
        <v>22</v>
      </c>
      <c r="F1297">
        <v>2</v>
      </c>
      <c r="G1297">
        <v>0</v>
      </c>
      <c r="H1297">
        <v>1</v>
      </c>
      <c r="I1297">
        <v>2</v>
      </c>
      <c r="J1297">
        <v>100</v>
      </c>
      <c r="K1297">
        <v>22</v>
      </c>
      <c r="L1297">
        <f>_xlfn.XLOOKUP(C1297, dim_teams[team_name], dim_teams[team_id], "Not found", 0)</f>
        <v>1</v>
      </c>
    </row>
    <row r="1298" spans="1:12" x14ac:dyDescent="0.3">
      <c r="A1298" t="s">
        <v>370</v>
      </c>
      <c r="B1298">
        <v>2011</v>
      </c>
      <c r="C1298" t="s">
        <v>37</v>
      </c>
      <c r="D1298">
        <v>12</v>
      </c>
      <c r="E1298">
        <v>14</v>
      </c>
      <c r="F1298">
        <v>1</v>
      </c>
      <c r="G1298">
        <v>0</v>
      </c>
      <c r="H1298">
        <v>1</v>
      </c>
      <c r="I1298">
        <v>2</v>
      </c>
      <c r="J1298">
        <v>85.71</v>
      </c>
      <c r="K1298">
        <v>12</v>
      </c>
      <c r="L1298">
        <f>_xlfn.XLOOKUP(C1298, dim_teams[team_name], dim_teams[team_id], "Not found", 0)</f>
        <v>10</v>
      </c>
    </row>
    <row r="1299" spans="1:12" x14ac:dyDescent="0.3">
      <c r="A1299" t="s">
        <v>370</v>
      </c>
      <c r="B1299">
        <v>2012</v>
      </c>
      <c r="C1299" t="s">
        <v>37</v>
      </c>
      <c r="D1299">
        <v>26</v>
      </c>
      <c r="E1299">
        <v>21</v>
      </c>
      <c r="F1299">
        <v>1</v>
      </c>
      <c r="G1299">
        <v>1</v>
      </c>
      <c r="H1299">
        <v>1</v>
      </c>
      <c r="I1299">
        <v>3</v>
      </c>
      <c r="J1299">
        <v>123.81</v>
      </c>
      <c r="K1299">
        <v>26</v>
      </c>
      <c r="L1299">
        <f>_xlfn.XLOOKUP(C1299, dim_teams[team_name], dim_teams[team_id], "Not found", 0)</f>
        <v>10</v>
      </c>
    </row>
    <row r="1300" spans="1:12" x14ac:dyDescent="0.3">
      <c r="A1300" t="s">
        <v>370</v>
      </c>
      <c r="B1300">
        <v>2013</v>
      </c>
      <c r="C1300" t="s">
        <v>21</v>
      </c>
      <c r="D1300">
        <v>2</v>
      </c>
      <c r="E1300">
        <v>3</v>
      </c>
      <c r="F1300">
        <v>0</v>
      </c>
      <c r="G1300">
        <v>0</v>
      </c>
      <c r="H1300">
        <v>1</v>
      </c>
      <c r="I1300">
        <v>2</v>
      </c>
      <c r="J1300">
        <v>66.67</v>
      </c>
      <c r="K1300">
        <v>2</v>
      </c>
      <c r="L1300">
        <f>_xlfn.XLOOKUP(C1300, dim_teams[team_name], dim_teams[team_id], "Not found", 0)</f>
        <v>2</v>
      </c>
    </row>
    <row r="1301" spans="1:12" x14ac:dyDescent="0.3">
      <c r="A1301" t="s">
        <v>371</v>
      </c>
      <c r="B1301">
        <v>2011</v>
      </c>
      <c r="C1301" t="s">
        <v>122</v>
      </c>
      <c r="D1301">
        <v>73</v>
      </c>
      <c r="E1301">
        <v>75</v>
      </c>
      <c r="F1301">
        <v>9</v>
      </c>
      <c r="G1301">
        <v>0</v>
      </c>
      <c r="H1301">
        <v>4</v>
      </c>
      <c r="I1301">
        <v>4</v>
      </c>
      <c r="J1301">
        <v>97.33</v>
      </c>
      <c r="K1301">
        <v>18.25</v>
      </c>
      <c r="L1301">
        <f>_xlfn.XLOOKUP(C1301, dim_teams[team_name], dim_teams[team_id], "Not found", 0)</f>
        <v>9</v>
      </c>
    </row>
    <row r="1302" spans="1:12" x14ac:dyDescent="0.3">
      <c r="A1302" t="s">
        <v>372</v>
      </c>
      <c r="B1302">
        <v>2009</v>
      </c>
      <c r="C1302" t="s">
        <v>32</v>
      </c>
      <c r="D1302">
        <v>75</v>
      </c>
      <c r="E1302">
        <v>62</v>
      </c>
      <c r="F1302">
        <v>7</v>
      </c>
      <c r="G1302">
        <v>1</v>
      </c>
      <c r="H1302">
        <v>3</v>
      </c>
      <c r="I1302">
        <v>6</v>
      </c>
      <c r="J1302">
        <v>120.97</v>
      </c>
      <c r="K1302">
        <v>25</v>
      </c>
      <c r="L1302">
        <f>_xlfn.XLOOKUP(C1302, dim_teams[team_name], dim_teams[team_id], "Not found", 0)</f>
        <v>6</v>
      </c>
    </row>
    <row r="1303" spans="1:12" x14ac:dyDescent="0.3">
      <c r="A1303" t="s">
        <v>372</v>
      </c>
      <c r="B1303">
        <v>2010</v>
      </c>
      <c r="C1303" t="s">
        <v>32</v>
      </c>
      <c r="D1303">
        <v>157</v>
      </c>
      <c r="E1303">
        <v>149</v>
      </c>
      <c r="F1303">
        <v>14</v>
      </c>
      <c r="G1303">
        <v>0</v>
      </c>
      <c r="H1303">
        <v>4</v>
      </c>
      <c r="I1303">
        <v>8</v>
      </c>
      <c r="J1303">
        <v>105.37</v>
      </c>
      <c r="K1303">
        <v>39.25</v>
      </c>
      <c r="L1303">
        <f>_xlfn.XLOOKUP(C1303, dim_teams[team_name], dim_teams[team_id], "Not found", 0)</f>
        <v>6</v>
      </c>
    </row>
    <row r="1304" spans="1:12" x14ac:dyDescent="0.3">
      <c r="A1304" t="s">
        <v>372</v>
      </c>
      <c r="B1304">
        <v>2011</v>
      </c>
      <c r="C1304" t="s">
        <v>37</v>
      </c>
      <c r="D1304">
        <v>114</v>
      </c>
      <c r="E1304">
        <v>123</v>
      </c>
      <c r="F1304">
        <v>8</v>
      </c>
      <c r="G1304">
        <v>4</v>
      </c>
      <c r="H1304">
        <v>10</v>
      </c>
      <c r="I1304">
        <v>10</v>
      </c>
      <c r="J1304">
        <v>92.68</v>
      </c>
      <c r="K1304">
        <v>11.4</v>
      </c>
      <c r="L1304">
        <f>_xlfn.XLOOKUP(C1304, dim_teams[team_name], dim_teams[team_id], "Not found", 0)</f>
        <v>10</v>
      </c>
    </row>
    <row r="1305" spans="1:12" x14ac:dyDescent="0.3">
      <c r="A1305" t="s">
        <v>372</v>
      </c>
      <c r="B1305">
        <v>2012</v>
      </c>
      <c r="C1305" t="s">
        <v>37</v>
      </c>
      <c r="D1305">
        <v>120</v>
      </c>
      <c r="E1305">
        <v>96</v>
      </c>
      <c r="F1305">
        <v>10</v>
      </c>
      <c r="G1305">
        <v>4</v>
      </c>
      <c r="H1305">
        <v>4</v>
      </c>
      <c r="I1305">
        <v>7</v>
      </c>
      <c r="J1305">
        <v>125</v>
      </c>
      <c r="K1305">
        <v>30</v>
      </c>
      <c r="L1305">
        <f>_xlfn.XLOOKUP(C1305, dim_teams[team_name], dim_teams[team_id], "Not found", 0)</f>
        <v>10</v>
      </c>
    </row>
    <row r="1306" spans="1:12" x14ac:dyDescent="0.3">
      <c r="A1306" t="s">
        <v>372</v>
      </c>
      <c r="B1306">
        <v>2013</v>
      </c>
      <c r="C1306" t="s">
        <v>37</v>
      </c>
      <c r="D1306">
        <v>13</v>
      </c>
      <c r="E1306">
        <v>17</v>
      </c>
      <c r="F1306">
        <v>1</v>
      </c>
      <c r="G1306">
        <v>0</v>
      </c>
      <c r="H1306">
        <v>0</v>
      </c>
      <c r="I1306">
        <v>2</v>
      </c>
      <c r="J1306">
        <v>76.47</v>
      </c>
      <c r="L1306">
        <f>_xlfn.XLOOKUP(C1306, dim_teams[team_name], dim_teams[team_id], "Not found", 0)</f>
        <v>10</v>
      </c>
    </row>
    <row r="1307" spans="1:12" x14ac:dyDescent="0.3">
      <c r="A1307" t="s">
        <v>372</v>
      </c>
      <c r="B1307">
        <v>2014</v>
      </c>
      <c r="C1307" t="s">
        <v>25</v>
      </c>
      <c r="D1307">
        <v>35</v>
      </c>
      <c r="E1307">
        <v>23</v>
      </c>
      <c r="F1307">
        <v>3</v>
      </c>
      <c r="G1307">
        <v>1</v>
      </c>
      <c r="H1307">
        <v>3</v>
      </c>
      <c r="I1307">
        <v>5</v>
      </c>
      <c r="J1307">
        <v>152.16999999999999</v>
      </c>
      <c r="K1307">
        <v>11.67</v>
      </c>
      <c r="L1307">
        <f>_xlfn.XLOOKUP(C1307, dim_teams[team_name], dim_teams[team_id], "Not found", 0)</f>
        <v>3</v>
      </c>
    </row>
    <row r="1308" spans="1:12" x14ac:dyDescent="0.3">
      <c r="A1308" t="s">
        <v>373</v>
      </c>
      <c r="B1308">
        <v>2018</v>
      </c>
      <c r="C1308" t="s">
        <v>23</v>
      </c>
      <c r="D1308">
        <v>21</v>
      </c>
      <c r="E1308">
        <v>24</v>
      </c>
      <c r="F1308">
        <v>2</v>
      </c>
      <c r="G1308">
        <v>0</v>
      </c>
      <c r="H1308">
        <v>2</v>
      </c>
      <c r="I1308">
        <v>6</v>
      </c>
      <c r="J1308">
        <v>87.5</v>
      </c>
      <c r="K1308">
        <v>10.5</v>
      </c>
      <c r="L1308">
        <f>_xlfn.XLOOKUP(C1308, dim_teams[team_name], dim_teams[team_id], "Not found", 0)</f>
        <v>7</v>
      </c>
    </row>
    <row r="1309" spans="1:12" x14ac:dyDescent="0.3">
      <c r="A1309" t="s">
        <v>373</v>
      </c>
      <c r="B1309">
        <v>2019</v>
      </c>
      <c r="C1309" t="s">
        <v>23</v>
      </c>
      <c r="D1309">
        <v>6</v>
      </c>
      <c r="E1309">
        <v>5</v>
      </c>
      <c r="F1309">
        <v>1</v>
      </c>
      <c r="G1309">
        <v>0</v>
      </c>
      <c r="H1309">
        <v>1</v>
      </c>
      <c r="I1309">
        <v>1</v>
      </c>
      <c r="J1309">
        <v>120</v>
      </c>
      <c r="K1309">
        <v>6</v>
      </c>
      <c r="L1309">
        <f>_xlfn.XLOOKUP(C1309, dim_teams[team_name], dim_teams[team_id], "Not found", 0)</f>
        <v>7</v>
      </c>
    </row>
    <row r="1310" spans="1:12" x14ac:dyDescent="0.3">
      <c r="A1310" t="s">
        <v>373</v>
      </c>
      <c r="B1310">
        <v>2023</v>
      </c>
      <c r="C1310" t="s">
        <v>13</v>
      </c>
      <c r="D1310">
        <v>21</v>
      </c>
      <c r="E1310">
        <v>13</v>
      </c>
      <c r="F1310">
        <v>2</v>
      </c>
      <c r="G1310">
        <v>1</v>
      </c>
      <c r="H1310">
        <v>0</v>
      </c>
      <c r="I1310">
        <v>3</v>
      </c>
      <c r="J1310">
        <v>161.54</v>
      </c>
      <c r="L1310">
        <f>_xlfn.XLOOKUP(C1310, dim_teams[team_name], dim_teams[team_id], "Not found", 0)</f>
        <v>11</v>
      </c>
    </row>
    <row r="1311" spans="1:12" x14ac:dyDescent="0.3">
      <c r="A1311" t="s">
        <v>374</v>
      </c>
      <c r="B1311">
        <v>2009</v>
      </c>
      <c r="C1311" t="s">
        <v>17</v>
      </c>
      <c r="D1311">
        <v>8</v>
      </c>
      <c r="E1311">
        <v>8</v>
      </c>
      <c r="F1311">
        <v>1</v>
      </c>
      <c r="G1311">
        <v>0</v>
      </c>
      <c r="H1311">
        <v>1</v>
      </c>
      <c r="I1311">
        <v>1</v>
      </c>
      <c r="J1311">
        <v>100</v>
      </c>
      <c r="K1311">
        <v>8</v>
      </c>
      <c r="L1311">
        <f>_xlfn.XLOOKUP(C1311, dim_teams[team_name], dim_teams[team_id], "Not found", 0)</f>
        <v>5</v>
      </c>
    </row>
    <row r="1312" spans="1:12" x14ac:dyDescent="0.3">
      <c r="A1312" t="s">
        <v>374</v>
      </c>
      <c r="B1312">
        <v>2010</v>
      </c>
      <c r="C1312" t="s">
        <v>17</v>
      </c>
      <c r="D1312">
        <v>9</v>
      </c>
      <c r="E1312">
        <v>16</v>
      </c>
      <c r="F1312">
        <v>1</v>
      </c>
      <c r="G1312">
        <v>0</v>
      </c>
      <c r="H1312">
        <v>2</v>
      </c>
      <c r="I1312">
        <v>2</v>
      </c>
      <c r="J1312">
        <v>56.25</v>
      </c>
      <c r="K1312">
        <v>4.5</v>
      </c>
      <c r="L1312">
        <f>_xlfn.XLOOKUP(C1312, dim_teams[team_name], dim_teams[team_id], "Not found", 0)</f>
        <v>5</v>
      </c>
    </row>
    <row r="1313" spans="1:12" x14ac:dyDescent="0.3">
      <c r="A1313" t="s">
        <v>374</v>
      </c>
      <c r="B1313">
        <v>2011</v>
      </c>
      <c r="C1313" t="s">
        <v>32</v>
      </c>
      <c r="D1313">
        <v>40</v>
      </c>
      <c r="E1313">
        <v>24</v>
      </c>
      <c r="F1313">
        <v>3</v>
      </c>
      <c r="G1313">
        <v>2</v>
      </c>
      <c r="H1313">
        <v>2</v>
      </c>
      <c r="I1313">
        <v>5</v>
      </c>
      <c r="J1313">
        <v>166.67</v>
      </c>
      <c r="K1313">
        <v>20</v>
      </c>
      <c r="L1313">
        <f>_xlfn.XLOOKUP(C1313, dim_teams[team_name], dim_teams[team_id], "Not found", 0)</f>
        <v>6</v>
      </c>
    </row>
    <row r="1314" spans="1:12" x14ac:dyDescent="0.3">
      <c r="A1314" t="s">
        <v>374</v>
      </c>
      <c r="B1314">
        <v>2012</v>
      </c>
      <c r="C1314" t="s">
        <v>32</v>
      </c>
      <c r="D1314">
        <v>3</v>
      </c>
      <c r="E1314">
        <v>5</v>
      </c>
      <c r="F1314">
        <v>0</v>
      </c>
      <c r="G1314">
        <v>0</v>
      </c>
      <c r="H1314">
        <v>1</v>
      </c>
      <c r="I1314">
        <v>3</v>
      </c>
      <c r="J1314">
        <v>60</v>
      </c>
      <c r="K1314">
        <v>3</v>
      </c>
      <c r="L1314">
        <f>_xlfn.XLOOKUP(C1314, dim_teams[team_name], dim_teams[team_id], "Not found", 0)</f>
        <v>6</v>
      </c>
    </row>
    <row r="1315" spans="1:12" x14ac:dyDescent="0.3">
      <c r="A1315" t="s">
        <v>374</v>
      </c>
      <c r="B1315">
        <v>2013</v>
      </c>
      <c r="C1315" t="s">
        <v>32</v>
      </c>
      <c r="D1315">
        <v>57</v>
      </c>
      <c r="E1315">
        <v>29</v>
      </c>
      <c r="F1315">
        <v>6</v>
      </c>
      <c r="G1315">
        <v>3</v>
      </c>
      <c r="H1315">
        <v>5</v>
      </c>
      <c r="I1315">
        <v>6</v>
      </c>
      <c r="J1315">
        <v>196.55</v>
      </c>
      <c r="K1315">
        <v>11.4</v>
      </c>
      <c r="L1315">
        <f>_xlfn.XLOOKUP(C1315, dim_teams[team_name], dim_teams[team_id], "Not found", 0)</f>
        <v>6</v>
      </c>
    </row>
    <row r="1316" spans="1:12" x14ac:dyDescent="0.3">
      <c r="A1316" t="s">
        <v>374</v>
      </c>
      <c r="B1316">
        <v>2014</v>
      </c>
      <c r="C1316" t="s">
        <v>19</v>
      </c>
      <c r="D1316">
        <v>4</v>
      </c>
      <c r="E1316">
        <v>3</v>
      </c>
      <c r="F1316">
        <v>0</v>
      </c>
      <c r="G1316">
        <v>0</v>
      </c>
      <c r="H1316">
        <v>0</v>
      </c>
      <c r="I1316">
        <v>1</v>
      </c>
      <c r="J1316">
        <v>133.33000000000001</v>
      </c>
      <c r="L1316">
        <f>_xlfn.XLOOKUP(C1316, dim_teams[team_name], dim_teams[team_id], "Not found", 0)</f>
        <v>1</v>
      </c>
    </row>
    <row r="1317" spans="1:12" x14ac:dyDescent="0.3">
      <c r="A1317" t="s">
        <v>374</v>
      </c>
      <c r="B1317">
        <v>2015</v>
      </c>
      <c r="C1317" t="s">
        <v>19</v>
      </c>
      <c r="D1317">
        <v>4</v>
      </c>
      <c r="E1317">
        <v>3</v>
      </c>
      <c r="F1317">
        <v>0</v>
      </c>
      <c r="G1317">
        <v>0</v>
      </c>
      <c r="H1317">
        <v>0</v>
      </c>
      <c r="I1317">
        <v>1</v>
      </c>
      <c r="J1317">
        <v>133.33000000000001</v>
      </c>
      <c r="L1317">
        <f>_xlfn.XLOOKUP(C1317, dim_teams[team_name], dim_teams[team_id], "Not found", 0)</f>
        <v>1</v>
      </c>
    </row>
    <row r="1318" spans="1:12" x14ac:dyDescent="0.3">
      <c r="A1318" t="s">
        <v>374</v>
      </c>
      <c r="B1318">
        <v>2016</v>
      </c>
      <c r="C1318" t="s">
        <v>19</v>
      </c>
      <c r="D1318">
        <v>1</v>
      </c>
      <c r="E1318">
        <v>1</v>
      </c>
      <c r="F1318">
        <v>0</v>
      </c>
      <c r="G1318">
        <v>0</v>
      </c>
      <c r="H1318">
        <v>0</v>
      </c>
      <c r="I1318">
        <v>1</v>
      </c>
      <c r="J1318">
        <v>100</v>
      </c>
      <c r="L1318">
        <f>_xlfn.XLOOKUP(C1318, dim_teams[team_name], dim_teams[team_id], "Not found", 0)</f>
        <v>1</v>
      </c>
    </row>
    <row r="1319" spans="1:12" x14ac:dyDescent="0.3">
      <c r="A1319" t="s">
        <v>375</v>
      </c>
      <c r="B1319">
        <v>2008</v>
      </c>
      <c r="C1319" t="s">
        <v>25</v>
      </c>
      <c r="D1319">
        <v>0</v>
      </c>
      <c r="E1319">
        <v>3</v>
      </c>
      <c r="F1319">
        <v>0</v>
      </c>
      <c r="G1319">
        <v>0</v>
      </c>
      <c r="H1319">
        <v>1</v>
      </c>
      <c r="I1319">
        <v>1</v>
      </c>
      <c r="J1319">
        <v>0</v>
      </c>
      <c r="K1319">
        <v>0</v>
      </c>
      <c r="L1319">
        <f>_xlfn.XLOOKUP(C1319, dim_teams[team_name], dim_teams[team_id], "Not found", 0)</f>
        <v>3</v>
      </c>
    </row>
    <row r="1320" spans="1:12" x14ac:dyDescent="0.3">
      <c r="A1320" t="s">
        <v>375</v>
      </c>
      <c r="B1320">
        <v>2009</v>
      </c>
      <c r="C1320" t="s">
        <v>25</v>
      </c>
      <c r="D1320">
        <v>8</v>
      </c>
      <c r="E1320">
        <v>8</v>
      </c>
      <c r="F1320">
        <v>1</v>
      </c>
      <c r="G1320">
        <v>0</v>
      </c>
      <c r="H1320">
        <v>2</v>
      </c>
      <c r="I1320">
        <v>4</v>
      </c>
      <c r="J1320">
        <v>100</v>
      </c>
      <c r="K1320">
        <v>4</v>
      </c>
      <c r="L1320">
        <f>_xlfn.XLOOKUP(C1320, dim_teams[team_name], dim_teams[team_id], "Not found", 0)</f>
        <v>3</v>
      </c>
    </row>
    <row r="1321" spans="1:12" x14ac:dyDescent="0.3">
      <c r="A1321" t="s">
        <v>375</v>
      </c>
      <c r="B1321">
        <v>2010</v>
      </c>
      <c r="C1321" t="s">
        <v>25</v>
      </c>
      <c r="D1321">
        <v>1</v>
      </c>
      <c r="E1321">
        <v>2</v>
      </c>
      <c r="F1321">
        <v>0</v>
      </c>
      <c r="G1321">
        <v>0</v>
      </c>
      <c r="H1321">
        <v>1</v>
      </c>
      <c r="I1321">
        <v>1</v>
      </c>
      <c r="J1321">
        <v>50</v>
      </c>
      <c r="K1321">
        <v>1</v>
      </c>
      <c r="L1321">
        <f>_xlfn.XLOOKUP(C1321, dim_teams[team_name], dim_teams[team_id], "Not found", 0)</f>
        <v>3</v>
      </c>
    </row>
    <row r="1322" spans="1:12" x14ac:dyDescent="0.3">
      <c r="A1322" t="s">
        <v>375</v>
      </c>
      <c r="B1322">
        <v>2011</v>
      </c>
      <c r="C1322" t="s">
        <v>122</v>
      </c>
      <c r="D1322">
        <v>5</v>
      </c>
      <c r="E1322">
        <v>7</v>
      </c>
      <c r="F1322">
        <v>0</v>
      </c>
      <c r="G1322">
        <v>0</v>
      </c>
      <c r="H1322">
        <v>0</v>
      </c>
      <c r="I1322">
        <v>1</v>
      </c>
      <c r="J1322">
        <v>71.430000000000007</v>
      </c>
      <c r="L1322">
        <f>_xlfn.XLOOKUP(C1322, dim_teams[team_name], dim_teams[team_id], "Not found", 0)</f>
        <v>9</v>
      </c>
    </row>
    <row r="1323" spans="1:12" x14ac:dyDescent="0.3">
      <c r="A1323" t="s">
        <v>375</v>
      </c>
      <c r="B1323">
        <v>2012</v>
      </c>
      <c r="C1323" t="s">
        <v>21</v>
      </c>
      <c r="D1323">
        <v>6</v>
      </c>
      <c r="E1323">
        <v>9</v>
      </c>
      <c r="F1323">
        <v>0</v>
      </c>
      <c r="G1323">
        <v>0</v>
      </c>
      <c r="H1323">
        <v>2</v>
      </c>
      <c r="I1323">
        <v>2</v>
      </c>
      <c r="J1323">
        <v>66.67</v>
      </c>
      <c r="K1323">
        <v>3</v>
      </c>
      <c r="L1323">
        <f>_xlfn.XLOOKUP(C1323, dim_teams[team_name], dim_teams[team_id], "Not found", 0)</f>
        <v>2</v>
      </c>
    </row>
    <row r="1324" spans="1:12" x14ac:dyDescent="0.3">
      <c r="A1324" t="s">
        <v>376</v>
      </c>
      <c r="B1324">
        <v>2008</v>
      </c>
      <c r="C1324" t="s">
        <v>25</v>
      </c>
      <c r="D1324">
        <v>11</v>
      </c>
      <c r="E1324">
        <v>18</v>
      </c>
      <c r="F1324">
        <v>2</v>
      </c>
      <c r="G1324">
        <v>0</v>
      </c>
      <c r="H1324">
        <v>1</v>
      </c>
      <c r="I1324">
        <v>2</v>
      </c>
      <c r="J1324">
        <v>61.11</v>
      </c>
      <c r="K1324">
        <v>11</v>
      </c>
      <c r="L1324">
        <f>_xlfn.XLOOKUP(C1324, dim_teams[team_name], dim_teams[team_id], "Not found", 0)</f>
        <v>3</v>
      </c>
    </row>
    <row r="1325" spans="1:12" x14ac:dyDescent="0.3">
      <c r="A1325" t="s">
        <v>377</v>
      </c>
      <c r="B1325">
        <v>2018</v>
      </c>
      <c r="C1325" t="s">
        <v>19</v>
      </c>
      <c r="D1325">
        <v>1</v>
      </c>
      <c r="E1325">
        <v>5</v>
      </c>
      <c r="F1325">
        <v>0</v>
      </c>
      <c r="G1325">
        <v>0</v>
      </c>
      <c r="H1325">
        <v>0</v>
      </c>
      <c r="I1325">
        <v>1</v>
      </c>
      <c r="J1325">
        <v>20</v>
      </c>
      <c r="L1325">
        <f>_xlfn.XLOOKUP(C1325, dim_teams[team_name], dim_teams[team_id], "Not found", 0)</f>
        <v>1</v>
      </c>
    </row>
    <row r="1326" spans="1:12" x14ac:dyDescent="0.3">
      <c r="A1326" t="s">
        <v>377</v>
      </c>
      <c r="B1326">
        <v>2019</v>
      </c>
      <c r="C1326" t="s">
        <v>19</v>
      </c>
      <c r="D1326">
        <v>0</v>
      </c>
      <c r="E1326">
        <v>2</v>
      </c>
      <c r="F1326">
        <v>0</v>
      </c>
      <c r="G1326">
        <v>0</v>
      </c>
      <c r="H1326">
        <v>1</v>
      </c>
      <c r="I1326">
        <v>1</v>
      </c>
      <c r="J1326">
        <v>0</v>
      </c>
      <c r="K1326">
        <v>0</v>
      </c>
      <c r="L1326">
        <f>_xlfn.XLOOKUP(C1326, dim_teams[team_name], dim_teams[team_id], "Not found", 0)</f>
        <v>1</v>
      </c>
    </row>
    <row r="1327" spans="1:12" x14ac:dyDescent="0.3">
      <c r="A1327" t="s">
        <v>377</v>
      </c>
      <c r="B1327">
        <v>2020</v>
      </c>
      <c r="C1327" t="s">
        <v>19</v>
      </c>
      <c r="D1327">
        <v>2</v>
      </c>
      <c r="E1327">
        <v>4</v>
      </c>
      <c r="F1327">
        <v>0</v>
      </c>
      <c r="G1327">
        <v>0</v>
      </c>
      <c r="H1327">
        <v>0</v>
      </c>
      <c r="I1327">
        <v>2</v>
      </c>
      <c r="J1327">
        <v>50</v>
      </c>
      <c r="L1327">
        <f>_xlfn.XLOOKUP(C1327, dim_teams[team_name], dim_teams[team_id], "Not found", 0)</f>
        <v>1</v>
      </c>
    </row>
    <row r="1328" spans="1:12" x14ac:dyDescent="0.3">
      <c r="A1328" t="s">
        <v>377</v>
      </c>
      <c r="B1328">
        <v>2021</v>
      </c>
      <c r="C1328" t="s">
        <v>19</v>
      </c>
      <c r="D1328">
        <v>0</v>
      </c>
      <c r="E1328">
        <v>1</v>
      </c>
      <c r="F1328">
        <v>0</v>
      </c>
      <c r="G1328">
        <v>0</v>
      </c>
      <c r="H1328">
        <v>0</v>
      </c>
      <c r="I1328">
        <v>1</v>
      </c>
      <c r="J1328">
        <v>0</v>
      </c>
      <c r="L1328">
        <f>_xlfn.XLOOKUP(C1328, dim_teams[team_name], dim_teams[team_id], "Not found", 0)</f>
        <v>1</v>
      </c>
    </row>
    <row r="1329" spans="1:12" x14ac:dyDescent="0.3">
      <c r="A1329" t="s">
        <v>377</v>
      </c>
      <c r="B1329">
        <v>2022</v>
      </c>
      <c r="C1329" t="s">
        <v>17</v>
      </c>
      <c r="D1329">
        <v>6</v>
      </c>
      <c r="E1329">
        <v>12</v>
      </c>
      <c r="F1329">
        <v>0</v>
      </c>
      <c r="G1329">
        <v>0</v>
      </c>
      <c r="H1329">
        <v>1</v>
      </c>
      <c r="I1329">
        <v>2</v>
      </c>
      <c r="J1329">
        <v>50</v>
      </c>
      <c r="K1329">
        <v>6</v>
      </c>
      <c r="L1329">
        <f>_xlfn.XLOOKUP(C1329, dim_teams[team_name], dim_teams[team_id], "Not found", 0)</f>
        <v>5</v>
      </c>
    </row>
    <row r="1330" spans="1:12" x14ac:dyDescent="0.3">
      <c r="A1330" t="s">
        <v>378</v>
      </c>
      <c r="B1330">
        <v>2008</v>
      </c>
      <c r="C1330" t="s">
        <v>17</v>
      </c>
      <c r="D1330">
        <v>34</v>
      </c>
      <c r="E1330">
        <v>39</v>
      </c>
      <c r="F1330">
        <v>3</v>
      </c>
      <c r="G1330">
        <v>1</v>
      </c>
      <c r="H1330">
        <v>4</v>
      </c>
      <c r="I1330">
        <v>7</v>
      </c>
      <c r="J1330">
        <v>87.18</v>
      </c>
      <c r="K1330">
        <v>8.5</v>
      </c>
      <c r="L1330">
        <f>_xlfn.XLOOKUP(C1330, dim_teams[team_name], dim_teams[team_id], "Not found", 0)</f>
        <v>5</v>
      </c>
    </row>
    <row r="1331" spans="1:12" x14ac:dyDescent="0.3">
      <c r="A1331" t="s">
        <v>378</v>
      </c>
      <c r="B1331">
        <v>2009</v>
      </c>
      <c r="C1331" t="s">
        <v>17</v>
      </c>
      <c r="D1331">
        <v>16</v>
      </c>
      <c r="E1331">
        <v>19</v>
      </c>
      <c r="F1331">
        <v>1</v>
      </c>
      <c r="G1331">
        <v>0</v>
      </c>
      <c r="H1331">
        <v>0</v>
      </c>
      <c r="I1331">
        <v>3</v>
      </c>
      <c r="J1331">
        <v>84.21</v>
      </c>
      <c r="L1331">
        <f>_xlfn.XLOOKUP(C1331, dim_teams[team_name], dim_teams[team_id], "Not found", 0)</f>
        <v>5</v>
      </c>
    </row>
    <row r="1332" spans="1:12" x14ac:dyDescent="0.3">
      <c r="A1332" t="s">
        <v>378</v>
      </c>
      <c r="B1332">
        <v>2013</v>
      </c>
      <c r="C1332" t="s">
        <v>37</v>
      </c>
      <c r="D1332">
        <v>5</v>
      </c>
      <c r="E1332">
        <v>11</v>
      </c>
      <c r="F1332">
        <v>0</v>
      </c>
      <c r="G1332">
        <v>0</v>
      </c>
      <c r="H1332">
        <v>1</v>
      </c>
      <c r="I1332">
        <v>1</v>
      </c>
      <c r="J1332">
        <v>45.45</v>
      </c>
      <c r="K1332">
        <v>5</v>
      </c>
      <c r="L1332">
        <f>_xlfn.XLOOKUP(C1332, dim_teams[team_name], dim_teams[team_id], "Not found", 0)</f>
        <v>10</v>
      </c>
    </row>
    <row r="1333" spans="1:12" x14ac:dyDescent="0.3">
      <c r="A1333" t="s">
        <v>379</v>
      </c>
      <c r="B1333">
        <v>2021</v>
      </c>
      <c r="C1333" t="s">
        <v>76</v>
      </c>
      <c r="D1333">
        <v>153</v>
      </c>
      <c r="E1333">
        <v>114</v>
      </c>
      <c r="F1333">
        <v>9</v>
      </c>
      <c r="G1333">
        <v>10</v>
      </c>
      <c r="H1333">
        <v>6</v>
      </c>
      <c r="I1333">
        <v>10</v>
      </c>
      <c r="J1333">
        <v>134.21</v>
      </c>
      <c r="K1333">
        <v>25.5</v>
      </c>
      <c r="L1333">
        <f>_xlfn.XLOOKUP(C1333, dim_teams[team_name], dim_teams[team_id], "Not found", 0)</f>
        <v>16</v>
      </c>
    </row>
    <row r="1334" spans="1:12" x14ac:dyDescent="0.3">
      <c r="A1334" t="s">
        <v>379</v>
      </c>
      <c r="B1334">
        <v>2022</v>
      </c>
      <c r="C1334" t="s">
        <v>76</v>
      </c>
      <c r="D1334">
        <v>117</v>
      </c>
      <c r="E1334">
        <v>108</v>
      </c>
      <c r="F1334">
        <v>4</v>
      </c>
      <c r="G1334">
        <v>9</v>
      </c>
      <c r="H1334">
        <v>7</v>
      </c>
      <c r="I1334">
        <v>8</v>
      </c>
      <c r="J1334">
        <v>108.33</v>
      </c>
      <c r="K1334">
        <v>16.71</v>
      </c>
      <c r="L1334">
        <f>_xlfn.XLOOKUP(C1334, dim_teams[team_name], dim_teams[team_id], "Not found", 0)</f>
        <v>16</v>
      </c>
    </row>
    <row r="1335" spans="1:12" x14ac:dyDescent="0.3">
      <c r="A1335" t="s">
        <v>379</v>
      </c>
      <c r="B1335">
        <v>2023</v>
      </c>
      <c r="C1335" t="s">
        <v>76</v>
      </c>
      <c r="D1335">
        <v>156</v>
      </c>
      <c r="E1335">
        <v>93</v>
      </c>
      <c r="F1335">
        <v>13</v>
      </c>
      <c r="G1335">
        <v>9</v>
      </c>
      <c r="H1335">
        <v>7</v>
      </c>
      <c r="I1335">
        <v>12</v>
      </c>
      <c r="J1335">
        <v>167.74</v>
      </c>
      <c r="K1335">
        <v>22.29</v>
      </c>
      <c r="L1335">
        <f>_xlfn.XLOOKUP(C1335, dim_teams[team_name], dim_teams[team_id], "Not found", 0)</f>
        <v>16</v>
      </c>
    </row>
    <row r="1336" spans="1:12" x14ac:dyDescent="0.3">
      <c r="A1336" t="s">
        <v>379</v>
      </c>
      <c r="B1336">
        <v>2024</v>
      </c>
      <c r="C1336" t="s">
        <v>29</v>
      </c>
      <c r="D1336">
        <v>127</v>
      </c>
      <c r="E1336">
        <v>75</v>
      </c>
      <c r="F1336">
        <v>9</v>
      </c>
      <c r="G1336">
        <v>9</v>
      </c>
      <c r="H1336">
        <v>5</v>
      </c>
      <c r="I1336">
        <v>7</v>
      </c>
      <c r="J1336">
        <v>169.33</v>
      </c>
      <c r="K1336">
        <v>25.4</v>
      </c>
      <c r="L1336">
        <f>_xlfn.XLOOKUP(C1336, dim_teams[team_name], dim_teams[team_id], "Not found", 0)</f>
        <v>18</v>
      </c>
    </row>
    <row r="1337" spans="1:12" x14ac:dyDescent="0.3">
      <c r="A1337" t="s">
        <v>379</v>
      </c>
      <c r="B1337">
        <v>2025</v>
      </c>
      <c r="C1337" t="s">
        <v>29</v>
      </c>
      <c r="D1337">
        <v>179</v>
      </c>
      <c r="E1337">
        <v>100</v>
      </c>
      <c r="F1337">
        <v>11</v>
      </c>
      <c r="G1337">
        <v>13</v>
      </c>
      <c r="H1337">
        <v>6</v>
      </c>
      <c r="I1337">
        <v>11</v>
      </c>
      <c r="J1337">
        <v>179</v>
      </c>
      <c r="K1337">
        <v>29.83</v>
      </c>
      <c r="L1337">
        <f>_xlfn.XLOOKUP(C1337, dim_teams[team_name], dim_teams[team_id], "Not found", 0)</f>
        <v>18</v>
      </c>
    </row>
    <row r="1338" spans="1:12" x14ac:dyDescent="0.3">
      <c r="A1338" t="s">
        <v>380</v>
      </c>
      <c r="B1338">
        <v>2022</v>
      </c>
      <c r="C1338" t="s">
        <v>25</v>
      </c>
      <c r="D1338">
        <v>7</v>
      </c>
      <c r="E1338">
        <v>7</v>
      </c>
      <c r="F1338">
        <v>0</v>
      </c>
      <c r="G1338">
        <v>1</v>
      </c>
      <c r="H1338">
        <v>1</v>
      </c>
      <c r="I1338">
        <v>2</v>
      </c>
      <c r="J1338">
        <v>100</v>
      </c>
      <c r="K1338">
        <v>7</v>
      </c>
      <c r="L1338">
        <f>_xlfn.XLOOKUP(C1338, dim_teams[team_name], dim_teams[team_id], "Not found", 0)</f>
        <v>3</v>
      </c>
    </row>
    <row r="1339" spans="1:12" x14ac:dyDescent="0.3">
      <c r="A1339" t="s">
        <v>380</v>
      </c>
      <c r="B1339">
        <v>2025</v>
      </c>
      <c r="C1339" t="s">
        <v>17</v>
      </c>
      <c r="D1339">
        <v>10</v>
      </c>
      <c r="E1339">
        <v>27</v>
      </c>
      <c r="F1339">
        <v>0</v>
      </c>
      <c r="G1339">
        <v>0</v>
      </c>
      <c r="H1339">
        <v>2</v>
      </c>
      <c r="I1339">
        <v>4</v>
      </c>
      <c r="J1339">
        <v>37.04</v>
      </c>
      <c r="K1339">
        <v>5</v>
      </c>
      <c r="L1339">
        <f>_xlfn.XLOOKUP(C1339, dim_teams[team_name], dim_teams[team_id], "Not found", 0)</f>
        <v>5</v>
      </c>
    </row>
    <row r="1340" spans="1:12" x14ac:dyDescent="0.3">
      <c r="A1340" t="s">
        <v>381</v>
      </c>
      <c r="B1340">
        <v>2025</v>
      </c>
      <c r="C1340" t="s">
        <v>33</v>
      </c>
      <c r="D1340">
        <v>3</v>
      </c>
      <c r="E1340">
        <v>4</v>
      </c>
      <c r="F1340">
        <v>0</v>
      </c>
      <c r="G1340">
        <v>0</v>
      </c>
      <c r="H1340">
        <v>1</v>
      </c>
      <c r="I1340">
        <v>1</v>
      </c>
      <c r="J1340">
        <v>75</v>
      </c>
      <c r="K1340">
        <v>3</v>
      </c>
      <c r="L1340">
        <f>_xlfn.XLOOKUP(C1340, dim_teams[team_name], dim_teams[team_id], "Not found", 0)</f>
        <v>15</v>
      </c>
    </row>
    <row r="1341" spans="1:12" x14ac:dyDescent="0.3">
      <c r="A1341" t="s">
        <v>382</v>
      </c>
      <c r="B1341">
        <v>2009</v>
      </c>
      <c r="C1341" t="s">
        <v>25</v>
      </c>
      <c r="D1341">
        <v>60</v>
      </c>
      <c r="E1341">
        <v>67</v>
      </c>
      <c r="F1341">
        <v>4</v>
      </c>
      <c r="G1341">
        <v>2</v>
      </c>
      <c r="H1341">
        <v>4</v>
      </c>
      <c r="I1341">
        <v>4</v>
      </c>
      <c r="J1341">
        <v>89.55</v>
      </c>
      <c r="K1341">
        <v>15</v>
      </c>
      <c r="L1341">
        <f>_xlfn.XLOOKUP(C1341, dim_teams[team_name], dim_teams[team_id], "Not found", 0)</f>
        <v>3</v>
      </c>
    </row>
    <row r="1342" spans="1:12" x14ac:dyDescent="0.3">
      <c r="A1342" t="s">
        <v>382</v>
      </c>
      <c r="B1342">
        <v>2010</v>
      </c>
      <c r="C1342" t="s">
        <v>25</v>
      </c>
      <c r="D1342">
        <v>458</v>
      </c>
      <c r="E1342">
        <v>292</v>
      </c>
      <c r="F1342">
        <v>36</v>
      </c>
      <c r="G1342">
        <v>26</v>
      </c>
      <c r="H1342">
        <v>12</v>
      </c>
      <c r="I1342">
        <v>15</v>
      </c>
      <c r="J1342">
        <v>156.85</v>
      </c>
      <c r="K1342">
        <v>38.17</v>
      </c>
      <c r="L1342">
        <f>_xlfn.XLOOKUP(C1342, dim_teams[team_name], dim_teams[team_id], "Not found", 0)</f>
        <v>3</v>
      </c>
    </row>
    <row r="1343" spans="1:12" x14ac:dyDescent="0.3">
      <c r="A1343" t="s">
        <v>382</v>
      </c>
      <c r="B1343">
        <v>2011</v>
      </c>
      <c r="C1343" t="s">
        <v>25</v>
      </c>
      <c r="D1343">
        <v>434</v>
      </c>
      <c r="E1343">
        <v>339</v>
      </c>
      <c r="F1343">
        <v>34</v>
      </c>
      <c r="G1343">
        <v>20</v>
      </c>
      <c r="H1343">
        <v>16</v>
      </c>
      <c r="I1343">
        <v>16</v>
      </c>
      <c r="J1343">
        <v>128.02000000000001</v>
      </c>
      <c r="K1343">
        <v>27.12</v>
      </c>
      <c r="L1343">
        <f>_xlfn.XLOOKUP(C1343, dim_teams[team_name], dim_teams[team_id], "Not found", 0)</f>
        <v>3</v>
      </c>
    </row>
    <row r="1344" spans="1:12" x14ac:dyDescent="0.3">
      <c r="A1344" t="s">
        <v>382</v>
      </c>
      <c r="B1344">
        <v>2012</v>
      </c>
      <c r="C1344" t="s">
        <v>25</v>
      </c>
      <c r="D1344">
        <v>336</v>
      </c>
      <c r="E1344">
        <v>265</v>
      </c>
      <c r="F1344">
        <v>39</v>
      </c>
      <c r="G1344">
        <v>10</v>
      </c>
      <c r="H1344">
        <v>14</v>
      </c>
      <c r="I1344">
        <v>13</v>
      </c>
      <c r="J1344">
        <v>126.79</v>
      </c>
      <c r="K1344">
        <v>24</v>
      </c>
      <c r="L1344">
        <f>_xlfn.XLOOKUP(C1344, dim_teams[team_name], dim_teams[team_id], "Not found", 0)</f>
        <v>3</v>
      </c>
    </row>
    <row r="1345" spans="1:12" x14ac:dyDescent="0.3">
      <c r="A1345" t="s">
        <v>382</v>
      </c>
      <c r="B1345">
        <v>2013</v>
      </c>
      <c r="C1345" t="s">
        <v>25</v>
      </c>
      <c r="D1345">
        <v>312</v>
      </c>
      <c r="E1345">
        <v>286</v>
      </c>
      <c r="F1345">
        <v>27</v>
      </c>
      <c r="G1345">
        <v>8</v>
      </c>
      <c r="H1345">
        <v>12</v>
      </c>
      <c r="I1345">
        <v>15</v>
      </c>
      <c r="J1345">
        <v>109.09</v>
      </c>
      <c r="K1345">
        <v>26</v>
      </c>
      <c r="L1345">
        <f>_xlfn.XLOOKUP(C1345, dim_teams[team_name], dim_teams[team_id], "Not found", 0)</f>
        <v>3</v>
      </c>
    </row>
    <row r="1346" spans="1:12" x14ac:dyDescent="0.3">
      <c r="A1346" t="s">
        <v>382</v>
      </c>
      <c r="B1346">
        <v>2014</v>
      </c>
      <c r="C1346" t="s">
        <v>32</v>
      </c>
      <c r="D1346">
        <v>207</v>
      </c>
      <c r="E1346">
        <v>192</v>
      </c>
      <c r="F1346">
        <v>20</v>
      </c>
      <c r="G1346">
        <v>5</v>
      </c>
      <c r="H1346">
        <v>12</v>
      </c>
      <c r="I1346">
        <v>11</v>
      </c>
      <c r="J1346">
        <v>107.81</v>
      </c>
      <c r="K1346">
        <v>17.25</v>
      </c>
      <c r="L1346">
        <f>_xlfn.XLOOKUP(C1346, dim_teams[team_name], dim_teams[team_id], "Not found", 0)</f>
        <v>6</v>
      </c>
    </row>
    <row r="1347" spans="1:12" x14ac:dyDescent="0.3">
      <c r="A1347" t="s">
        <v>382</v>
      </c>
      <c r="B1347">
        <v>2015</v>
      </c>
      <c r="C1347" t="s">
        <v>54</v>
      </c>
      <c r="D1347">
        <v>251</v>
      </c>
      <c r="E1347">
        <v>228</v>
      </c>
      <c r="F1347">
        <v>27</v>
      </c>
      <c r="G1347">
        <v>8</v>
      </c>
      <c r="H1347">
        <v>9</v>
      </c>
      <c r="I1347">
        <v>11</v>
      </c>
      <c r="J1347">
        <v>110.09</v>
      </c>
      <c r="K1347">
        <v>27.89</v>
      </c>
      <c r="L1347">
        <f>_xlfn.XLOOKUP(C1347, dim_teams[team_name], dim_teams[team_id], "Not found", 0)</f>
        <v>4</v>
      </c>
    </row>
    <row r="1348" spans="1:12" x14ac:dyDescent="0.3">
      <c r="A1348" t="s">
        <v>382</v>
      </c>
      <c r="B1348">
        <v>2016</v>
      </c>
      <c r="C1348" t="s">
        <v>54</v>
      </c>
      <c r="D1348">
        <v>453</v>
      </c>
      <c r="E1348">
        <v>364</v>
      </c>
      <c r="F1348">
        <v>50</v>
      </c>
      <c r="G1348">
        <v>10</v>
      </c>
      <c r="H1348">
        <v>12</v>
      </c>
      <c r="I1348">
        <v>14</v>
      </c>
      <c r="J1348">
        <v>124.45</v>
      </c>
      <c r="K1348">
        <v>37.75</v>
      </c>
      <c r="L1348">
        <f>_xlfn.XLOOKUP(C1348, dim_teams[team_name], dim_teams[team_id], "Not found", 0)</f>
        <v>4</v>
      </c>
    </row>
    <row r="1349" spans="1:12" x14ac:dyDescent="0.3">
      <c r="A1349" t="s">
        <v>382</v>
      </c>
      <c r="B1349">
        <v>2018</v>
      </c>
      <c r="C1349" t="s">
        <v>25</v>
      </c>
      <c r="D1349">
        <v>12</v>
      </c>
      <c r="E1349">
        <v>10</v>
      </c>
      <c r="F1349">
        <v>0</v>
      </c>
      <c r="G1349">
        <v>1</v>
      </c>
      <c r="H1349">
        <v>1</v>
      </c>
      <c r="I1349">
        <v>1</v>
      </c>
      <c r="J1349">
        <v>120</v>
      </c>
      <c r="K1349">
        <v>12</v>
      </c>
      <c r="L1349">
        <f>_xlfn.XLOOKUP(C1349, dim_teams[team_name], dim_teams[team_id], "Not found", 0)</f>
        <v>3</v>
      </c>
    </row>
    <row r="1350" spans="1:12" x14ac:dyDescent="0.3">
      <c r="A1350" t="s">
        <v>382</v>
      </c>
      <c r="B1350">
        <v>2019</v>
      </c>
      <c r="C1350" t="s">
        <v>25</v>
      </c>
      <c r="D1350">
        <v>64</v>
      </c>
      <c r="E1350">
        <v>61</v>
      </c>
      <c r="F1350">
        <v>6</v>
      </c>
      <c r="G1350">
        <v>1</v>
      </c>
      <c r="H1350">
        <v>2</v>
      </c>
      <c r="I1350">
        <v>2</v>
      </c>
      <c r="J1350">
        <v>104.92</v>
      </c>
      <c r="K1350">
        <v>32</v>
      </c>
      <c r="L1350">
        <f>_xlfn.XLOOKUP(C1350, dim_teams[team_name], dim_teams[team_id], "Not found", 0)</f>
        <v>3</v>
      </c>
    </row>
    <row r="1351" spans="1:12" x14ac:dyDescent="0.3">
      <c r="A1351" t="s">
        <v>382</v>
      </c>
      <c r="B1351">
        <v>2020</v>
      </c>
      <c r="C1351" t="s">
        <v>25</v>
      </c>
      <c r="D1351">
        <v>32</v>
      </c>
      <c r="E1351">
        <v>43</v>
      </c>
      <c r="F1351">
        <v>4</v>
      </c>
      <c r="G1351">
        <v>0</v>
      </c>
      <c r="H1351">
        <v>3</v>
      </c>
      <c r="I1351">
        <v>3</v>
      </c>
      <c r="J1351">
        <v>74.42</v>
      </c>
      <c r="K1351">
        <v>10.67</v>
      </c>
      <c r="L1351">
        <f>_xlfn.XLOOKUP(C1351, dim_teams[team_name], dim_teams[team_id], "Not found", 0)</f>
        <v>3</v>
      </c>
    </row>
    <row r="1352" spans="1:12" x14ac:dyDescent="0.3">
      <c r="A1352" t="s">
        <v>383</v>
      </c>
      <c r="B1352">
        <v>2013</v>
      </c>
      <c r="C1352" t="s">
        <v>54</v>
      </c>
      <c r="D1352">
        <v>161</v>
      </c>
      <c r="E1352">
        <v>117</v>
      </c>
      <c r="F1352">
        <v>22</v>
      </c>
      <c r="G1352">
        <v>2</v>
      </c>
      <c r="H1352">
        <v>7</v>
      </c>
      <c r="I1352">
        <v>10</v>
      </c>
      <c r="J1352">
        <v>137.61000000000001</v>
      </c>
      <c r="K1352">
        <v>23</v>
      </c>
      <c r="L1352">
        <f>_xlfn.XLOOKUP(C1352, dim_teams[team_name], dim_teams[team_id], "Not found", 0)</f>
        <v>4</v>
      </c>
    </row>
    <row r="1353" spans="1:12" x14ac:dyDescent="0.3">
      <c r="A1353" t="s">
        <v>383</v>
      </c>
      <c r="B1353">
        <v>2014</v>
      </c>
      <c r="C1353" t="s">
        <v>54</v>
      </c>
      <c r="D1353">
        <v>324</v>
      </c>
      <c r="E1353">
        <v>232</v>
      </c>
      <c r="F1353">
        <v>27</v>
      </c>
      <c r="G1353">
        <v>16</v>
      </c>
      <c r="H1353">
        <v>7</v>
      </c>
      <c r="I1353">
        <v>8</v>
      </c>
      <c r="J1353">
        <v>139.66</v>
      </c>
      <c r="K1353">
        <v>46.29</v>
      </c>
      <c r="L1353">
        <f>_xlfn.XLOOKUP(C1353, dim_teams[team_name], dim_teams[team_id], "Not found", 0)</f>
        <v>4</v>
      </c>
    </row>
    <row r="1354" spans="1:12" x14ac:dyDescent="0.3">
      <c r="A1354" t="s">
        <v>383</v>
      </c>
      <c r="B1354">
        <v>2015</v>
      </c>
      <c r="C1354" t="s">
        <v>54</v>
      </c>
      <c r="D1354">
        <v>82</v>
      </c>
      <c r="E1354">
        <v>81</v>
      </c>
      <c r="F1354">
        <v>4</v>
      </c>
      <c r="G1354">
        <v>5</v>
      </c>
      <c r="H1354">
        <v>7</v>
      </c>
      <c r="I1354">
        <v>7</v>
      </c>
      <c r="J1354">
        <v>101.23</v>
      </c>
      <c r="K1354">
        <v>11.71</v>
      </c>
      <c r="L1354">
        <f>_xlfn.XLOOKUP(C1354, dim_teams[team_name], dim_teams[team_id], "Not found", 0)</f>
        <v>4</v>
      </c>
    </row>
    <row r="1355" spans="1:12" x14ac:dyDescent="0.3">
      <c r="A1355" t="s">
        <v>383</v>
      </c>
      <c r="B1355">
        <v>2016</v>
      </c>
      <c r="C1355" t="s">
        <v>54</v>
      </c>
      <c r="D1355">
        <v>161</v>
      </c>
      <c r="E1355">
        <v>131</v>
      </c>
      <c r="F1355">
        <v>19</v>
      </c>
      <c r="G1355">
        <v>3</v>
      </c>
      <c r="H1355">
        <v>8</v>
      </c>
      <c r="I1355">
        <v>7</v>
      </c>
      <c r="J1355">
        <v>122.9</v>
      </c>
      <c r="K1355">
        <v>20.12</v>
      </c>
      <c r="L1355">
        <f>_xlfn.XLOOKUP(C1355, dim_teams[team_name], dim_teams[team_id], "Not found", 0)</f>
        <v>4</v>
      </c>
    </row>
    <row r="1356" spans="1:12" x14ac:dyDescent="0.3">
      <c r="A1356" t="s">
        <v>383</v>
      </c>
      <c r="B1356">
        <v>2017</v>
      </c>
      <c r="C1356" t="s">
        <v>54</v>
      </c>
      <c r="D1356">
        <v>229</v>
      </c>
      <c r="E1356">
        <v>159</v>
      </c>
      <c r="F1356">
        <v>23</v>
      </c>
      <c r="G1356">
        <v>9</v>
      </c>
      <c r="H1356">
        <v>9</v>
      </c>
      <c r="I1356">
        <v>9</v>
      </c>
      <c r="J1356">
        <v>144.03</v>
      </c>
      <c r="K1356">
        <v>25.44</v>
      </c>
      <c r="L1356">
        <f>_xlfn.XLOOKUP(C1356, dim_teams[team_name], dim_teams[team_id], "Not found", 0)</f>
        <v>4</v>
      </c>
    </row>
    <row r="1357" spans="1:12" x14ac:dyDescent="0.3">
      <c r="A1357" t="s">
        <v>383</v>
      </c>
      <c r="B1357">
        <v>2018</v>
      </c>
      <c r="C1357" t="s">
        <v>21</v>
      </c>
      <c r="D1357">
        <v>55</v>
      </c>
      <c r="E1357">
        <v>47</v>
      </c>
      <c r="F1357">
        <v>2</v>
      </c>
      <c r="G1357">
        <v>4</v>
      </c>
      <c r="H1357">
        <v>4</v>
      </c>
      <c r="I1357">
        <v>4</v>
      </c>
      <c r="J1357">
        <v>117.02</v>
      </c>
      <c r="K1357">
        <v>13.75</v>
      </c>
      <c r="L1357">
        <f>_xlfn.XLOOKUP(C1357, dim_teams[team_name], dim_teams[team_id], "Not found", 0)</f>
        <v>2</v>
      </c>
    </row>
    <row r="1358" spans="1:12" x14ac:dyDescent="0.3">
      <c r="A1358" t="s">
        <v>383</v>
      </c>
      <c r="B1358">
        <v>2021</v>
      </c>
      <c r="C1358" t="s">
        <v>17</v>
      </c>
      <c r="D1358">
        <v>42</v>
      </c>
      <c r="E1358">
        <v>39</v>
      </c>
      <c r="F1358">
        <v>5</v>
      </c>
      <c r="G1358">
        <v>2</v>
      </c>
      <c r="H1358">
        <v>4</v>
      </c>
      <c r="I1358">
        <v>4</v>
      </c>
      <c r="J1358">
        <v>107.69</v>
      </c>
      <c r="K1358">
        <v>10.5</v>
      </c>
      <c r="L1358">
        <f>_xlfn.XLOOKUP(C1358, dim_teams[team_name], dim_teams[team_id], "Not found", 0)</f>
        <v>5</v>
      </c>
    </row>
    <row r="1359" spans="1:12" x14ac:dyDescent="0.3">
      <c r="A1359" t="s">
        <v>383</v>
      </c>
      <c r="B1359">
        <v>2022</v>
      </c>
      <c r="C1359" t="s">
        <v>15</v>
      </c>
      <c r="D1359">
        <v>19</v>
      </c>
      <c r="E1359">
        <v>11</v>
      </c>
      <c r="F1359">
        <v>1</v>
      </c>
      <c r="G1359">
        <v>2</v>
      </c>
      <c r="H1359">
        <v>1</v>
      </c>
      <c r="I1359">
        <v>1</v>
      </c>
      <c r="J1359">
        <v>172.73</v>
      </c>
      <c r="K1359">
        <v>19</v>
      </c>
      <c r="L1359">
        <f>_xlfn.XLOOKUP(C1359, dim_teams[team_name], dim_teams[team_id], "Not found", 0)</f>
        <v>17</v>
      </c>
    </row>
    <row r="1360" spans="1:12" x14ac:dyDescent="0.3">
      <c r="A1360" t="s">
        <v>383</v>
      </c>
      <c r="B1360">
        <v>2023</v>
      </c>
      <c r="C1360" t="s">
        <v>15</v>
      </c>
      <c r="D1360">
        <v>10</v>
      </c>
      <c r="E1360">
        <v>11</v>
      </c>
      <c r="F1360">
        <v>1</v>
      </c>
      <c r="G1360">
        <v>0</v>
      </c>
      <c r="H1360">
        <v>1</v>
      </c>
      <c r="I1360">
        <v>1</v>
      </c>
      <c r="J1360">
        <v>90.91</v>
      </c>
      <c r="K1360">
        <v>10</v>
      </c>
      <c r="L1360">
        <f>_xlfn.XLOOKUP(C1360, dim_teams[team_name], dim_teams[team_id], "Not found", 0)</f>
        <v>17</v>
      </c>
    </row>
    <row r="1361" spans="1:12" x14ac:dyDescent="0.3">
      <c r="A1361" t="s">
        <v>384</v>
      </c>
      <c r="B1361">
        <v>2014</v>
      </c>
      <c r="C1361" t="s">
        <v>23</v>
      </c>
      <c r="D1361">
        <v>1</v>
      </c>
      <c r="E1361">
        <v>2</v>
      </c>
      <c r="F1361">
        <v>0</v>
      </c>
      <c r="G1361">
        <v>0</v>
      </c>
      <c r="H1361">
        <v>1</v>
      </c>
      <c r="I1361">
        <v>1</v>
      </c>
      <c r="J1361">
        <v>50</v>
      </c>
      <c r="K1361">
        <v>1</v>
      </c>
      <c r="L1361">
        <f>_xlfn.XLOOKUP(C1361, dim_teams[team_name], dim_teams[team_id], "Not found", 0)</f>
        <v>7</v>
      </c>
    </row>
    <row r="1362" spans="1:12" x14ac:dyDescent="0.3">
      <c r="A1362" t="s">
        <v>385</v>
      </c>
      <c r="B1362">
        <v>2011</v>
      </c>
      <c r="C1362" t="s">
        <v>21</v>
      </c>
      <c r="D1362">
        <v>141</v>
      </c>
      <c r="E1362">
        <v>117</v>
      </c>
      <c r="F1362">
        <v>16</v>
      </c>
      <c r="G1362">
        <v>4</v>
      </c>
      <c r="H1362">
        <v>7</v>
      </c>
      <c r="I1362">
        <v>7</v>
      </c>
      <c r="J1362">
        <v>120.51</v>
      </c>
      <c r="K1362">
        <v>20.14</v>
      </c>
      <c r="L1362">
        <f>_xlfn.XLOOKUP(C1362, dim_teams[team_name], dim_teams[team_id], "Not found", 0)</f>
        <v>2</v>
      </c>
    </row>
    <row r="1363" spans="1:12" x14ac:dyDescent="0.3">
      <c r="A1363" t="s">
        <v>385</v>
      </c>
      <c r="B1363">
        <v>2012</v>
      </c>
      <c r="C1363" t="s">
        <v>21</v>
      </c>
      <c r="D1363">
        <v>225</v>
      </c>
      <c r="E1363">
        <v>157</v>
      </c>
      <c r="F1363">
        <v>19</v>
      </c>
      <c r="G1363">
        <v>15</v>
      </c>
      <c r="H1363">
        <v>11</v>
      </c>
      <c r="I1363">
        <v>12</v>
      </c>
      <c r="J1363">
        <v>143.31</v>
      </c>
      <c r="K1363">
        <v>20.45</v>
      </c>
      <c r="L1363">
        <f>_xlfn.XLOOKUP(C1363, dim_teams[team_name], dim_teams[team_id], "Not found", 0)</f>
        <v>2</v>
      </c>
    </row>
    <row r="1364" spans="1:12" x14ac:dyDescent="0.3">
      <c r="A1364" t="s">
        <v>385</v>
      </c>
      <c r="B1364">
        <v>2013</v>
      </c>
      <c r="C1364" t="s">
        <v>21</v>
      </c>
      <c r="D1364">
        <v>67</v>
      </c>
      <c r="E1364">
        <v>62</v>
      </c>
      <c r="F1364">
        <v>6</v>
      </c>
      <c r="G1364">
        <v>3</v>
      </c>
      <c r="H1364">
        <v>5</v>
      </c>
      <c r="I1364">
        <v>5</v>
      </c>
      <c r="J1364">
        <v>108.06</v>
      </c>
      <c r="K1364">
        <v>13.4</v>
      </c>
      <c r="L1364">
        <f>_xlfn.XLOOKUP(C1364, dim_teams[team_name], dim_teams[team_id], "Not found", 0)</f>
        <v>2</v>
      </c>
    </row>
    <row r="1365" spans="1:12" x14ac:dyDescent="0.3">
      <c r="A1365" t="s">
        <v>385</v>
      </c>
      <c r="B1365">
        <v>2014</v>
      </c>
      <c r="C1365" t="s">
        <v>32</v>
      </c>
      <c r="D1365">
        <v>115</v>
      </c>
      <c r="E1365">
        <v>91</v>
      </c>
      <c r="F1365">
        <v>12</v>
      </c>
      <c r="G1365">
        <v>3</v>
      </c>
      <c r="H1365">
        <v>8</v>
      </c>
      <c r="I1365">
        <v>8</v>
      </c>
      <c r="J1365">
        <v>126.37</v>
      </c>
      <c r="K1365">
        <v>14.38</v>
      </c>
      <c r="L1365">
        <f>_xlfn.XLOOKUP(C1365, dim_teams[team_name], dim_teams[team_id], "Not found", 0)</f>
        <v>6</v>
      </c>
    </row>
    <row r="1366" spans="1:12" x14ac:dyDescent="0.3">
      <c r="A1366" t="s">
        <v>385</v>
      </c>
      <c r="B1366">
        <v>2015</v>
      </c>
      <c r="C1366" t="s">
        <v>32</v>
      </c>
      <c r="D1366">
        <v>213</v>
      </c>
      <c r="E1366">
        <v>176</v>
      </c>
      <c r="F1366">
        <v>23</v>
      </c>
      <c r="G1366">
        <v>7</v>
      </c>
      <c r="H1366">
        <v>10</v>
      </c>
      <c r="I1366">
        <v>10</v>
      </c>
      <c r="J1366">
        <v>121.02</v>
      </c>
      <c r="K1366">
        <v>21.3</v>
      </c>
      <c r="L1366">
        <f>_xlfn.XLOOKUP(C1366, dim_teams[team_name], dim_teams[team_id], "Not found", 0)</f>
        <v>6</v>
      </c>
    </row>
    <row r="1367" spans="1:12" x14ac:dyDescent="0.3">
      <c r="A1367" t="s">
        <v>385</v>
      </c>
      <c r="B1367">
        <v>2016</v>
      </c>
      <c r="C1367" t="s">
        <v>32</v>
      </c>
      <c r="D1367">
        <v>27</v>
      </c>
      <c r="E1367">
        <v>25</v>
      </c>
      <c r="F1367">
        <v>3</v>
      </c>
      <c r="G1367">
        <v>1</v>
      </c>
      <c r="H1367">
        <v>3</v>
      </c>
      <c r="I1367">
        <v>3</v>
      </c>
      <c r="J1367">
        <v>108</v>
      </c>
      <c r="K1367">
        <v>9</v>
      </c>
      <c r="L1367">
        <f>_xlfn.XLOOKUP(C1367, dim_teams[team_name], dim_teams[team_id], "Not found", 0)</f>
        <v>6</v>
      </c>
    </row>
    <row r="1368" spans="1:12" x14ac:dyDescent="0.3">
      <c r="A1368" t="s">
        <v>385</v>
      </c>
      <c r="B1368">
        <v>2017</v>
      </c>
      <c r="C1368" t="s">
        <v>46</v>
      </c>
      <c r="D1368">
        <v>26</v>
      </c>
      <c r="E1368">
        <v>27</v>
      </c>
      <c r="F1368">
        <v>3</v>
      </c>
      <c r="G1368">
        <v>0</v>
      </c>
      <c r="H1368">
        <v>3</v>
      </c>
      <c r="I1368">
        <v>3</v>
      </c>
      <c r="J1368">
        <v>96.3</v>
      </c>
      <c r="K1368">
        <v>8.67</v>
      </c>
      <c r="L1368">
        <f>_xlfn.XLOOKUP(C1368, dim_teams[team_name], dim_teams[team_id], "Not found", 0)</f>
        <v>14</v>
      </c>
    </row>
    <row r="1369" spans="1:12" x14ac:dyDescent="0.3">
      <c r="A1369" t="s">
        <v>385</v>
      </c>
      <c r="B1369">
        <v>2018</v>
      </c>
      <c r="C1369" t="s">
        <v>54</v>
      </c>
      <c r="D1369">
        <v>120</v>
      </c>
      <c r="E1369">
        <v>94</v>
      </c>
      <c r="F1369">
        <v>9</v>
      </c>
      <c r="G1369">
        <v>5</v>
      </c>
      <c r="H1369">
        <v>10</v>
      </c>
      <c r="I1369">
        <v>11</v>
      </c>
      <c r="J1369">
        <v>127.66</v>
      </c>
      <c r="K1369">
        <v>12</v>
      </c>
      <c r="L1369">
        <f>_xlfn.XLOOKUP(C1369, dim_teams[team_name], dim_teams[team_id], "Not found", 0)</f>
        <v>4</v>
      </c>
    </row>
    <row r="1370" spans="1:12" x14ac:dyDescent="0.3">
      <c r="A1370" t="s">
        <v>385</v>
      </c>
      <c r="B1370">
        <v>2019</v>
      </c>
      <c r="C1370" t="s">
        <v>54</v>
      </c>
      <c r="D1370">
        <v>332</v>
      </c>
      <c r="E1370">
        <v>234</v>
      </c>
      <c r="F1370">
        <v>26</v>
      </c>
      <c r="G1370">
        <v>14</v>
      </c>
      <c r="H1370">
        <v>11</v>
      </c>
      <c r="I1370">
        <v>13</v>
      </c>
      <c r="J1370">
        <v>141.88</v>
      </c>
      <c r="K1370">
        <v>30.18</v>
      </c>
      <c r="L1370">
        <f>_xlfn.XLOOKUP(C1370, dim_teams[team_name], dim_teams[team_id], "Not found", 0)</f>
        <v>4</v>
      </c>
    </row>
    <row r="1371" spans="1:12" x14ac:dyDescent="0.3">
      <c r="A1371" t="s">
        <v>385</v>
      </c>
      <c r="B1371">
        <v>2020</v>
      </c>
      <c r="C1371" t="s">
        <v>54</v>
      </c>
      <c r="D1371">
        <v>432</v>
      </c>
      <c r="E1371">
        <v>272</v>
      </c>
      <c r="F1371">
        <v>46</v>
      </c>
      <c r="G1371">
        <v>15</v>
      </c>
      <c r="H1371">
        <v>10</v>
      </c>
      <c r="I1371">
        <v>11</v>
      </c>
      <c r="J1371">
        <v>158.82</v>
      </c>
      <c r="K1371">
        <v>43.2</v>
      </c>
      <c r="L1371">
        <f>_xlfn.XLOOKUP(C1371, dim_teams[team_name], dim_teams[team_id], "Not found", 0)</f>
        <v>4</v>
      </c>
    </row>
    <row r="1372" spans="1:12" x14ac:dyDescent="0.3">
      <c r="A1372" t="s">
        <v>385</v>
      </c>
      <c r="B1372">
        <v>2021</v>
      </c>
      <c r="C1372" t="s">
        <v>76</v>
      </c>
      <c r="D1372">
        <v>441</v>
      </c>
      <c r="E1372">
        <v>309</v>
      </c>
      <c r="F1372">
        <v>42</v>
      </c>
      <c r="G1372">
        <v>18</v>
      </c>
      <c r="H1372">
        <v>12</v>
      </c>
      <c r="I1372">
        <v>12</v>
      </c>
      <c r="J1372">
        <v>142.72</v>
      </c>
      <c r="K1372">
        <v>36.75</v>
      </c>
      <c r="L1372">
        <f>_xlfn.XLOOKUP(C1372, dim_teams[team_name], dim_teams[team_id], "Not found", 0)</f>
        <v>16</v>
      </c>
    </row>
    <row r="1373" spans="1:12" x14ac:dyDescent="0.3">
      <c r="A1373" t="s">
        <v>385</v>
      </c>
      <c r="B1373">
        <v>2022</v>
      </c>
      <c r="C1373" t="s">
        <v>76</v>
      </c>
      <c r="D1373">
        <v>196</v>
      </c>
      <c r="E1373">
        <v>160</v>
      </c>
      <c r="F1373">
        <v>23</v>
      </c>
      <c r="G1373">
        <v>6</v>
      </c>
      <c r="H1373">
        <v>12</v>
      </c>
      <c r="I1373">
        <v>12</v>
      </c>
      <c r="J1373">
        <v>122.5</v>
      </c>
      <c r="K1373">
        <v>16.329999999999998</v>
      </c>
      <c r="L1373">
        <f>_xlfn.XLOOKUP(C1373, dim_teams[team_name], dim_teams[team_id], "Not found", 0)</f>
        <v>16</v>
      </c>
    </row>
    <row r="1374" spans="1:12" x14ac:dyDescent="0.3">
      <c r="A1374" t="s">
        <v>385</v>
      </c>
      <c r="B1374">
        <v>2023</v>
      </c>
      <c r="C1374" t="s">
        <v>13</v>
      </c>
      <c r="D1374">
        <v>270</v>
      </c>
      <c r="E1374">
        <v>208</v>
      </c>
      <c r="F1374">
        <v>29</v>
      </c>
      <c r="G1374">
        <v>6</v>
      </c>
      <c r="H1374">
        <v>10</v>
      </c>
      <c r="I1374">
        <v>10</v>
      </c>
      <c r="J1374">
        <v>129.81</v>
      </c>
      <c r="K1374">
        <v>27</v>
      </c>
      <c r="L1374">
        <f>_xlfn.XLOOKUP(C1374, dim_teams[team_name], dim_teams[team_id], "Not found", 0)</f>
        <v>11</v>
      </c>
    </row>
    <row r="1375" spans="1:12" x14ac:dyDescent="0.3">
      <c r="A1375" t="s">
        <v>385</v>
      </c>
      <c r="B1375">
        <v>2024</v>
      </c>
      <c r="C1375" t="s">
        <v>13</v>
      </c>
      <c r="D1375">
        <v>64</v>
      </c>
      <c r="E1375">
        <v>57</v>
      </c>
      <c r="F1375">
        <v>8</v>
      </c>
      <c r="G1375">
        <v>1</v>
      </c>
      <c r="H1375">
        <v>4</v>
      </c>
      <c r="I1375">
        <v>4</v>
      </c>
      <c r="J1375">
        <v>112.28</v>
      </c>
      <c r="K1375">
        <v>16</v>
      </c>
      <c r="L1375">
        <f>_xlfn.XLOOKUP(C1375, dim_teams[team_name], dim_teams[team_id], "Not found", 0)</f>
        <v>11</v>
      </c>
    </row>
    <row r="1376" spans="1:12" x14ac:dyDescent="0.3">
      <c r="A1376" t="s">
        <v>385</v>
      </c>
      <c r="B1376">
        <v>2025</v>
      </c>
      <c r="C1376" t="s">
        <v>102</v>
      </c>
      <c r="D1376">
        <v>95</v>
      </c>
      <c r="E1376">
        <v>64</v>
      </c>
      <c r="F1376">
        <v>10</v>
      </c>
      <c r="G1376">
        <v>2</v>
      </c>
      <c r="H1376">
        <v>3</v>
      </c>
      <c r="I1376">
        <v>4</v>
      </c>
      <c r="J1376">
        <v>148.44</v>
      </c>
      <c r="K1376">
        <v>31.67</v>
      </c>
      <c r="L1376">
        <f>_xlfn.XLOOKUP(C1376, dim_teams[team_name], dim_teams[team_id], "Not found", 0)</f>
        <v>19</v>
      </c>
    </row>
    <row r="1377" spans="1:12" x14ac:dyDescent="0.3">
      <c r="A1377" t="s">
        <v>386</v>
      </c>
      <c r="B1377">
        <v>2008</v>
      </c>
      <c r="C1377" t="s">
        <v>23</v>
      </c>
      <c r="D1377">
        <v>24</v>
      </c>
      <c r="E1377">
        <v>22</v>
      </c>
      <c r="F1377">
        <v>2</v>
      </c>
      <c r="G1377">
        <v>1</v>
      </c>
      <c r="H1377">
        <v>2</v>
      </c>
      <c r="I1377">
        <v>3</v>
      </c>
      <c r="J1377">
        <v>109.09</v>
      </c>
      <c r="K1377">
        <v>12</v>
      </c>
      <c r="L1377">
        <f>_xlfn.XLOOKUP(C1377, dim_teams[team_name], dim_teams[team_id], "Not found", 0)</f>
        <v>7</v>
      </c>
    </row>
    <row r="1378" spans="1:12" x14ac:dyDescent="0.3">
      <c r="A1378" t="s">
        <v>387</v>
      </c>
      <c r="B1378">
        <v>2014</v>
      </c>
      <c r="C1378" t="s">
        <v>21</v>
      </c>
      <c r="D1378">
        <v>85</v>
      </c>
      <c r="E1378">
        <v>84</v>
      </c>
      <c r="F1378">
        <v>9</v>
      </c>
      <c r="G1378">
        <v>0</v>
      </c>
      <c r="H1378">
        <v>5</v>
      </c>
      <c r="I1378">
        <v>8</v>
      </c>
      <c r="J1378">
        <v>101.19</v>
      </c>
      <c r="K1378">
        <v>17</v>
      </c>
      <c r="L1378">
        <f>_xlfn.XLOOKUP(C1378, dim_teams[team_name], dim_teams[team_id], "Not found", 0)</f>
        <v>2</v>
      </c>
    </row>
    <row r="1379" spans="1:12" x14ac:dyDescent="0.3">
      <c r="A1379" t="s">
        <v>387</v>
      </c>
      <c r="B1379">
        <v>2015</v>
      </c>
      <c r="C1379" t="s">
        <v>21</v>
      </c>
      <c r="D1379">
        <v>11</v>
      </c>
      <c r="E1379">
        <v>14</v>
      </c>
      <c r="F1379">
        <v>1</v>
      </c>
      <c r="G1379">
        <v>0</v>
      </c>
      <c r="H1379">
        <v>1</v>
      </c>
      <c r="I1379">
        <v>3</v>
      </c>
      <c r="J1379">
        <v>78.569999999999993</v>
      </c>
      <c r="K1379">
        <v>11</v>
      </c>
      <c r="L1379">
        <f>_xlfn.XLOOKUP(C1379, dim_teams[team_name], dim_teams[team_id], "Not found", 0)</f>
        <v>2</v>
      </c>
    </row>
    <row r="1380" spans="1:12" x14ac:dyDescent="0.3">
      <c r="A1380" t="s">
        <v>387</v>
      </c>
      <c r="B1380">
        <v>2024</v>
      </c>
      <c r="C1380" t="s">
        <v>19</v>
      </c>
      <c r="D1380">
        <v>9</v>
      </c>
      <c r="E1380">
        <v>11</v>
      </c>
      <c r="F1380">
        <v>1</v>
      </c>
      <c r="G1380">
        <v>0</v>
      </c>
      <c r="H1380">
        <v>2</v>
      </c>
      <c r="I1380">
        <v>5</v>
      </c>
      <c r="J1380">
        <v>81.819999999999993</v>
      </c>
      <c r="K1380">
        <v>4.5</v>
      </c>
      <c r="L1380">
        <f>_xlfn.XLOOKUP(C1380, dim_teams[team_name], dim_teams[team_id], "Not found", 0)</f>
        <v>1</v>
      </c>
    </row>
    <row r="1381" spans="1:12" x14ac:dyDescent="0.3">
      <c r="A1381" t="s">
        <v>387</v>
      </c>
      <c r="B1381">
        <v>2025</v>
      </c>
      <c r="C1381" t="s">
        <v>33</v>
      </c>
      <c r="D1381">
        <v>6</v>
      </c>
      <c r="E1381">
        <v>10</v>
      </c>
      <c r="F1381">
        <v>0</v>
      </c>
      <c r="G1381">
        <v>0</v>
      </c>
      <c r="H1381">
        <v>2</v>
      </c>
      <c r="I1381">
        <v>5</v>
      </c>
      <c r="J1381">
        <v>60</v>
      </c>
      <c r="K1381">
        <v>3</v>
      </c>
      <c r="L1381">
        <f>_xlfn.XLOOKUP(C1381, dim_teams[team_name], dim_teams[team_id], "Not found", 0)</f>
        <v>15</v>
      </c>
    </row>
    <row r="1382" spans="1:12" x14ac:dyDescent="0.3">
      <c r="A1382" t="s">
        <v>388</v>
      </c>
      <c r="B1382">
        <v>2018</v>
      </c>
      <c r="C1382" t="s">
        <v>25</v>
      </c>
      <c r="D1382">
        <v>1</v>
      </c>
      <c r="E1382">
        <v>3</v>
      </c>
      <c r="F1382">
        <v>0</v>
      </c>
      <c r="G1382">
        <v>0</v>
      </c>
      <c r="H1382">
        <v>1</v>
      </c>
      <c r="I1382">
        <v>1</v>
      </c>
      <c r="J1382">
        <v>33.33</v>
      </c>
      <c r="K1382">
        <v>1</v>
      </c>
      <c r="L1382">
        <f>_xlfn.XLOOKUP(C1382, dim_teams[team_name], dim_teams[team_id], "Not found", 0)</f>
        <v>3</v>
      </c>
    </row>
    <row r="1383" spans="1:12" x14ac:dyDescent="0.3">
      <c r="A1383" t="s">
        <v>388</v>
      </c>
      <c r="B1383">
        <v>2023</v>
      </c>
      <c r="C1383" t="s">
        <v>15</v>
      </c>
      <c r="D1383">
        <v>11</v>
      </c>
      <c r="E1383">
        <v>5</v>
      </c>
      <c r="F1383">
        <v>1</v>
      </c>
      <c r="G1383">
        <v>1</v>
      </c>
      <c r="H1383">
        <v>1</v>
      </c>
      <c r="I1383">
        <v>2</v>
      </c>
      <c r="J1383">
        <v>220</v>
      </c>
      <c r="K1383">
        <v>11</v>
      </c>
      <c r="L1383">
        <f>_xlfn.XLOOKUP(C1383, dim_teams[team_name], dim_teams[team_id], "Not found", 0)</f>
        <v>17</v>
      </c>
    </row>
    <row r="1384" spans="1:12" x14ac:dyDescent="0.3">
      <c r="A1384" t="s">
        <v>389</v>
      </c>
      <c r="B1384">
        <v>2009</v>
      </c>
      <c r="C1384" t="s">
        <v>19</v>
      </c>
      <c r="D1384">
        <v>38</v>
      </c>
      <c r="E1384">
        <v>40</v>
      </c>
      <c r="F1384">
        <v>2</v>
      </c>
      <c r="G1384">
        <v>1</v>
      </c>
      <c r="H1384">
        <v>2</v>
      </c>
      <c r="I1384">
        <v>3</v>
      </c>
      <c r="J1384">
        <v>95</v>
      </c>
      <c r="K1384">
        <v>19</v>
      </c>
      <c r="L1384">
        <f>_xlfn.XLOOKUP(C1384, dim_teams[team_name], dim_teams[team_id], "Not found", 0)</f>
        <v>1</v>
      </c>
    </row>
    <row r="1385" spans="1:12" x14ac:dyDescent="0.3">
      <c r="A1385" t="s">
        <v>389</v>
      </c>
      <c r="B1385">
        <v>2010</v>
      </c>
      <c r="C1385" t="s">
        <v>32</v>
      </c>
      <c r="D1385">
        <v>11</v>
      </c>
      <c r="E1385">
        <v>5</v>
      </c>
      <c r="F1385">
        <v>2</v>
      </c>
      <c r="G1385">
        <v>0</v>
      </c>
      <c r="H1385">
        <v>1</v>
      </c>
      <c r="I1385">
        <v>1</v>
      </c>
      <c r="J1385">
        <v>220</v>
      </c>
      <c r="K1385">
        <v>11</v>
      </c>
      <c r="L1385">
        <f>_xlfn.XLOOKUP(C1385, dim_teams[team_name], dim_teams[team_id], "Not found", 0)</f>
        <v>6</v>
      </c>
    </row>
    <row r="1386" spans="1:12" x14ac:dyDescent="0.3">
      <c r="A1386" t="s">
        <v>389</v>
      </c>
      <c r="B1386">
        <v>2013</v>
      </c>
      <c r="C1386" t="s">
        <v>21</v>
      </c>
      <c r="D1386">
        <v>165</v>
      </c>
      <c r="E1386">
        <v>124</v>
      </c>
      <c r="F1386">
        <v>20</v>
      </c>
      <c r="G1386">
        <v>3</v>
      </c>
      <c r="H1386">
        <v>4</v>
      </c>
      <c r="I1386">
        <v>9</v>
      </c>
      <c r="J1386">
        <v>133.06</v>
      </c>
      <c r="K1386">
        <v>41.25</v>
      </c>
      <c r="L1386">
        <f>_xlfn.XLOOKUP(C1386, dim_teams[team_name], dim_teams[team_id], "Not found", 0)</f>
        <v>2</v>
      </c>
    </row>
    <row r="1387" spans="1:12" x14ac:dyDescent="0.3">
      <c r="A1387" t="s">
        <v>389</v>
      </c>
      <c r="B1387">
        <v>2014</v>
      </c>
      <c r="C1387" t="s">
        <v>13</v>
      </c>
      <c r="D1387">
        <v>9</v>
      </c>
      <c r="E1387">
        <v>14</v>
      </c>
      <c r="F1387">
        <v>1</v>
      </c>
      <c r="G1387">
        <v>0</v>
      </c>
      <c r="H1387">
        <v>2</v>
      </c>
      <c r="I1387">
        <v>2</v>
      </c>
      <c r="J1387">
        <v>64.290000000000006</v>
      </c>
      <c r="K1387">
        <v>4.5</v>
      </c>
      <c r="L1387">
        <f>_xlfn.XLOOKUP(C1387, dim_teams[team_name], dim_teams[team_id], "Not found", 0)</f>
        <v>11</v>
      </c>
    </row>
    <row r="1388" spans="1:12" x14ac:dyDescent="0.3">
      <c r="A1388" t="s">
        <v>389</v>
      </c>
      <c r="B1388">
        <v>2015</v>
      </c>
      <c r="C1388" t="s">
        <v>13</v>
      </c>
      <c r="D1388">
        <v>287</v>
      </c>
      <c r="E1388">
        <v>210</v>
      </c>
      <c r="F1388">
        <v>19</v>
      </c>
      <c r="G1388">
        <v>13</v>
      </c>
      <c r="H1388">
        <v>7</v>
      </c>
      <c r="I1388">
        <v>9</v>
      </c>
      <c r="J1388">
        <v>136.66999999999999</v>
      </c>
      <c r="K1388">
        <v>41</v>
      </c>
      <c r="L1388">
        <f>_xlfn.XLOOKUP(C1388, dim_teams[team_name], dim_teams[team_id], "Not found", 0)</f>
        <v>11</v>
      </c>
    </row>
    <row r="1389" spans="1:12" x14ac:dyDescent="0.3">
      <c r="A1389" t="s">
        <v>389</v>
      </c>
      <c r="B1389">
        <v>2016</v>
      </c>
      <c r="C1389" t="s">
        <v>13</v>
      </c>
      <c r="D1389">
        <v>182</v>
      </c>
      <c r="E1389">
        <v>157</v>
      </c>
      <c r="F1389">
        <v>15</v>
      </c>
      <c r="G1389">
        <v>6</v>
      </c>
      <c r="H1389">
        <v>13</v>
      </c>
      <c r="I1389">
        <v>15</v>
      </c>
      <c r="J1389">
        <v>115.92</v>
      </c>
      <c r="K1389">
        <v>14</v>
      </c>
      <c r="L1389">
        <f>_xlfn.XLOOKUP(C1389, dim_teams[team_name], dim_teams[team_id], "Not found", 0)</f>
        <v>11</v>
      </c>
    </row>
    <row r="1390" spans="1:12" x14ac:dyDescent="0.3">
      <c r="A1390" t="s">
        <v>389</v>
      </c>
      <c r="B1390">
        <v>2017</v>
      </c>
      <c r="C1390" t="s">
        <v>13</v>
      </c>
      <c r="D1390">
        <v>277</v>
      </c>
      <c r="E1390">
        <v>203</v>
      </c>
      <c r="F1390">
        <v>28</v>
      </c>
      <c r="G1390">
        <v>4</v>
      </c>
      <c r="H1390">
        <v>6</v>
      </c>
      <c r="I1390">
        <v>11</v>
      </c>
      <c r="J1390">
        <v>136.44999999999999</v>
      </c>
      <c r="K1390">
        <v>46.17</v>
      </c>
      <c r="L1390">
        <f>_xlfn.XLOOKUP(C1390, dim_teams[team_name], dim_teams[team_id], "Not found", 0)</f>
        <v>11</v>
      </c>
    </row>
    <row r="1391" spans="1:12" x14ac:dyDescent="0.3">
      <c r="A1391" t="s">
        <v>389</v>
      </c>
      <c r="B1391">
        <v>2021</v>
      </c>
      <c r="C1391" t="s">
        <v>76</v>
      </c>
      <c r="D1391">
        <v>31</v>
      </c>
      <c r="E1391">
        <v>32</v>
      </c>
      <c r="F1391">
        <v>0</v>
      </c>
      <c r="G1391">
        <v>1</v>
      </c>
      <c r="H1391">
        <v>3</v>
      </c>
      <c r="I1391">
        <v>4</v>
      </c>
      <c r="J1391">
        <v>96.88</v>
      </c>
      <c r="K1391">
        <v>10.33</v>
      </c>
      <c r="L1391">
        <f>_xlfn.XLOOKUP(C1391, dim_teams[team_name], dim_teams[team_id], "Not found", 0)</f>
        <v>16</v>
      </c>
    </row>
    <row r="1392" spans="1:12" x14ac:dyDescent="0.3">
      <c r="A1392" t="s">
        <v>390</v>
      </c>
      <c r="B1392">
        <v>2013</v>
      </c>
      <c r="C1392" t="s">
        <v>32</v>
      </c>
      <c r="D1392">
        <v>125</v>
      </c>
      <c r="E1392">
        <v>128</v>
      </c>
      <c r="F1392">
        <v>11</v>
      </c>
      <c r="G1392">
        <v>1</v>
      </c>
      <c r="H1392">
        <v>7</v>
      </c>
      <c r="I1392">
        <v>7</v>
      </c>
      <c r="J1392">
        <v>97.66</v>
      </c>
      <c r="K1392">
        <v>17.86</v>
      </c>
      <c r="L1392">
        <f>_xlfn.XLOOKUP(C1392, dim_teams[team_name], dim_teams[team_id], "Not found", 0)</f>
        <v>6</v>
      </c>
    </row>
    <row r="1393" spans="1:12" x14ac:dyDescent="0.3">
      <c r="A1393" t="s">
        <v>391</v>
      </c>
      <c r="B1393">
        <v>2010</v>
      </c>
      <c r="C1393" t="s">
        <v>12</v>
      </c>
      <c r="D1393">
        <v>166</v>
      </c>
      <c r="E1393">
        <v>142</v>
      </c>
      <c r="F1393">
        <v>18</v>
      </c>
      <c r="G1393">
        <v>6</v>
      </c>
      <c r="H1393">
        <v>10</v>
      </c>
      <c r="I1393">
        <v>11</v>
      </c>
      <c r="J1393">
        <v>116.9</v>
      </c>
      <c r="K1393">
        <v>16.600000000000001</v>
      </c>
      <c r="L1393">
        <f>_xlfn.XLOOKUP(C1393, dim_teams[team_name], dim_teams[team_id], "Not found", 0)</f>
        <v>8</v>
      </c>
    </row>
    <row r="1394" spans="1:12" x14ac:dyDescent="0.3">
      <c r="A1394" t="s">
        <v>391</v>
      </c>
      <c r="B1394">
        <v>2011</v>
      </c>
      <c r="C1394" t="s">
        <v>37</v>
      </c>
      <c r="D1394">
        <v>67</v>
      </c>
      <c r="E1394">
        <v>60</v>
      </c>
      <c r="F1394">
        <v>5</v>
      </c>
      <c r="G1394">
        <v>2</v>
      </c>
      <c r="H1394">
        <v>4</v>
      </c>
      <c r="I1394">
        <v>5</v>
      </c>
      <c r="J1394">
        <v>111.67</v>
      </c>
      <c r="K1394">
        <v>16.75</v>
      </c>
      <c r="L1394">
        <f>_xlfn.XLOOKUP(C1394, dim_teams[team_name], dim_teams[team_id], "Not found", 0)</f>
        <v>10</v>
      </c>
    </row>
    <row r="1395" spans="1:12" x14ac:dyDescent="0.3">
      <c r="A1395" t="s">
        <v>391</v>
      </c>
      <c r="B1395">
        <v>2012</v>
      </c>
      <c r="C1395" t="s">
        <v>37</v>
      </c>
      <c r="D1395">
        <v>4</v>
      </c>
      <c r="E1395">
        <v>4</v>
      </c>
      <c r="F1395">
        <v>1</v>
      </c>
      <c r="G1395">
        <v>0</v>
      </c>
      <c r="H1395">
        <v>1</v>
      </c>
      <c r="I1395">
        <v>1</v>
      </c>
      <c r="J1395">
        <v>100</v>
      </c>
      <c r="K1395">
        <v>4</v>
      </c>
      <c r="L1395">
        <f>_xlfn.XLOOKUP(C1395, dim_teams[team_name], dim_teams[team_id], "Not found", 0)</f>
        <v>10</v>
      </c>
    </row>
    <row r="1396" spans="1:12" x14ac:dyDescent="0.3">
      <c r="A1396" t="s">
        <v>392</v>
      </c>
      <c r="B1396">
        <v>2023</v>
      </c>
      <c r="C1396" t="s">
        <v>29</v>
      </c>
      <c r="D1396">
        <v>26</v>
      </c>
      <c r="E1396">
        <v>26</v>
      </c>
      <c r="F1396">
        <v>2</v>
      </c>
      <c r="G1396">
        <v>1</v>
      </c>
      <c r="H1396">
        <v>2</v>
      </c>
      <c r="I1396">
        <v>3</v>
      </c>
      <c r="J1396">
        <v>100</v>
      </c>
      <c r="K1396">
        <v>13</v>
      </c>
      <c r="L1396">
        <f>_xlfn.XLOOKUP(C1396, dim_teams[team_name], dim_teams[team_id], "Not found", 0)</f>
        <v>18</v>
      </c>
    </row>
    <row r="1397" spans="1:12" x14ac:dyDescent="0.3">
      <c r="A1397" t="s">
        <v>393</v>
      </c>
      <c r="B1397">
        <v>2013</v>
      </c>
      <c r="C1397" t="s">
        <v>17</v>
      </c>
      <c r="D1397">
        <v>14</v>
      </c>
      <c r="E1397">
        <v>13</v>
      </c>
      <c r="F1397">
        <v>3</v>
      </c>
      <c r="G1397">
        <v>0</v>
      </c>
      <c r="H1397">
        <v>2</v>
      </c>
      <c r="I1397">
        <v>2</v>
      </c>
      <c r="J1397">
        <v>107.69</v>
      </c>
      <c r="K1397">
        <v>7</v>
      </c>
      <c r="L1397">
        <f>_xlfn.XLOOKUP(C1397, dim_teams[team_name], dim_teams[team_id], "Not found", 0)</f>
        <v>5</v>
      </c>
    </row>
    <row r="1398" spans="1:12" x14ac:dyDescent="0.3">
      <c r="A1398" t="s">
        <v>394</v>
      </c>
      <c r="B1398">
        <v>2008</v>
      </c>
      <c r="C1398" t="s">
        <v>25</v>
      </c>
      <c r="D1398">
        <v>168</v>
      </c>
      <c r="E1398">
        <v>100</v>
      </c>
      <c r="F1398">
        <v>12</v>
      </c>
      <c r="G1398">
        <v>11</v>
      </c>
      <c r="H1398">
        <v>3</v>
      </c>
      <c r="I1398">
        <v>3</v>
      </c>
      <c r="J1398">
        <v>168</v>
      </c>
      <c r="K1398">
        <v>56</v>
      </c>
      <c r="L1398">
        <f>_xlfn.XLOOKUP(C1398, dim_teams[team_name], dim_teams[team_id], "Not found", 0)</f>
        <v>3</v>
      </c>
    </row>
    <row r="1399" spans="1:12" x14ac:dyDescent="0.3">
      <c r="A1399" t="s">
        <v>394</v>
      </c>
      <c r="B1399">
        <v>2010</v>
      </c>
      <c r="C1399" t="s">
        <v>25</v>
      </c>
      <c r="D1399">
        <v>37</v>
      </c>
      <c r="E1399">
        <v>44</v>
      </c>
      <c r="F1399">
        <v>2</v>
      </c>
      <c r="G1399">
        <v>0</v>
      </c>
      <c r="H1399">
        <v>2</v>
      </c>
      <c r="I1399">
        <v>3</v>
      </c>
      <c r="J1399">
        <v>84.09</v>
      </c>
      <c r="K1399">
        <v>18.5</v>
      </c>
      <c r="L1399">
        <f>_xlfn.XLOOKUP(C1399, dim_teams[team_name], dim_teams[team_id], "Not found", 0)</f>
        <v>3</v>
      </c>
    </row>
    <row r="1400" spans="1:12" x14ac:dyDescent="0.3">
      <c r="A1400" t="s">
        <v>394</v>
      </c>
      <c r="B1400">
        <v>2011</v>
      </c>
      <c r="C1400" t="s">
        <v>25</v>
      </c>
      <c r="D1400">
        <v>492</v>
      </c>
      <c r="E1400">
        <v>413</v>
      </c>
      <c r="F1400">
        <v>53</v>
      </c>
      <c r="G1400">
        <v>6</v>
      </c>
      <c r="H1400">
        <v>12</v>
      </c>
      <c r="I1400">
        <v>14</v>
      </c>
      <c r="J1400">
        <v>119.13</v>
      </c>
      <c r="K1400">
        <v>41</v>
      </c>
      <c r="L1400">
        <f>_xlfn.XLOOKUP(C1400, dim_teams[team_name], dim_teams[team_id], "Not found", 0)</f>
        <v>3</v>
      </c>
    </row>
    <row r="1401" spans="1:12" x14ac:dyDescent="0.3">
      <c r="A1401" t="s">
        <v>394</v>
      </c>
      <c r="B1401">
        <v>2012</v>
      </c>
      <c r="C1401" t="s">
        <v>25</v>
      </c>
      <c r="D1401">
        <v>261</v>
      </c>
      <c r="E1401">
        <v>236</v>
      </c>
      <c r="F1401">
        <v>28</v>
      </c>
      <c r="G1401">
        <v>8</v>
      </c>
      <c r="H1401">
        <v>8</v>
      </c>
      <c r="I1401">
        <v>8</v>
      </c>
      <c r="J1401">
        <v>110.59</v>
      </c>
      <c r="K1401">
        <v>32.619999999999997</v>
      </c>
      <c r="L1401">
        <f>_xlfn.XLOOKUP(C1401, dim_teams[team_name], dim_teams[team_id], "Not found", 0)</f>
        <v>3</v>
      </c>
    </row>
    <row r="1402" spans="1:12" x14ac:dyDescent="0.3">
      <c r="A1402" t="s">
        <v>394</v>
      </c>
      <c r="B1402">
        <v>2013</v>
      </c>
      <c r="C1402" t="s">
        <v>25</v>
      </c>
      <c r="D1402">
        <v>733</v>
      </c>
      <c r="E1402">
        <v>565</v>
      </c>
      <c r="F1402">
        <v>81</v>
      </c>
      <c r="G1402">
        <v>17</v>
      </c>
      <c r="H1402">
        <v>15</v>
      </c>
      <c r="I1402">
        <v>17</v>
      </c>
      <c r="J1402">
        <v>129.72999999999999</v>
      </c>
      <c r="K1402">
        <v>48.87</v>
      </c>
      <c r="L1402">
        <f>_xlfn.XLOOKUP(C1402, dim_teams[team_name], dim_teams[team_id], "Not found", 0)</f>
        <v>3</v>
      </c>
    </row>
    <row r="1403" spans="1:12" x14ac:dyDescent="0.3">
      <c r="A1403" t="s">
        <v>394</v>
      </c>
      <c r="B1403">
        <v>2014</v>
      </c>
      <c r="C1403" t="s">
        <v>23</v>
      </c>
      <c r="D1403">
        <v>209</v>
      </c>
      <c r="E1403">
        <v>182</v>
      </c>
      <c r="F1403">
        <v>17</v>
      </c>
      <c r="G1403">
        <v>7</v>
      </c>
      <c r="H1403">
        <v>8</v>
      </c>
      <c r="I1403">
        <v>9</v>
      </c>
      <c r="J1403">
        <v>114.84</v>
      </c>
      <c r="K1403">
        <v>26.12</v>
      </c>
      <c r="L1403">
        <f>_xlfn.XLOOKUP(C1403, dim_teams[team_name], dim_teams[team_id], "Not found", 0)</f>
        <v>7</v>
      </c>
    </row>
    <row r="1404" spans="1:12" x14ac:dyDescent="0.3">
      <c r="A1404" t="s">
        <v>394</v>
      </c>
      <c r="B1404">
        <v>2015</v>
      </c>
      <c r="C1404" t="s">
        <v>25</v>
      </c>
      <c r="D1404">
        <v>77</v>
      </c>
      <c r="E1404">
        <v>70</v>
      </c>
      <c r="F1404">
        <v>5</v>
      </c>
      <c r="G1404">
        <v>3</v>
      </c>
      <c r="H1404">
        <v>4</v>
      </c>
      <c r="I1404">
        <v>4</v>
      </c>
      <c r="J1404">
        <v>110</v>
      </c>
      <c r="K1404">
        <v>19.25</v>
      </c>
      <c r="L1404">
        <f>_xlfn.XLOOKUP(C1404, dim_teams[team_name], dim_teams[team_id], "Not found", 0)</f>
        <v>3</v>
      </c>
    </row>
    <row r="1405" spans="1:12" x14ac:dyDescent="0.3">
      <c r="A1405" t="s">
        <v>395</v>
      </c>
      <c r="B1405">
        <v>2008</v>
      </c>
      <c r="C1405" t="s">
        <v>32</v>
      </c>
      <c r="D1405">
        <v>125</v>
      </c>
      <c r="E1405">
        <v>79</v>
      </c>
      <c r="F1405">
        <v>10</v>
      </c>
      <c r="G1405">
        <v>7</v>
      </c>
      <c r="H1405">
        <v>6</v>
      </c>
      <c r="I1405">
        <v>8</v>
      </c>
      <c r="J1405">
        <v>158.22999999999999</v>
      </c>
      <c r="K1405">
        <v>20.83</v>
      </c>
      <c r="L1405">
        <f>_xlfn.XLOOKUP(C1405, dim_teams[team_name], dim_teams[team_id], "Not found", 0)</f>
        <v>6</v>
      </c>
    </row>
    <row r="1406" spans="1:12" x14ac:dyDescent="0.3">
      <c r="A1406" t="s">
        <v>395</v>
      </c>
      <c r="B1406">
        <v>2009</v>
      </c>
      <c r="C1406" t="s">
        <v>32</v>
      </c>
      <c r="D1406">
        <v>21</v>
      </c>
      <c r="E1406">
        <v>21</v>
      </c>
      <c r="F1406">
        <v>0</v>
      </c>
      <c r="G1406">
        <v>0</v>
      </c>
      <c r="H1406">
        <v>1</v>
      </c>
      <c r="I1406">
        <v>2</v>
      </c>
      <c r="J1406">
        <v>100</v>
      </c>
      <c r="K1406">
        <v>21</v>
      </c>
      <c r="L1406">
        <f>_xlfn.XLOOKUP(C1406, dim_teams[team_name], dim_teams[team_id], "Not found", 0)</f>
        <v>6</v>
      </c>
    </row>
    <row r="1407" spans="1:12" x14ac:dyDescent="0.3">
      <c r="A1407" t="s">
        <v>395</v>
      </c>
      <c r="B1407">
        <v>2010</v>
      </c>
      <c r="C1407" t="s">
        <v>32</v>
      </c>
      <c r="D1407">
        <v>31</v>
      </c>
      <c r="E1407">
        <v>23</v>
      </c>
      <c r="F1407">
        <v>2</v>
      </c>
      <c r="G1407">
        <v>2</v>
      </c>
      <c r="H1407">
        <v>3</v>
      </c>
      <c r="I1407">
        <v>4</v>
      </c>
      <c r="J1407">
        <v>134.78</v>
      </c>
      <c r="K1407">
        <v>10.33</v>
      </c>
      <c r="L1407">
        <f>_xlfn.XLOOKUP(C1407, dim_teams[team_name], dim_teams[team_id], "Not found", 0)</f>
        <v>6</v>
      </c>
    </row>
    <row r="1408" spans="1:12" x14ac:dyDescent="0.3">
      <c r="A1408" t="s">
        <v>396</v>
      </c>
      <c r="B1408">
        <v>2023</v>
      </c>
      <c r="C1408" t="s">
        <v>21</v>
      </c>
      <c r="D1408">
        <v>58</v>
      </c>
      <c r="E1408">
        <v>47</v>
      </c>
      <c r="F1408">
        <v>6</v>
      </c>
      <c r="G1408">
        <v>1</v>
      </c>
      <c r="H1408">
        <v>2</v>
      </c>
      <c r="I1408">
        <v>4</v>
      </c>
      <c r="J1408">
        <v>123.4</v>
      </c>
      <c r="K1408">
        <v>29</v>
      </c>
      <c r="L1408">
        <f>_xlfn.XLOOKUP(C1408, dim_teams[team_name], dim_teams[team_id], "Not found", 0)</f>
        <v>2</v>
      </c>
    </row>
    <row r="1409" spans="1:12" x14ac:dyDescent="0.3">
      <c r="A1409" t="s">
        <v>397</v>
      </c>
      <c r="B1409">
        <v>2013</v>
      </c>
      <c r="C1409" t="s">
        <v>23</v>
      </c>
      <c r="D1409">
        <v>39</v>
      </c>
      <c r="E1409">
        <v>36</v>
      </c>
      <c r="F1409">
        <v>2</v>
      </c>
      <c r="G1409">
        <v>2</v>
      </c>
      <c r="H1409">
        <v>4</v>
      </c>
      <c r="I1409">
        <v>6</v>
      </c>
      <c r="J1409">
        <v>108.33</v>
      </c>
      <c r="K1409">
        <v>9.75</v>
      </c>
      <c r="L1409">
        <f>_xlfn.XLOOKUP(C1409, dim_teams[team_name], dim_teams[team_id], "Not found", 0)</f>
        <v>7</v>
      </c>
    </row>
    <row r="1410" spans="1:12" x14ac:dyDescent="0.3">
      <c r="A1410" t="s">
        <v>397</v>
      </c>
      <c r="B1410">
        <v>2014</v>
      </c>
      <c r="C1410" t="s">
        <v>54</v>
      </c>
      <c r="D1410">
        <v>56</v>
      </c>
      <c r="E1410">
        <v>50</v>
      </c>
      <c r="F1410">
        <v>4</v>
      </c>
      <c r="G1410">
        <v>3</v>
      </c>
      <c r="H1410">
        <v>3</v>
      </c>
      <c r="I1410">
        <v>8</v>
      </c>
      <c r="J1410">
        <v>112</v>
      </c>
      <c r="K1410">
        <v>18.670000000000002</v>
      </c>
      <c r="L1410">
        <f>_xlfn.XLOOKUP(C1410, dim_teams[team_name], dim_teams[team_id], "Not found", 0)</f>
        <v>4</v>
      </c>
    </row>
    <row r="1411" spans="1:12" x14ac:dyDescent="0.3">
      <c r="A1411" t="s">
        <v>397</v>
      </c>
      <c r="B1411">
        <v>2015</v>
      </c>
      <c r="C1411" t="s">
        <v>54</v>
      </c>
      <c r="D1411">
        <v>31</v>
      </c>
      <c r="E1411">
        <v>36</v>
      </c>
      <c r="F1411">
        <v>1</v>
      </c>
      <c r="G1411">
        <v>1</v>
      </c>
      <c r="H1411">
        <v>5</v>
      </c>
      <c r="I1411">
        <v>8</v>
      </c>
      <c r="J1411">
        <v>86.11</v>
      </c>
      <c r="K1411">
        <v>6.2</v>
      </c>
      <c r="L1411">
        <f>_xlfn.XLOOKUP(C1411, dim_teams[team_name], dim_teams[team_id], "Not found", 0)</f>
        <v>4</v>
      </c>
    </row>
    <row r="1412" spans="1:12" x14ac:dyDescent="0.3">
      <c r="A1412" t="s">
        <v>397</v>
      </c>
      <c r="B1412">
        <v>2016</v>
      </c>
      <c r="C1412" t="s">
        <v>54</v>
      </c>
      <c r="D1412">
        <v>5</v>
      </c>
      <c r="E1412">
        <v>14</v>
      </c>
      <c r="F1412">
        <v>0</v>
      </c>
      <c r="G1412">
        <v>0</v>
      </c>
      <c r="H1412">
        <v>2</v>
      </c>
      <c r="I1412">
        <v>2</v>
      </c>
      <c r="J1412">
        <v>35.71</v>
      </c>
      <c r="K1412">
        <v>2.5</v>
      </c>
      <c r="L1412">
        <f>_xlfn.XLOOKUP(C1412, dim_teams[team_name], dim_teams[team_id], "Not found", 0)</f>
        <v>4</v>
      </c>
    </row>
    <row r="1413" spans="1:12" x14ac:dyDescent="0.3">
      <c r="A1413" t="s">
        <v>397</v>
      </c>
      <c r="B1413">
        <v>2017</v>
      </c>
      <c r="C1413" t="s">
        <v>23</v>
      </c>
      <c r="D1413">
        <v>20</v>
      </c>
      <c r="E1413">
        <v>17</v>
      </c>
      <c r="F1413">
        <v>1</v>
      </c>
      <c r="G1413">
        <v>1</v>
      </c>
      <c r="H1413">
        <v>0</v>
      </c>
      <c r="I1413">
        <v>2</v>
      </c>
      <c r="J1413">
        <v>117.65</v>
      </c>
      <c r="L1413">
        <f>_xlfn.XLOOKUP(C1413, dim_teams[team_name], dim_teams[team_id], "Not found", 0)</f>
        <v>7</v>
      </c>
    </row>
    <row r="1414" spans="1:12" x14ac:dyDescent="0.3">
      <c r="A1414" t="s">
        <v>397</v>
      </c>
      <c r="B1414">
        <v>2018</v>
      </c>
      <c r="C1414" t="s">
        <v>19</v>
      </c>
      <c r="D1414">
        <v>16</v>
      </c>
      <c r="E1414">
        <v>10</v>
      </c>
      <c r="F1414">
        <v>2</v>
      </c>
      <c r="G1414">
        <v>0</v>
      </c>
      <c r="H1414">
        <v>0</v>
      </c>
      <c r="I1414">
        <v>2</v>
      </c>
      <c r="J1414">
        <v>160</v>
      </c>
      <c r="L1414">
        <f>_xlfn.XLOOKUP(C1414, dim_teams[team_name], dim_teams[team_id], "Not found", 0)</f>
        <v>1</v>
      </c>
    </row>
    <row r="1415" spans="1:12" x14ac:dyDescent="0.3">
      <c r="A1415" t="s">
        <v>398</v>
      </c>
      <c r="B1415">
        <v>2012</v>
      </c>
      <c r="C1415" t="s">
        <v>37</v>
      </c>
      <c r="D1415">
        <v>98</v>
      </c>
      <c r="E1415">
        <v>94</v>
      </c>
      <c r="F1415">
        <v>12</v>
      </c>
      <c r="G1415">
        <v>0</v>
      </c>
      <c r="H1415">
        <v>6</v>
      </c>
      <c r="I1415">
        <v>6</v>
      </c>
      <c r="J1415">
        <v>104.26</v>
      </c>
      <c r="K1415">
        <v>16.329999999999998</v>
      </c>
      <c r="L1415">
        <f>_xlfn.XLOOKUP(C1415, dim_teams[team_name], dim_teams[team_id], "Not found", 0)</f>
        <v>10</v>
      </c>
    </row>
    <row r="1416" spans="1:12" x14ac:dyDescent="0.3">
      <c r="A1416" t="s">
        <v>399</v>
      </c>
      <c r="B1416">
        <v>2016</v>
      </c>
      <c r="C1416" t="s">
        <v>23</v>
      </c>
      <c r="D1416">
        <v>57</v>
      </c>
      <c r="E1416">
        <v>55</v>
      </c>
      <c r="F1416">
        <v>3</v>
      </c>
      <c r="G1416">
        <v>3</v>
      </c>
      <c r="H1416">
        <v>3</v>
      </c>
      <c r="I1416">
        <v>3</v>
      </c>
      <c r="J1416">
        <v>103.64</v>
      </c>
      <c r="K1416">
        <v>19</v>
      </c>
      <c r="L1416">
        <f>_xlfn.XLOOKUP(C1416, dim_teams[team_name], dim_teams[team_id], "Not found", 0)</f>
        <v>7</v>
      </c>
    </row>
    <row r="1417" spans="1:12" x14ac:dyDescent="0.3">
      <c r="A1417" t="s">
        <v>399</v>
      </c>
      <c r="B1417">
        <v>2017</v>
      </c>
      <c r="C1417" t="s">
        <v>54</v>
      </c>
      <c r="D1417">
        <v>132</v>
      </c>
      <c r="E1417">
        <v>87</v>
      </c>
      <c r="F1417">
        <v>17</v>
      </c>
      <c r="G1417">
        <v>5</v>
      </c>
      <c r="H1417">
        <v>6</v>
      </c>
      <c r="I1417">
        <v>7</v>
      </c>
      <c r="J1417">
        <v>151.72</v>
      </c>
      <c r="K1417">
        <v>22</v>
      </c>
      <c r="L1417">
        <f>_xlfn.XLOOKUP(C1417, dim_teams[team_name], dim_teams[team_id], "Not found", 0)</f>
        <v>4</v>
      </c>
    </row>
    <row r="1418" spans="1:12" x14ac:dyDescent="0.3">
      <c r="A1418" t="s">
        <v>399</v>
      </c>
      <c r="B1418">
        <v>2019</v>
      </c>
      <c r="C1418" t="s">
        <v>13</v>
      </c>
      <c r="D1418">
        <v>82</v>
      </c>
      <c r="E1418">
        <v>54</v>
      </c>
      <c r="F1418">
        <v>4</v>
      </c>
      <c r="G1418">
        <v>7</v>
      </c>
      <c r="H1418">
        <v>3</v>
      </c>
      <c r="I1418">
        <v>3</v>
      </c>
      <c r="J1418">
        <v>151.85</v>
      </c>
      <c r="K1418">
        <v>27.33</v>
      </c>
      <c r="L1418">
        <f>_xlfn.XLOOKUP(C1418, dim_teams[team_name], dim_teams[team_id], "Not found", 0)</f>
        <v>11</v>
      </c>
    </row>
    <row r="1419" spans="1:12" x14ac:dyDescent="0.3">
      <c r="A1419" t="s">
        <v>400</v>
      </c>
      <c r="B1419">
        <v>2010</v>
      </c>
      <c r="C1419" t="s">
        <v>17</v>
      </c>
      <c r="D1419">
        <v>278</v>
      </c>
      <c r="E1419">
        <v>189</v>
      </c>
      <c r="F1419">
        <v>45</v>
      </c>
      <c r="G1419">
        <v>6</v>
      </c>
      <c r="H1419">
        <v>9</v>
      </c>
      <c r="I1419">
        <v>11</v>
      </c>
      <c r="J1419">
        <v>147.09</v>
      </c>
      <c r="K1419">
        <v>30.89</v>
      </c>
      <c r="L1419">
        <f>_xlfn.XLOOKUP(C1419, dim_teams[team_name], dim_teams[team_id], "Not found", 0)</f>
        <v>5</v>
      </c>
    </row>
    <row r="1420" spans="1:12" x14ac:dyDescent="0.3">
      <c r="A1420" t="s">
        <v>400</v>
      </c>
      <c r="B1420">
        <v>2011</v>
      </c>
      <c r="C1420" t="s">
        <v>12</v>
      </c>
      <c r="D1420">
        <v>0</v>
      </c>
      <c r="E1420">
        <v>2</v>
      </c>
      <c r="F1420">
        <v>0</v>
      </c>
      <c r="G1420">
        <v>0</v>
      </c>
      <c r="H1420">
        <v>1</v>
      </c>
      <c r="I1420">
        <v>1</v>
      </c>
      <c r="J1420">
        <v>0</v>
      </c>
      <c r="K1420">
        <v>0</v>
      </c>
      <c r="L1420">
        <f>_xlfn.XLOOKUP(C1420, dim_teams[team_name], dim_teams[team_id], "Not found", 0)</f>
        <v>8</v>
      </c>
    </row>
    <row r="1421" spans="1:12" x14ac:dyDescent="0.3">
      <c r="A1421" t="s">
        <v>401</v>
      </c>
      <c r="B1421">
        <v>2015</v>
      </c>
      <c r="C1421" t="s">
        <v>23</v>
      </c>
      <c r="D1421">
        <v>13</v>
      </c>
      <c r="E1421">
        <v>6</v>
      </c>
      <c r="F1421">
        <v>0</v>
      </c>
      <c r="G1421">
        <v>2</v>
      </c>
      <c r="H1421">
        <v>1</v>
      </c>
      <c r="I1421">
        <v>3</v>
      </c>
      <c r="J1421">
        <v>216.67</v>
      </c>
      <c r="K1421">
        <v>13</v>
      </c>
      <c r="L1421">
        <f>_xlfn.XLOOKUP(C1421, dim_teams[team_name], dim_teams[team_id], "Not found", 0)</f>
        <v>7</v>
      </c>
    </row>
    <row r="1422" spans="1:12" x14ac:dyDescent="0.3">
      <c r="A1422" t="s">
        <v>401</v>
      </c>
      <c r="B1422">
        <v>2016</v>
      </c>
      <c r="C1422" t="s">
        <v>23</v>
      </c>
      <c r="D1422">
        <v>34</v>
      </c>
      <c r="E1422">
        <v>23</v>
      </c>
      <c r="F1422">
        <v>2</v>
      </c>
      <c r="G1422">
        <v>3</v>
      </c>
      <c r="H1422">
        <v>3</v>
      </c>
      <c r="I1422">
        <v>4</v>
      </c>
      <c r="J1422">
        <v>147.83000000000001</v>
      </c>
      <c r="K1422">
        <v>11.33</v>
      </c>
      <c r="L1422">
        <f>_xlfn.XLOOKUP(C1422, dim_teams[team_name], dim_teams[team_id], "Not found", 0)</f>
        <v>7</v>
      </c>
    </row>
    <row r="1423" spans="1:12" x14ac:dyDescent="0.3">
      <c r="A1423" t="s">
        <v>401</v>
      </c>
      <c r="B1423">
        <v>2017</v>
      </c>
      <c r="C1423" t="s">
        <v>23</v>
      </c>
      <c r="D1423">
        <v>16</v>
      </c>
      <c r="E1423">
        <v>15</v>
      </c>
      <c r="F1423">
        <v>0</v>
      </c>
      <c r="G1423">
        <v>1</v>
      </c>
      <c r="H1423">
        <v>3</v>
      </c>
      <c r="I1423">
        <v>5</v>
      </c>
      <c r="J1423">
        <v>106.67</v>
      </c>
      <c r="K1423">
        <v>5.33</v>
      </c>
      <c r="L1423">
        <f>_xlfn.XLOOKUP(C1423, dim_teams[team_name], dim_teams[team_id], "Not found", 0)</f>
        <v>7</v>
      </c>
    </row>
    <row r="1424" spans="1:12" x14ac:dyDescent="0.3">
      <c r="A1424" t="s">
        <v>401</v>
      </c>
      <c r="B1424">
        <v>2018</v>
      </c>
      <c r="C1424" t="s">
        <v>23</v>
      </c>
      <c r="D1424">
        <v>11</v>
      </c>
      <c r="E1424">
        <v>9</v>
      </c>
      <c r="F1424">
        <v>1</v>
      </c>
      <c r="G1424">
        <v>1</v>
      </c>
      <c r="H1424">
        <v>2</v>
      </c>
      <c r="I1424">
        <v>4</v>
      </c>
      <c r="J1424">
        <v>122.22</v>
      </c>
      <c r="K1424">
        <v>5.5</v>
      </c>
      <c r="L1424">
        <f>_xlfn.XLOOKUP(C1424, dim_teams[team_name], dim_teams[team_id], "Not found", 0)</f>
        <v>7</v>
      </c>
    </row>
    <row r="1425" spans="1:12" x14ac:dyDescent="0.3">
      <c r="A1425" t="s">
        <v>401</v>
      </c>
      <c r="B1425">
        <v>2019</v>
      </c>
      <c r="C1425" t="s">
        <v>23</v>
      </c>
      <c r="D1425">
        <v>11</v>
      </c>
      <c r="E1425">
        <v>16</v>
      </c>
      <c r="F1425">
        <v>2</v>
      </c>
      <c r="G1425">
        <v>0</v>
      </c>
      <c r="H1425">
        <v>2</v>
      </c>
      <c r="I1425">
        <v>4</v>
      </c>
      <c r="J1425">
        <v>68.75</v>
      </c>
      <c r="K1425">
        <v>5.5</v>
      </c>
      <c r="L1425">
        <f>_xlfn.XLOOKUP(C1425, dim_teams[team_name], dim_teams[team_id], "Not found", 0)</f>
        <v>7</v>
      </c>
    </row>
    <row r="1426" spans="1:12" x14ac:dyDescent="0.3">
      <c r="A1426" t="s">
        <v>402</v>
      </c>
      <c r="B1426">
        <v>2025</v>
      </c>
      <c r="C1426" t="s">
        <v>76</v>
      </c>
      <c r="D1426">
        <v>0</v>
      </c>
      <c r="E1426">
        <v>2</v>
      </c>
      <c r="F1426">
        <v>0</v>
      </c>
      <c r="G1426">
        <v>0</v>
      </c>
      <c r="H1426">
        <v>1</v>
      </c>
      <c r="I1426">
        <v>1</v>
      </c>
      <c r="J1426">
        <v>0</v>
      </c>
      <c r="K1426">
        <v>0</v>
      </c>
      <c r="L1426">
        <f>_xlfn.XLOOKUP(C1426, dim_teams[team_name], dim_teams[team_id], "Not found", 0)</f>
        <v>16</v>
      </c>
    </row>
    <row r="1427" spans="1:12" x14ac:dyDescent="0.3">
      <c r="A1427" t="s">
        <v>403</v>
      </c>
      <c r="B1427">
        <v>2019</v>
      </c>
      <c r="C1427" t="s">
        <v>25</v>
      </c>
      <c r="D1427">
        <v>32</v>
      </c>
      <c r="E1427">
        <v>22</v>
      </c>
      <c r="F1427">
        <v>0</v>
      </c>
      <c r="G1427">
        <v>3</v>
      </c>
      <c r="H1427">
        <v>1</v>
      </c>
      <c r="I1427">
        <v>2</v>
      </c>
      <c r="J1427">
        <v>145.44999999999999</v>
      </c>
      <c r="K1427">
        <v>32</v>
      </c>
      <c r="L1427">
        <f>_xlfn.XLOOKUP(C1427, dim_teams[team_name], dim_teams[team_id], "Not found", 0)</f>
        <v>3</v>
      </c>
    </row>
    <row r="1428" spans="1:12" x14ac:dyDescent="0.3">
      <c r="A1428" t="s">
        <v>403</v>
      </c>
      <c r="B1428">
        <v>2022</v>
      </c>
      <c r="C1428" t="s">
        <v>25</v>
      </c>
      <c r="D1428">
        <v>22</v>
      </c>
      <c r="E1428">
        <v>27</v>
      </c>
      <c r="F1428">
        <v>3</v>
      </c>
      <c r="G1428">
        <v>0</v>
      </c>
      <c r="H1428">
        <v>2</v>
      </c>
      <c r="I1428">
        <v>4</v>
      </c>
      <c r="J1428">
        <v>81.48</v>
      </c>
      <c r="K1428">
        <v>11</v>
      </c>
      <c r="L1428">
        <f>_xlfn.XLOOKUP(C1428, dim_teams[team_name], dim_teams[team_id], "Not found", 0)</f>
        <v>3</v>
      </c>
    </row>
    <row r="1429" spans="1:12" x14ac:dyDescent="0.3">
      <c r="A1429" t="s">
        <v>403</v>
      </c>
      <c r="B1429">
        <v>2023</v>
      </c>
      <c r="C1429" t="s">
        <v>25</v>
      </c>
      <c r="D1429">
        <v>2</v>
      </c>
      <c r="E1429">
        <v>4</v>
      </c>
      <c r="F1429">
        <v>0</v>
      </c>
      <c r="G1429">
        <v>0</v>
      </c>
      <c r="H1429">
        <v>0</v>
      </c>
      <c r="I1429">
        <v>2</v>
      </c>
      <c r="J1429">
        <v>50</v>
      </c>
      <c r="L1429">
        <f>_xlfn.XLOOKUP(C1429, dim_teams[team_name], dim_teams[team_id], "Not found", 0)</f>
        <v>3</v>
      </c>
    </row>
    <row r="1430" spans="1:12" x14ac:dyDescent="0.3">
      <c r="A1430" t="s">
        <v>403</v>
      </c>
      <c r="B1430">
        <v>2024</v>
      </c>
      <c r="C1430" t="s">
        <v>25</v>
      </c>
      <c r="D1430">
        <v>14</v>
      </c>
      <c r="E1430">
        <v>17</v>
      </c>
      <c r="F1430">
        <v>1</v>
      </c>
      <c r="G1430">
        <v>0</v>
      </c>
      <c r="H1430">
        <v>3</v>
      </c>
      <c r="I1430">
        <v>3</v>
      </c>
      <c r="J1430">
        <v>82.35</v>
      </c>
      <c r="K1430">
        <v>4.67</v>
      </c>
      <c r="L1430">
        <f>_xlfn.XLOOKUP(C1430, dim_teams[team_name], dim_teams[team_id], "Not found", 0)</f>
        <v>3</v>
      </c>
    </row>
    <row r="1431" spans="1:12" x14ac:dyDescent="0.3">
      <c r="A1431" t="s">
        <v>403</v>
      </c>
      <c r="B1431">
        <v>2025</v>
      </c>
      <c r="C1431" t="s">
        <v>23</v>
      </c>
      <c r="D1431">
        <v>40</v>
      </c>
      <c r="E1431">
        <v>33</v>
      </c>
      <c r="F1431">
        <v>2</v>
      </c>
      <c r="G1431">
        <v>3</v>
      </c>
      <c r="H1431">
        <v>2</v>
      </c>
      <c r="I1431">
        <v>8</v>
      </c>
      <c r="J1431">
        <v>121.21</v>
      </c>
      <c r="K1431">
        <v>20</v>
      </c>
      <c r="L1431">
        <f>_xlfn.XLOOKUP(C1431, dim_teams[team_name], dim_teams[team_id], "Not found", 0)</f>
        <v>7</v>
      </c>
    </row>
    <row r="1432" spans="1:12" x14ac:dyDescent="0.3">
      <c r="A1432" t="s">
        <v>404</v>
      </c>
      <c r="B1432">
        <v>2024</v>
      </c>
      <c r="C1432" t="s">
        <v>29</v>
      </c>
      <c r="D1432">
        <v>1</v>
      </c>
      <c r="E1432">
        <v>2</v>
      </c>
      <c r="F1432">
        <v>0</v>
      </c>
      <c r="G1432">
        <v>0</v>
      </c>
      <c r="H1432">
        <v>1</v>
      </c>
      <c r="I1432">
        <v>1</v>
      </c>
      <c r="J1432">
        <v>50</v>
      </c>
      <c r="K1432">
        <v>1</v>
      </c>
      <c r="L1432">
        <f>_xlfn.XLOOKUP(C1432, dim_teams[team_name], dim_teams[team_id], "Not found", 0)</f>
        <v>18</v>
      </c>
    </row>
    <row r="1433" spans="1:12" x14ac:dyDescent="0.3">
      <c r="A1433" t="s">
        <v>405</v>
      </c>
      <c r="B1433">
        <v>2018</v>
      </c>
      <c r="C1433" t="s">
        <v>17</v>
      </c>
      <c r="D1433">
        <v>20</v>
      </c>
      <c r="E1433">
        <v>21</v>
      </c>
      <c r="F1433">
        <v>1</v>
      </c>
      <c r="G1433">
        <v>0</v>
      </c>
      <c r="H1433">
        <v>1</v>
      </c>
      <c r="I1433">
        <v>2</v>
      </c>
      <c r="J1433">
        <v>95.24</v>
      </c>
      <c r="K1433">
        <v>20</v>
      </c>
      <c r="L1433">
        <f>_xlfn.XLOOKUP(C1433, dim_teams[team_name], dim_teams[team_id], "Not found", 0)</f>
        <v>5</v>
      </c>
    </row>
    <row r="1434" spans="1:12" x14ac:dyDescent="0.3">
      <c r="A1434" t="s">
        <v>405</v>
      </c>
      <c r="B1434">
        <v>2019</v>
      </c>
      <c r="C1434" t="s">
        <v>17</v>
      </c>
      <c r="D1434">
        <v>8</v>
      </c>
      <c r="E1434">
        <v>3</v>
      </c>
      <c r="F1434">
        <v>2</v>
      </c>
      <c r="G1434">
        <v>0</v>
      </c>
      <c r="H1434">
        <v>1</v>
      </c>
      <c r="I1434">
        <v>1</v>
      </c>
      <c r="J1434">
        <v>266.67</v>
      </c>
      <c r="K1434">
        <v>8</v>
      </c>
      <c r="L1434">
        <f>_xlfn.XLOOKUP(C1434, dim_teams[team_name], dim_teams[team_id], "Not found", 0)</f>
        <v>5</v>
      </c>
    </row>
    <row r="1435" spans="1:12" x14ac:dyDescent="0.3">
      <c r="A1435" t="s">
        <v>405</v>
      </c>
      <c r="B1435">
        <v>2020</v>
      </c>
      <c r="C1435" t="s">
        <v>17</v>
      </c>
      <c r="D1435">
        <v>59</v>
      </c>
      <c r="E1435">
        <v>54</v>
      </c>
      <c r="F1435">
        <v>2</v>
      </c>
      <c r="G1435">
        <v>3</v>
      </c>
      <c r="H1435">
        <v>3</v>
      </c>
      <c r="I1435">
        <v>3</v>
      </c>
      <c r="J1435">
        <v>109.26</v>
      </c>
      <c r="K1435">
        <v>19.670000000000002</v>
      </c>
      <c r="L1435">
        <f>_xlfn.XLOOKUP(C1435, dim_teams[team_name], dim_teams[team_id], "Not found", 0)</f>
        <v>5</v>
      </c>
    </row>
    <row r="1436" spans="1:12" x14ac:dyDescent="0.3">
      <c r="A1436" t="s">
        <v>405</v>
      </c>
      <c r="B1436">
        <v>2021</v>
      </c>
      <c r="C1436" t="s">
        <v>17</v>
      </c>
      <c r="D1436">
        <v>94</v>
      </c>
      <c r="E1436">
        <v>73</v>
      </c>
      <c r="F1436">
        <v>3</v>
      </c>
      <c r="G1436">
        <v>6</v>
      </c>
      <c r="H1436">
        <v>3</v>
      </c>
      <c r="I1436">
        <v>4</v>
      </c>
      <c r="J1436">
        <v>128.77000000000001</v>
      </c>
      <c r="K1436">
        <v>31.33</v>
      </c>
      <c r="L1436">
        <f>_xlfn.XLOOKUP(C1436, dim_teams[team_name], dim_teams[team_id], "Not found", 0)</f>
        <v>5</v>
      </c>
    </row>
    <row r="1437" spans="1:12" x14ac:dyDescent="0.3">
      <c r="A1437" t="s">
        <v>405</v>
      </c>
      <c r="B1437">
        <v>2022</v>
      </c>
      <c r="C1437" t="s">
        <v>21</v>
      </c>
      <c r="D1437">
        <v>86</v>
      </c>
      <c r="E1437">
        <v>57</v>
      </c>
      <c r="F1437">
        <v>7</v>
      </c>
      <c r="G1437">
        <v>4</v>
      </c>
      <c r="H1437">
        <v>5</v>
      </c>
      <c r="I1437">
        <v>5</v>
      </c>
      <c r="J1437">
        <v>150.88</v>
      </c>
      <c r="K1437">
        <v>17.2</v>
      </c>
      <c r="L1437">
        <f>_xlfn.XLOOKUP(C1437, dim_teams[team_name], dim_teams[team_id], "Not found", 0)</f>
        <v>2</v>
      </c>
    </row>
    <row r="1438" spans="1:12" x14ac:dyDescent="0.3">
      <c r="A1438" t="s">
        <v>405</v>
      </c>
      <c r="B1438">
        <v>2023</v>
      </c>
      <c r="C1438" t="s">
        <v>21</v>
      </c>
      <c r="D1438">
        <v>135</v>
      </c>
      <c r="E1438">
        <v>96</v>
      </c>
      <c r="F1438">
        <v>9</v>
      </c>
      <c r="G1438">
        <v>8</v>
      </c>
      <c r="H1438">
        <v>8</v>
      </c>
      <c r="I1438">
        <v>10</v>
      </c>
      <c r="J1438">
        <v>140.62</v>
      </c>
      <c r="K1438">
        <v>16.88</v>
      </c>
      <c r="L1438">
        <f>_xlfn.XLOOKUP(C1438, dim_teams[team_name], dim_teams[team_id], "Not found", 0)</f>
        <v>2</v>
      </c>
    </row>
    <row r="1439" spans="1:12" x14ac:dyDescent="0.3">
      <c r="A1439" t="s">
        <v>405</v>
      </c>
      <c r="B1439">
        <v>2024</v>
      </c>
      <c r="C1439" t="s">
        <v>102</v>
      </c>
      <c r="D1439">
        <v>125</v>
      </c>
      <c r="E1439">
        <v>68</v>
      </c>
      <c r="F1439">
        <v>9</v>
      </c>
      <c r="G1439">
        <v>9</v>
      </c>
      <c r="H1439">
        <v>9</v>
      </c>
      <c r="I1439">
        <v>10</v>
      </c>
      <c r="J1439">
        <v>183.82</v>
      </c>
      <c r="K1439">
        <v>13.89</v>
      </c>
      <c r="L1439">
        <f>_xlfn.XLOOKUP(C1439, dim_teams[team_name], dim_teams[team_id], "Not found", 0)</f>
        <v>19</v>
      </c>
    </row>
    <row r="1440" spans="1:12" x14ac:dyDescent="0.3">
      <c r="A1440" t="s">
        <v>406</v>
      </c>
      <c r="B1440">
        <v>2008</v>
      </c>
      <c r="C1440" t="s">
        <v>23</v>
      </c>
      <c r="D1440">
        <v>3</v>
      </c>
      <c r="E1440">
        <v>9</v>
      </c>
      <c r="F1440">
        <v>0</v>
      </c>
      <c r="G1440">
        <v>0</v>
      </c>
      <c r="H1440">
        <v>2</v>
      </c>
      <c r="I1440">
        <v>2</v>
      </c>
      <c r="J1440">
        <v>33.33</v>
      </c>
      <c r="K1440">
        <v>1.5</v>
      </c>
      <c r="L1440">
        <f>_xlfn.XLOOKUP(C1440, dim_teams[team_name], dim_teams[team_id], "Not found", 0)</f>
        <v>7</v>
      </c>
    </row>
    <row r="1441" spans="1:12" x14ac:dyDescent="0.3">
      <c r="A1441" t="s">
        <v>406</v>
      </c>
      <c r="B1441">
        <v>2009</v>
      </c>
      <c r="C1441" t="s">
        <v>21</v>
      </c>
      <c r="D1441">
        <v>168</v>
      </c>
      <c r="E1441">
        <v>117</v>
      </c>
      <c r="F1441">
        <v>17</v>
      </c>
      <c r="G1441">
        <v>4</v>
      </c>
      <c r="H1441">
        <v>2</v>
      </c>
      <c r="I1441">
        <v>4</v>
      </c>
      <c r="J1441">
        <v>143.59</v>
      </c>
      <c r="K1441">
        <v>84</v>
      </c>
      <c r="L1441">
        <f>_xlfn.XLOOKUP(C1441, dim_teams[team_name], dim_teams[team_id], "Not found", 0)</f>
        <v>2</v>
      </c>
    </row>
    <row r="1442" spans="1:12" x14ac:dyDescent="0.3">
      <c r="A1442" t="s">
        <v>406</v>
      </c>
      <c r="B1442">
        <v>2010</v>
      </c>
      <c r="C1442" t="s">
        <v>21</v>
      </c>
      <c r="D1442">
        <v>249</v>
      </c>
      <c r="E1442">
        <v>225</v>
      </c>
      <c r="F1442">
        <v>27</v>
      </c>
      <c r="G1442">
        <v>7</v>
      </c>
      <c r="H1442">
        <v>11</v>
      </c>
      <c r="I1442">
        <v>13</v>
      </c>
      <c r="J1442">
        <v>110.67</v>
      </c>
      <c r="K1442">
        <v>22.64</v>
      </c>
      <c r="L1442">
        <f>_xlfn.XLOOKUP(C1442, dim_teams[team_name], dim_teams[team_id], "Not found", 0)</f>
        <v>2</v>
      </c>
    </row>
    <row r="1443" spans="1:12" x14ac:dyDescent="0.3">
      <c r="A1443" t="s">
        <v>406</v>
      </c>
      <c r="B1443">
        <v>2011</v>
      </c>
      <c r="C1443" t="s">
        <v>37</v>
      </c>
      <c r="D1443">
        <v>246</v>
      </c>
      <c r="E1443">
        <v>227</v>
      </c>
      <c r="F1443">
        <v>28</v>
      </c>
      <c r="G1443">
        <v>6</v>
      </c>
      <c r="H1443">
        <v>10</v>
      </c>
      <c r="I1443">
        <v>9</v>
      </c>
      <c r="J1443">
        <v>108.37</v>
      </c>
      <c r="K1443">
        <v>24.6</v>
      </c>
      <c r="L1443">
        <f>_xlfn.XLOOKUP(C1443, dim_teams[team_name], dim_teams[team_id], "Not found", 0)</f>
        <v>10</v>
      </c>
    </row>
    <row r="1444" spans="1:12" x14ac:dyDescent="0.3">
      <c r="A1444" t="s">
        <v>406</v>
      </c>
      <c r="B1444">
        <v>2012</v>
      </c>
      <c r="C1444" t="s">
        <v>37</v>
      </c>
      <c r="D1444">
        <v>143</v>
      </c>
      <c r="E1444">
        <v>110</v>
      </c>
      <c r="F1444">
        <v>12</v>
      </c>
      <c r="G1444">
        <v>6</v>
      </c>
      <c r="H1444">
        <v>7</v>
      </c>
      <c r="I1444">
        <v>9</v>
      </c>
      <c r="J1444">
        <v>130</v>
      </c>
      <c r="K1444">
        <v>20.43</v>
      </c>
      <c r="L1444">
        <f>_xlfn.XLOOKUP(C1444, dim_teams[team_name], dim_teams[team_id], "Not found", 0)</f>
        <v>10</v>
      </c>
    </row>
    <row r="1445" spans="1:12" x14ac:dyDescent="0.3">
      <c r="A1445" t="s">
        <v>406</v>
      </c>
      <c r="B1445">
        <v>2013</v>
      </c>
      <c r="C1445" t="s">
        <v>37</v>
      </c>
      <c r="D1445">
        <v>136</v>
      </c>
      <c r="E1445">
        <v>137</v>
      </c>
      <c r="F1445">
        <v>11</v>
      </c>
      <c r="G1445">
        <v>3</v>
      </c>
      <c r="H1445">
        <v>6</v>
      </c>
      <c r="I1445">
        <v>7</v>
      </c>
      <c r="J1445">
        <v>99.27</v>
      </c>
      <c r="K1445">
        <v>22.67</v>
      </c>
      <c r="L1445">
        <f>_xlfn.XLOOKUP(C1445, dim_teams[team_name], dim_teams[team_id], "Not found", 0)</f>
        <v>10</v>
      </c>
    </row>
    <row r="1446" spans="1:12" x14ac:dyDescent="0.3">
      <c r="A1446" t="s">
        <v>406</v>
      </c>
      <c r="B1446">
        <v>2014</v>
      </c>
      <c r="C1446" t="s">
        <v>19</v>
      </c>
      <c r="D1446">
        <v>409</v>
      </c>
      <c r="E1446">
        <v>343</v>
      </c>
      <c r="F1446">
        <v>35</v>
      </c>
      <c r="G1446">
        <v>11</v>
      </c>
      <c r="H1446">
        <v>13</v>
      </c>
      <c r="I1446">
        <v>16</v>
      </c>
      <c r="J1446">
        <v>119.24</v>
      </c>
      <c r="K1446">
        <v>31.46</v>
      </c>
      <c r="L1446">
        <f>_xlfn.XLOOKUP(C1446, dim_teams[team_name], dim_teams[team_id], "Not found", 0)</f>
        <v>1</v>
      </c>
    </row>
    <row r="1447" spans="1:12" x14ac:dyDescent="0.3">
      <c r="A1447" t="s">
        <v>406</v>
      </c>
      <c r="B1447">
        <v>2015</v>
      </c>
      <c r="C1447" t="s">
        <v>19</v>
      </c>
      <c r="D1447">
        <v>225</v>
      </c>
      <c r="E1447">
        <v>184</v>
      </c>
      <c r="F1447">
        <v>22</v>
      </c>
      <c r="G1447">
        <v>7</v>
      </c>
      <c r="H1447">
        <v>10</v>
      </c>
      <c r="I1447">
        <v>12</v>
      </c>
      <c r="J1447">
        <v>122.28</v>
      </c>
      <c r="K1447">
        <v>22.5</v>
      </c>
      <c r="L1447">
        <f>_xlfn.XLOOKUP(C1447, dim_teams[team_name], dim_teams[team_id], "Not found", 0)</f>
        <v>1</v>
      </c>
    </row>
    <row r="1448" spans="1:12" x14ac:dyDescent="0.3">
      <c r="A1448" t="s">
        <v>406</v>
      </c>
      <c r="B1448">
        <v>2016</v>
      </c>
      <c r="C1448" t="s">
        <v>19</v>
      </c>
      <c r="D1448">
        <v>248</v>
      </c>
      <c r="E1448">
        <v>183</v>
      </c>
      <c r="F1448">
        <v>17</v>
      </c>
      <c r="G1448">
        <v>9</v>
      </c>
      <c r="H1448">
        <v>8</v>
      </c>
      <c r="I1448">
        <v>11</v>
      </c>
      <c r="J1448">
        <v>135.52000000000001</v>
      </c>
      <c r="K1448">
        <v>31</v>
      </c>
      <c r="L1448">
        <f>_xlfn.XLOOKUP(C1448, dim_teams[team_name], dim_teams[team_id], "Not found", 0)</f>
        <v>1</v>
      </c>
    </row>
    <row r="1449" spans="1:12" x14ac:dyDescent="0.3">
      <c r="A1449" t="s">
        <v>406</v>
      </c>
      <c r="B1449">
        <v>2017</v>
      </c>
      <c r="C1449" t="s">
        <v>19</v>
      </c>
      <c r="D1449">
        <v>396</v>
      </c>
      <c r="E1449">
        <v>306</v>
      </c>
      <c r="F1449">
        <v>28</v>
      </c>
      <c r="G1449">
        <v>12</v>
      </c>
      <c r="H1449">
        <v>8</v>
      </c>
      <c r="I1449">
        <v>12</v>
      </c>
      <c r="J1449">
        <v>129.41</v>
      </c>
      <c r="K1449">
        <v>49.5</v>
      </c>
      <c r="L1449">
        <f>_xlfn.XLOOKUP(C1449, dim_teams[team_name], dim_teams[team_id], "Not found", 0)</f>
        <v>1</v>
      </c>
    </row>
    <row r="1450" spans="1:12" x14ac:dyDescent="0.3">
      <c r="A1450" t="s">
        <v>406</v>
      </c>
      <c r="B1450">
        <v>2018</v>
      </c>
      <c r="C1450" t="s">
        <v>13</v>
      </c>
      <c r="D1450">
        <v>284</v>
      </c>
      <c r="E1450">
        <v>246</v>
      </c>
      <c r="F1450">
        <v>22</v>
      </c>
      <c r="G1450">
        <v>5</v>
      </c>
      <c r="H1450">
        <v>11</v>
      </c>
      <c r="I1450">
        <v>13</v>
      </c>
      <c r="J1450">
        <v>115.45</v>
      </c>
      <c r="K1450">
        <v>25.82</v>
      </c>
      <c r="L1450">
        <f>_xlfn.XLOOKUP(C1450, dim_teams[team_name], dim_teams[team_id], "Not found", 0)</f>
        <v>11</v>
      </c>
    </row>
    <row r="1451" spans="1:12" x14ac:dyDescent="0.3">
      <c r="A1451" t="s">
        <v>406</v>
      </c>
      <c r="B1451">
        <v>2019</v>
      </c>
      <c r="C1451" t="s">
        <v>13</v>
      </c>
      <c r="D1451">
        <v>345</v>
      </c>
      <c r="E1451">
        <v>264</v>
      </c>
      <c r="F1451">
        <v>34</v>
      </c>
      <c r="G1451">
        <v>6</v>
      </c>
      <c r="H1451">
        <v>9</v>
      </c>
      <c r="I1451">
        <v>11</v>
      </c>
      <c r="J1451">
        <v>130.68</v>
      </c>
      <c r="K1451">
        <v>38.33</v>
      </c>
      <c r="L1451">
        <f>_xlfn.XLOOKUP(C1451, dim_teams[team_name], dim_teams[team_id], "Not found", 0)</f>
        <v>11</v>
      </c>
    </row>
    <row r="1452" spans="1:12" x14ac:dyDescent="0.3">
      <c r="A1452" t="s">
        <v>406</v>
      </c>
      <c r="B1452">
        <v>2020</v>
      </c>
      <c r="C1452" t="s">
        <v>13</v>
      </c>
      <c r="D1452">
        <v>425</v>
      </c>
      <c r="E1452">
        <v>333</v>
      </c>
      <c r="F1452">
        <v>35</v>
      </c>
      <c r="G1452">
        <v>18</v>
      </c>
      <c r="H1452">
        <v>13</v>
      </c>
      <c r="I1452">
        <v>15</v>
      </c>
      <c r="J1452">
        <v>127.63</v>
      </c>
      <c r="K1452">
        <v>32.69</v>
      </c>
      <c r="L1452">
        <f>_xlfn.XLOOKUP(C1452, dim_teams[team_name], dim_teams[team_id], "Not found", 0)</f>
        <v>11</v>
      </c>
    </row>
    <row r="1453" spans="1:12" x14ac:dyDescent="0.3">
      <c r="A1453" t="s">
        <v>406</v>
      </c>
      <c r="B1453">
        <v>2021</v>
      </c>
      <c r="C1453" t="s">
        <v>13</v>
      </c>
      <c r="D1453">
        <v>292</v>
      </c>
      <c r="E1453">
        <v>235</v>
      </c>
      <c r="F1453">
        <v>21</v>
      </c>
      <c r="G1453">
        <v>10</v>
      </c>
      <c r="H1453">
        <v>6</v>
      </c>
      <c r="I1453">
        <v>8</v>
      </c>
      <c r="J1453">
        <v>124.26</v>
      </c>
      <c r="K1453">
        <v>48.67</v>
      </c>
      <c r="L1453">
        <f>_xlfn.XLOOKUP(C1453, dim_teams[team_name], dim_teams[team_id], "Not found", 0)</f>
        <v>11</v>
      </c>
    </row>
    <row r="1454" spans="1:12" x14ac:dyDescent="0.3">
      <c r="A1454" t="s">
        <v>406</v>
      </c>
      <c r="B1454">
        <v>2022</v>
      </c>
      <c r="C1454" t="s">
        <v>15</v>
      </c>
      <c r="D1454">
        <v>88</v>
      </c>
      <c r="E1454">
        <v>80</v>
      </c>
      <c r="F1454">
        <v>9</v>
      </c>
      <c r="G1454">
        <v>2</v>
      </c>
      <c r="H1454">
        <v>6</v>
      </c>
      <c r="I1454">
        <v>6</v>
      </c>
      <c r="J1454">
        <v>110</v>
      </c>
      <c r="K1454">
        <v>14.67</v>
      </c>
      <c r="L1454">
        <f>_xlfn.XLOOKUP(C1454, dim_teams[team_name], dim_teams[team_id], "Not found", 0)</f>
        <v>17</v>
      </c>
    </row>
    <row r="1455" spans="1:12" x14ac:dyDescent="0.3">
      <c r="A1455" t="s">
        <v>406</v>
      </c>
      <c r="B1455">
        <v>2023</v>
      </c>
      <c r="C1455" t="s">
        <v>33</v>
      </c>
      <c r="D1455">
        <v>160</v>
      </c>
      <c r="E1455">
        <v>145</v>
      </c>
      <c r="F1455">
        <v>15</v>
      </c>
      <c r="G1455">
        <v>3</v>
      </c>
      <c r="H1455">
        <v>10</v>
      </c>
      <c r="I1455">
        <v>9</v>
      </c>
      <c r="J1455">
        <v>110.34</v>
      </c>
      <c r="K1455">
        <v>16</v>
      </c>
      <c r="L1455">
        <f>_xlfn.XLOOKUP(C1455, dim_teams[team_name], dim_teams[team_id], "Not found", 0)</f>
        <v>15</v>
      </c>
    </row>
    <row r="1456" spans="1:12" x14ac:dyDescent="0.3">
      <c r="A1456" t="s">
        <v>406</v>
      </c>
      <c r="B1456">
        <v>2024</v>
      </c>
      <c r="C1456" t="s">
        <v>19</v>
      </c>
      <c r="D1456">
        <v>42</v>
      </c>
      <c r="E1456">
        <v>30</v>
      </c>
      <c r="F1456">
        <v>2</v>
      </c>
      <c r="G1456">
        <v>2</v>
      </c>
      <c r="H1456">
        <v>1</v>
      </c>
      <c r="I1456">
        <v>1</v>
      </c>
      <c r="J1456">
        <v>140</v>
      </c>
      <c r="K1456">
        <v>42</v>
      </c>
      <c r="L1456">
        <f>_xlfn.XLOOKUP(C1456, dim_teams[team_name], dim_teams[team_id], "Not found", 0)</f>
        <v>1</v>
      </c>
    </row>
    <row r="1457" spans="1:12" x14ac:dyDescent="0.3">
      <c r="A1457" t="s">
        <v>406</v>
      </c>
      <c r="B1457">
        <v>2025</v>
      </c>
      <c r="C1457" t="s">
        <v>19</v>
      </c>
      <c r="D1457">
        <v>92</v>
      </c>
      <c r="E1457">
        <v>65</v>
      </c>
      <c r="F1457">
        <v>5</v>
      </c>
      <c r="G1457">
        <v>5</v>
      </c>
      <c r="H1457">
        <v>2</v>
      </c>
      <c r="I1457">
        <v>3</v>
      </c>
      <c r="J1457">
        <v>141.54</v>
      </c>
      <c r="K1457">
        <v>46</v>
      </c>
      <c r="L1457">
        <f>_xlfn.XLOOKUP(C1457, dim_teams[team_name], dim_teams[team_id], "Not found", 0)</f>
        <v>1</v>
      </c>
    </row>
    <row r="1458" spans="1:12" x14ac:dyDescent="0.3">
      <c r="A1458" t="s">
        <v>407</v>
      </c>
      <c r="B1458">
        <v>2008</v>
      </c>
      <c r="C1458" t="s">
        <v>32</v>
      </c>
      <c r="D1458">
        <v>104</v>
      </c>
      <c r="E1458">
        <v>85</v>
      </c>
      <c r="F1458">
        <v>16</v>
      </c>
      <c r="G1458">
        <v>0</v>
      </c>
      <c r="H1458">
        <v>3</v>
      </c>
      <c r="I1458">
        <v>7</v>
      </c>
      <c r="J1458">
        <v>122.35</v>
      </c>
      <c r="K1458">
        <v>34.67</v>
      </c>
      <c r="L1458">
        <f>_xlfn.XLOOKUP(C1458, dim_teams[team_name], dim_teams[team_id], "Not found", 0)</f>
        <v>6</v>
      </c>
    </row>
    <row r="1459" spans="1:12" x14ac:dyDescent="0.3">
      <c r="A1459" t="s">
        <v>407</v>
      </c>
      <c r="B1459">
        <v>2009</v>
      </c>
      <c r="C1459" t="s">
        <v>32</v>
      </c>
      <c r="D1459">
        <v>9</v>
      </c>
      <c r="E1459">
        <v>13</v>
      </c>
      <c r="F1459">
        <v>1</v>
      </c>
      <c r="G1459">
        <v>0</v>
      </c>
      <c r="H1459">
        <v>1</v>
      </c>
      <c r="I1459">
        <v>1</v>
      </c>
      <c r="J1459">
        <v>69.23</v>
      </c>
      <c r="K1459">
        <v>9</v>
      </c>
      <c r="L1459">
        <f>_xlfn.XLOOKUP(C1459, dim_teams[team_name], dim_teams[team_id], "Not found", 0)</f>
        <v>6</v>
      </c>
    </row>
    <row r="1460" spans="1:12" x14ac:dyDescent="0.3">
      <c r="A1460" t="s">
        <v>407</v>
      </c>
      <c r="B1460">
        <v>2010</v>
      </c>
      <c r="C1460" t="s">
        <v>19</v>
      </c>
      <c r="D1460">
        <v>237</v>
      </c>
      <c r="E1460">
        <v>185</v>
      </c>
      <c r="F1460">
        <v>23</v>
      </c>
      <c r="G1460">
        <v>5</v>
      </c>
      <c r="H1460">
        <v>10</v>
      </c>
      <c r="I1460">
        <v>11</v>
      </c>
      <c r="J1460">
        <v>128.11000000000001</v>
      </c>
      <c r="K1460">
        <v>23.7</v>
      </c>
      <c r="L1460">
        <f>_xlfn.XLOOKUP(C1460, dim_teams[team_name], dim_teams[team_id], "Not found", 0)</f>
        <v>1</v>
      </c>
    </row>
    <row r="1461" spans="1:12" x14ac:dyDescent="0.3">
      <c r="A1461" t="s">
        <v>407</v>
      </c>
      <c r="B1461">
        <v>2011</v>
      </c>
      <c r="C1461" t="s">
        <v>19</v>
      </c>
      <c r="D1461">
        <v>359</v>
      </c>
      <c r="E1461">
        <v>322</v>
      </c>
      <c r="F1461">
        <v>26</v>
      </c>
      <c r="G1461">
        <v>14</v>
      </c>
      <c r="H1461">
        <v>9</v>
      </c>
      <c r="I1461">
        <v>13</v>
      </c>
      <c r="J1461">
        <v>111.49</v>
      </c>
      <c r="K1461">
        <v>39.89</v>
      </c>
      <c r="L1461">
        <f>_xlfn.XLOOKUP(C1461, dim_teams[team_name], dim_teams[team_id], "Not found", 0)</f>
        <v>1</v>
      </c>
    </row>
    <row r="1462" spans="1:12" x14ac:dyDescent="0.3">
      <c r="A1462" t="s">
        <v>407</v>
      </c>
      <c r="B1462">
        <v>2012</v>
      </c>
      <c r="C1462" t="s">
        <v>19</v>
      </c>
      <c r="D1462">
        <v>260</v>
      </c>
      <c r="E1462">
        <v>246</v>
      </c>
      <c r="F1462">
        <v>21</v>
      </c>
      <c r="G1462">
        <v>3</v>
      </c>
      <c r="H1462">
        <v>10</v>
      </c>
      <c r="I1462">
        <v>15</v>
      </c>
      <c r="J1462">
        <v>105.69</v>
      </c>
      <c r="K1462">
        <v>26</v>
      </c>
      <c r="L1462">
        <f>_xlfn.XLOOKUP(C1462, dim_teams[team_name], dim_teams[team_id], "Not found", 0)</f>
        <v>1</v>
      </c>
    </row>
    <row r="1463" spans="1:12" x14ac:dyDescent="0.3">
      <c r="A1463" t="s">
        <v>407</v>
      </c>
      <c r="B1463">
        <v>2013</v>
      </c>
      <c r="C1463" t="s">
        <v>19</v>
      </c>
      <c r="D1463">
        <v>146</v>
      </c>
      <c r="E1463">
        <v>140</v>
      </c>
      <c r="F1463">
        <v>12</v>
      </c>
      <c r="G1463">
        <v>1</v>
      </c>
      <c r="H1463">
        <v>8</v>
      </c>
      <c r="I1463">
        <v>9</v>
      </c>
      <c r="J1463">
        <v>104.29</v>
      </c>
      <c r="K1463">
        <v>18.25</v>
      </c>
      <c r="L1463">
        <f>_xlfn.XLOOKUP(C1463, dim_teams[team_name], dim_teams[team_id], "Not found", 0)</f>
        <v>1</v>
      </c>
    </row>
    <row r="1464" spans="1:12" x14ac:dyDescent="0.3">
      <c r="A1464" t="s">
        <v>407</v>
      </c>
      <c r="B1464">
        <v>2014</v>
      </c>
      <c r="C1464" t="s">
        <v>32</v>
      </c>
      <c r="D1464">
        <v>152</v>
      </c>
      <c r="E1464">
        <v>118</v>
      </c>
      <c r="F1464">
        <v>14</v>
      </c>
      <c r="G1464">
        <v>4</v>
      </c>
      <c r="H1464">
        <v>6</v>
      </c>
      <c r="I1464">
        <v>8</v>
      </c>
      <c r="J1464">
        <v>128.81</v>
      </c>
      <c r="K1464">
        <v>25.33</v>
      </c>
      <c r="L1464">
        <f>_xlfn.XLOOKUP(C1464, dim_teams[team_name], dim_teams[team_id], "Not found", 0)</f>
        <v>6</v>
      </c>
    </row>
    <row r="1465" spans="1:12" x14ac:dyDescent="0.3">
      <c r="A1465" t="s">
        <v>407</v>
      </c>
      <c r="B1465">
        <v>2015</v>
      </c>
      <c r="C1465" t="s">
        <v>32</v>
      </c>
      <c r="D1465">
        <v>57</v>
      </c>
      <c r="E1465">
        <v>56</v>
      </c>
      <c r="F1465">
        <v>8</v>
      </c>
      <c r="G1465">
        <v>1</v>
      </c>
      <c r="H1465">
        <v>2</v>
      </c>
      <c r="I1465">
        <v>2</v>
      </c>
      <c r="J1465">
        <v>101.79</v>
      </c>
      <c r="K1465">
        <v>28.5</v>
      </c>
      <c r="L1465">
        <f>_xlfn.XLOOKUP(C1465, dim_teams[team_name], dim_teams[team_id], "Not found", 0)</f>
        <v>6</v>
      </c>
    </row>
    <row r="1466" spans="1:12" x14ac:dyDescent="0.3">
      <c r="A1466" t="s">
        <v>407</v>
      </c>
      <c r="B1466">
        <v>2017</v>
      </c>
      <c r="C1466" t="s">
        <v>46</v>
      </c>
      <c r="D1466">
        <v>324</v>
      </c>
      <c r="E1466">
        <v>235</v>
      </c>
      <c r="F1466">
        <v>31</v>
      </c>
      <c r="G1466">
        <v>11</v>
      </c>
      <c r="H1466">
        <v>9</v>
      </c>
      <c r="I1466">
        <v>13</v>
      </c>
      <c r="J1466">
        <v>137.87</v>
      </c>
      <c r="K1466">
        <v>36</v>
      </c>
      <c r="L1466">
        <f>_xlfn.XLOOKUP(C1466, dim_teams[team_name], dim_teams[team_id], "Not found", 0)</f>
        <v>14</v>
      </c>
    </row>
    <row r="1467" spans="1:12" x14ac:dyDescent="0.3">
      <c r="A1467" t="s">
        <v>407</v>
      </c>
      <c r="B1467">
        <v>2018</v>
      </c>
      <c r="C1467" t="s">
        <v>54</v>
      </c>
      <c r="D1467">
        <v>47</v>
      </c>
      <c r="E1467">
        <v>44</v>
      </c>
      <c r="F1467">
        <v>4</v>
      </c>
      <c r="G1467">
        <v>1</v>
      </c>
      <c r="H1467">
        <v>3</v>
      </c>
      <c r="I1467">
        <v>4</v>
      </c>
      <c r="J1467">
        <v>106.82</v>
      </c>
      <c r="K1467">
        <v>15.67</v>
      </c>
      <c r="L1467">
        <f>_xlfn.XLOOKUP(C1467, dim_teams[team_name], dim_teams[team_id], "Not found", 0)</f>
        <v>4</v>
      </c>
    </row>
    <row r="1468" spans="1:12" x14ac:dyDescent="0.3">
      <c r="A1468" t="s">
        <v>408</v>
      </c>
      <c r="B1468">
        <v>2008</v>
      </c>
      <c r="C1468" t="s">
        <v>25</v>
      </c>
      <c r="D1468">
        <v>189</v>
      </c>
      <c r="E1468">
        <v>127</v>
      </c>
      <c r="F1468">
        <v>24</v>
      </c>
      <c r="G1468">
        <v>6</v>
      </c>
      <c r="H1468">
        <v>2</v>
      </c>
      <c r="I1468">
        <v>4</v>
      </c>
      <c r="J1468">
        <v>148.82</v>
      </c>
      <c r="K1468">
        <v>94.5</v>
      </c>
      <c r="L1468">
        <f>_xlfn.XLOOKUP(C1468, dim_teams[team_name], dim_teams[team_id], "Not found", 0)</f>
        <v>3</v>
      </c>
    </row>
    <row r="1469" spans="1:12" x14ac:dyDescent="0.3">
      <c r="A1469" t="s">
        <v>408</v>
      </c>
      <c r="B1469">
        <v>2009</v>
      </c>
      <c r="C1469" t="s">
        <v>25</v>
      </c>
      <c r="D1469">
        <v>572</v>
      </c>
      <c r="E1469">
        <v>393</v>
      </c>
      <c r="F1469">
        <v>60</v>
      </c>
      <c r="G1469">
        <v>22</v>
      </c>
      <c r="H1469">
        <v>10</v>
      </c>
      <c r="I1469">
        <v>12</v>
      </c>
      <c r="J1469">
        <v>145.55000000000001</v>
      </c>
      <c r="K1469">
        <v>57.2</v>
      </c>
      <c r="L1469">
        <f>_xlfn.XLOOKUP(C1469, dim_teams[team_name], dim_teams[team_id], "Not found", 0)</f>
        <v>3</v>
      </c>
    </row>
    <row r="1470" spans="1:12" x14ac:dyDescent="0.3">
      <c r="A1470" t="s">
        <v>408</v>
      </c>
      <c r="B1470">
        <v>2010</v>
      </c>
      <c r="C1470" t="s">
        <v>25</v>
      </c>
      <c r="D1470">
        <v>346</v>
      </c>
      <c r="E1470">
        <v>279</v>
      </c>
      <c r="F1470">
        <v>37</v>
      </c>
      <c r="G1470">
        <v>16</v>
      </c>
      <c r="H1470">
        <v>16</v>
      </c>
      <c r="I1470">
        <v>16</v>
      </c>
      <c r="J1470">
        <v>124.01</v>
      </c>
      <c r="K1470">
        <v>21.62</v>
      </c>
      <c r="L1470">
        <f>_xlfn.XLOOKUP(C1470, dim_teams[team_name], dim_teams[team_id], "Not found", 0)</f>
        <v>3</v>
      </c>
    </row>
    <row r="1471" spans="1:12" x14ac:dyDescent="0.3">
      <c r="A1471" t="s">
        <v>409</v>
      </c>
      <c r="B1471">
        <v>2018</v>
      </c>
      <c r="C1471" t="s">
        <v>21</v>
      </c>
      <c r="D1471">
        <v>77</v>
      </c>
      <c r="E1471">
        <v>46</v>
      </c>
      <c r="F1471">
        <v>4</v>
      </c>
      <c r="G1471">
        <v>6</v>
      </c>
      <c r="H1471">
        <v>4</v>
      </c>
      <c r="I1471">
        <v>4</v>
      </c>
      <c r="J1471">
        <v>167.39</v>
      </c>
      <c r="K1471">
        <v>19.25</v>
      </c>
      <c r="L1471">
        <f>_xlfn.XLOOKUP(C1471, dim_teams[team_name], dim_teams[team_id], "Not found", 0)</f>
        <v>2</v>
      </c>
    </row>
    <row r="1472" spans="1:12" x14ac:dyDescent="0.3">
      <c r="A1472" t="s">
        <v>409</v>
      </c>
      <c r="B1472">
        <v>2019</v>
      </c>
      <c r="C1472" t="s">
        <v>21</v>
      </c>
      <c r="D1472">
        <v>220</v>
      </c>
      <c r="E1472">
        <v>133</v>
      </c>
      <c r="F1472">
        <v>16</v>
      </c>
      <c r="G1472">
        <v>17</v>
      </c>
      <c r="H1472">
        <v>6</v>
      </c>
      <c r="I1472">
        <v>10</v>
      </c>
      <c r="J1472">
        <v>165.41</v>
      </c>
      <c r="K1472">
        <v>36.67</v>
      </c>
      <c r="L1472">
        <f>_xlfn.XLOOKUP(C1472, dim_teams[team_name], dim_teams[team_id], "Not found", 0)</f>
        <v>2</v>
      </c>
    </row>
    <row r="1473" spans="1:12" x14ac:dyDescent="0.3">
      <c r="A1473" t="s">
        <v>409</v>
      </c>
      <c r="B1473">
        <v>2020</v>
      </c>
      <c r="C1473" t="s">
        <v>21</v>
      </c>
      <c r="D1473">
        <v>12</v>
      </c>
      <c r="E1473">
        <v>16</v>
      </c>
      <c r="F1473">
        <v>1</v>
      </c>
      <c r="G1473">
        <v>0</v>
      </c>
      <c r="H1473">
        <v>3</v>
      </c>
      <c r="I1473">
        <v>3</v>
      </c>
      <c r="J1473">
        <v>75</v>
      </c>
      <c r="K1473">
        <v>4</v>
      </c>
      <c r="L1473">
        <f>_xlfn.XLOOKUP(C1473, dim_teams[team_name], dim_teams[team_id], "Not found", 0)</f>
        <v>2</v>
      </c>
    </row>
    <row r="1474" spans="1:12" x14ac:dyDescent="0.3">
      <c r="A1474" t="s">
        <v>409</v>
      </c>
      <c r="B1474">
        <v>2021</v>
      </c>
      <c r="C1474" t="s">
        <v>25</v>
      </c>
      <c r="D1474">
        <v>357</v>
      </c>
      <c r="E1474">
        <v>260</v>
      </c>
      <c r="F1474">
        <v>31</v>
      </c>
      <c r="G1474">
        <v>19</v>
      </c>
      <c r="H1474">
        <v>14</v>
      </c>
      <c r="I1474">
        <v>15</v>
      </c>
      <c r="J1474">
        <v>137.31</v>
      </c>
      <c r="K1474">
        <v>25.5</v>
      </c>
      <c r="L1474">
        <f>_xlfn.XLOOKUP(C1474, dim_teams[team_name], dim_teams[team_id], "Not found", 0)</f>
        <v>3</v>
      </c>
    </row>
    <row r="1475" spans="1:12" x14ac:dyDescent="0.3">
      <c r="A1475" t="s">
        <v>409</v>
      </c>
      <c r="B1475">
        <v>2022</v>
      </c>
      <c r="C1475" t="s">
        <v>25</v>
      </c>
      <c r="D1475">
        <v>244</v>
      </c>
      <c r="E1475">
        <v>177</v>
      </c>
      <c r="F1475">
        <v>24</v>
      </c>
      <c r="G1475">
        <v>11</v>
      </c>
      <c r="H1475">
        <v>10</v>
      </c>
      <c r="I1475">
        <v>10</v>
      </c>
      <c r="J1475">
        <v>137.85</v>
      </c>
      <c r="K1475">
        <v>24.4</v>
      </c>
      <c r="L1475">
        <f>_xlfn.XLOOKUP(C1475, dim_teams[team_name], dim_teams[team_id], "Not found", 0)</f>
        <v>3</v>
      </c>
    </row>
    <row r="1476" spans="1:12" x14ac:dyDescent="0.3">
      <c r="A1476" t="s">
        <v>409</v>
      </c>
      <c r="B1476">
        <v>2023</v>
      </c>
      <c r="C1476" t="s">
        <v>25</v>
      </c>
      <c r="D1476">
        <v>124</v>
      </c>
      <c r="E1476">
        <v>87</v>
      </c>
      <c r="F1476">
        <v>12</v>
      </c>
      <c r="G1476">
        <v>6</v>
      </c>
      <c r="H1476">
        <v>7</v>
      </c>
      <c r="I1476">
        <v>10</v>
      </c>
      <c r="J1476">
        <v>142.53</v>
      </c>
      <c r="K1476">
        <v>17.71</v>
      </c>
      <c r="L1476">
        <f>_xlfn.XLOOKUP(C1476, dim_teams[team_name], dim_teams[team_id], "Not found", 0)</f>
        <v>3</v>
      </c>
    </row>
    <row r="1477" spans="1:12" x14ac:dyDescent="0.3">
      <c r="A1477" t="s">
        <v>409</v>
      </c>
      <c r="B1477">
        <v>2024</v>
      </c>
      <c r="C1477" t="s">
        <v>25</v>
      </c>
      <c r="D1477">
        <v>128</v>
      </c>
      <c r="E1477">
        <v>98</v>
      </c>
      <c r="F1477">
        <v>7</v>
      </c>
      <c r="G1477">
        <v>8</v>
      </c>
      <c r="H1477">
        <v>5</v>
      </c>
      <c r="I1477">
        <v>5</v>
      </c>
      <c r="J1477">
        <v>130.61000000000001</v>
      </c>
      <c r="K1477">
        <v>25.6</v>
      </c>
      <c r="L1477">
        <f>_xlfn.XLOOKUP(C1477, dim_teams[team_name], dim_teams[team_id], "Not found", 0)</f>
        <v>3</v>
      </c>
    </row>
    <row r="1478" spans="1:12" x14ac:dyDescent="0.3">
      <c r="A1478" t="s">
        <v>409</v>
      </c>
      <c r="B1478">
        <v>2025</v>
      </c>
      <c r="C1478" t="s">
        <v>19</v>
      </c>
      <c r="D1478">
        <v>5</v>
      </c>
      <c r="E1478">
        <v>14</v>
      </c>
      <c r="F1478">
        <v>0</v>
      </c>
      <c r="G1478">
        <v>0</v>
      </c>
      <c r="H1478">
        <v>2</v>
      </c>
      <c r="I1478">
        <v>2</v>
      </c>
      <c r="J1478">
        <v>35.71</v>
      </c>
      <c r="K1478">
        <v>2.5</v>
      </c>
      <c r="L1478">
        <f>_xlfn.XLOOKUP(C1478, dim_teams[team_name], dim_teams[team_id], "Not found", 0)</f>
        <v>1</v>
      </c>
    </row>
    <row r="1479" spans="1:12" x14ac:dyDescent="0.3">
      <c r="A1479" t="s">
        <v>410</v>
      </c>
      <c r="B1479">
        <v>2008</v>
      </c>
      <c r="C1479" t="s">
        <v>17</v>
      </c>
      <c r="D1479">
        <v>0</v>
      </c>
      <c r="E1479">
        <v>1</v>
      </c>
      <c r="F1479">
        <v>0</v>
      </c>
      <c r="G1479">
        <v>0</v>
      </c>
      <c r="H1479">
        <v>0</v>
      </c>
      <c r="I1479">
        <v>1</v>
      </c>
      <c r="J1479">
        <v>0</v>
      </c>
      <c r="L1479">
        <f>_xlfn.XLOOKUP(C1479, dim_teams[team_name], dim_teams[team_id], "Not found", 0)</f>
        <v>5</v>
      </c>
    </row>
    <row r="1480" spans="1:12" x14ac:dyDescent="0.3">
      <c r="A1480" t="s">
        <v>410</v>
      </c>
      <c r="B1480">
        <v>2009</v>
      </c>
      <c r="C1480" t="s">
        <v>17</v>
      </c>
      <c r="D1480">
        <v>33</v>
      </c>
      <c r="E1480">
        <v>26</v>
      </c>
      <c r="F1480">
        <v>5</v>
      </c>
      <c r="G1480">
        <v>0</v>
      </c>
      <c r="H1480">
        <v>3</v>
      </c>
      <c r="I1480">
        <v>5</v>
      </c>
      <c r="J1480">
        <v>126.92</v>
      </c>
      <c r="K1480">
        <v>11</v>
      </c>
      <c r="L1480">
        <f>_xlfn.XLOOKUP(C1480, dim_teams[team_name], dim_teams[team_id], "Not found", 0)</f>
        <v>5</v>
      </c>
    </row>
    <row r="1481" spans="1:12" x14ac:dyDescent="0.3">
      <c r="A1481" t="s">
        <v>410</v>
      </c>
      <c r="B1481">
        <v>2010</v>
      </c>
      <c r="C1481" t="s">
        <v>17</v>
      </c>
      <c r="D1481">
        <v>4</v>
      </c>
      <c r="E1481">
        <v>5</v>
      </c>
      <c r="F1481">
        <v>0</v>
      </c>
      <c r="G1481">
        <v>0</v>
      </c>
      <c r="H1481">
        <v>0</v>
      </c>
      <c r="I1481">
        <v>2</v>
      </c>
      <c r="J1481">
        <v>80</v>
      </c>
      <c r="L1481">
        <f>_xlfn.XLOOKUP(C1481, dim_teams[team_name], dim_teams[team_id], "Not found", 0)</f>
        <v>5</v>
      </c>
    </row>
    <row r="1482" spans="1:12" x14ac:dyDescent="0.3">
      <c r="A1482" t="s">
        <v>410</v>
      </c>
      <c r="B1482">
        <v>2011</v>
      </c>
      <c r="C1482" t="s">
        <v>23</v>
      </c>
      <c r="D1482">
        <v>0</v>
      </c>
      <c r="E1482">
        <v>1</v>
      </c>
      <c r="F1482">
        <v>0</v>
      </c>
      <c r="G1482">
        <v>0</v>
      </c>
      <c r="H1482">
        <v>1</v>
      </c>
      <c r="I1482">
        <v>1</v>
      </c>
      <c r="J1482">
        <v>0</v>
      </c>
      <c r="K1482">
        <v>0</v>
      </c>
      <c r="L1482">
        <f>_xlfn.XLOOKUP(C1482, dim_teams[team_name], dim_teams[team_id], "Not found", 0)</f>
        <v>7</v>
      </c>
    </row>
    <row r="1483" spans="1:12" x14ac:dyDescent="0.3">
      <c r="A1483" t="s">
        <v>410</v>
      </c>
      <c r="B1483">
        <v>2012</v>
      </c>
      <c r="C1483" t="s">
        <v>23</v>
      </c>
      <c r="D1483">
        <v>2</v>
      </c>
      <c r="E1483">
        <v>7</v>
      </c>
      <c r="F1483">
        <v>0</v>
      </c>
      <c r="G1483">
        <v>0</v>
      </c>
      <c r="H1483">
        <v>0</v>
      </c>
      <c r="I1483">
        <v>2</v>
      </c>
      <c r="J1483">
        <v>28.57</v>
      </c>
      <c r="L1483">
        <f>_xlfn.XLOOKUP(C1483, dim_teams[team_name], dim_teams[team_id], "Not found", 0)</f>
        <v>7</v>
      </c>
    </row>
    <row r="1484" spans="1:12" x14ac:dyDescent="0.3">
      <c r="A1484" t="s">
        <v>410</v>
      </c>
      <c r="B1484">
        <v>2017</v>
      </c>
      <c r="C1484" t="s">
        <v>66</v>
      </c>
      <c r="D1484">
        <v>0</v>
      </c>
      <c r="E1484">
        <v>1</v>
      </c>
      <c r="F1484">
        <v>0</v>
      </c>
      <c r="G1484">
        <v>0</v>
      </c>
      <c r="H1484">
        <v>1</v>
      </c>
      <c r="I1484">
        <v>1</v>
      </c>
      <c r="J1484">
        <v>0</v>
      </c>
      <c r="K1484">
        <v>0</v>
      </c>
      <c r="L1484">
        <f>_xlfn.XLOOKUP(C1484, dim_teams[team_name], dim_teams[team_id], "Not found", 0)</f>
        <v>13</v>
      </c>
    </row>
    <row r="1485" spans="1:12" x14ac:dyDescent="0.3">
      <c r="A1485" t="s">
        <v>411</v>
      </c>
      <c r="B1485">
        <v>2013</v>
      </c>
      <c r="C1485" t="s">
        <v>25</v>
      </c>
      <c r="D1485">
        <v>0</v>
      </c>
      <c r="E1485">
        <v>5</v>
      </c>
      <c r="F1485">
        <v>0</v>
      </c>
      <c r="G1485">
        <v>0</v>
      </c>
      <c r="H1485">
        <v>1</v>
      </c>
      <c r="I1485">
        <v>2</v>
      </c>
      <c r="J1485">
        <v>0</v>
      </c>
      <c r="K1485">
        <v>0</v>
      </c>
      <c r="L1485">
        <f>_xlfn.XLOOKUP(C1485, dim_teams[team_name], dim_teams[team_id], "Not found", 0)</f>
        <v>3</v>
      </c>
    </row>
    <row r="1486" spans="1:12" x14ac:dyDescent="0.3">
      <c r="A1486" t="s">
        <v>411</v>
      </c>
      <c r="B1486">
        <v>2014</v>
      </c>
      <c r="C1486" t="s">
        <v>25</v>
      </c>
      <c r="D1486">
        <v>1</v>
      </c>
      <c r="E1486">
        <v>3</v>
      </c>
      <c r="F1486">
        <v>0</v>
      </c>
      <c r="G1486">
        <v>0</v>
      </c>
      <c r="H1486">
        <v>0</v>
      </c>
      <c r="I1486">
        <v>1</v>
      </c>
      <c r="J1486">
        <v>33.33</v>
      </c>
      <c r="L1486">
        <f>_xlfn.XLOOKUP(C1486, dim_teams[team_name], dim_teams[team_id], "Not found", 0)</f>
        <v>3</v>
      </c>
    </row>
    <row r="1487" spans="1:12" x14ac:dyDescent="0.3">
      <c r="A1487" t="s">
        <v>411</v>
      </c>
      <c r="B1487">
        <v>2015</v>
      </c>
      <c r="C1487" t="s">
        <v>25</v>
      </c>
      <c r="D1487">
        <v>28</v>
      </c>
      <c r="E1487">
        <v>18</v>
      </c>
      <c r="F1487">
        <v>1</v>
      </c>
      <c r="G1487">
        <v>2</v>
      </c>
      <c r="H1487">
        <v>2</v>
      </c>
      <c r="I1487">
        <v>5</v>
      </c>
      <c r="J1487">
        <v>155.56</v>
      </c>
      <c r="K1487">
        <v>14</v>
      </c>
      <c r="L1487">
        <f>_xlfn.XLOOKUP(C1487, dim_teams[team_name], dim_teams[team_id], "Not found", 0)</f>
        <v>3</v>
      </c>
    </row>
    <row r="1488" spans="1:12" x14ac:dyDescent="0.3">
      <c r="A1488" t="s">
        <v>411</v>
      </c>
      <c r="B1488">
        <v>2016</v>
      </c>
      <c r="C1488" t="s">
        <v>54</v>
      </c>
      <c r="D1488">
        <v>32</v>
      </c>
      <c r="E1488">
        <v>26</v>
      </c>
      <c r="F1488">
        <v>3</v>
      </c>
      <c r="G1488">
        <v>1</v>
      </c>
      <c r="H1488">
        <v>4</v>
      </c>
      <c r="I1488">
        <v>5</v>
      </c>
      <c r="J1488">
        <v>123.08</v>
      </c>
      <c r="K1488">
        <v>8</v>
      </c>
      <c r="L1488">
        <f>_xlfn.XLOOKUP(C1488, dim_teams[team_name], dim_teams[team_id], "Not found", 0)</f>
        <v>4</v>
      </c>
    </row>
    <row r="1489" spans="1:12" x14ac:dyDescent="0.3">
      <c r="A1489" t="s">
        <v>411</v>
      </c>
      <c r="B1489">
        <v>2017</v>
      </c>
      <c r="C1489" t="s">
        <v>54</v>
      </c>
      <c r="D1489">
        <v>51</v>
      </c>
      <c r="E1489">
        <v>50</v>
      </c>
      <c r="F1489">
        <v>4</v>
      </c>
      <c r="G1489">
        <v>1</v>
      </c>
      <c r="H1489">
        <v>6</v>
      </c>
      <c r="I1489">
        <v>7</v>
      </c>
      <c r="J1489">
        <v>102</v>
      </c>
      <c r="K1489">
        <v>8.5</v>
      </c>
      <c r="L1489">
        <f>_xlfn.XLOOKUP(C1489, dim_teams[team_name], dim_teams[team_id], "Not found", 0)</f>
        <v>4</v>
      </c>
    </row>
    <row r="1490" spans="1:12" x14ac:dyDescent="0.3">
      <c r="A1490" t="s">
        <v>411</v>
      </c>
      <c r="B1490">
        <v>2018</v>
      </c>
      <c r="C1490" t="s">
        <v>54</v>
      </c>
      <c r="D1490">
        <v>10</v>
      </c>
      <c r="E1490">
        <v>13</v>
      </c>
      <c r="F1490">
        <v>1</v>
      </c>
      <c r="G1490">
        <v>0</v>
      </c>
      <c r="H1490">
        <v>1</v>
      </c>
      <c r="I1490">
        <v>4</v>
      </c>
      <c r="J1490">
        <v>76.92</v>
      </c>
      <c r="K1490">
        <v>10</v>
      </c>
      <c r="L1490">
        <f>_xlfn.XLOOKUP(C1490, dim_teams[team_name], dim_teams[team_id], "Not found", 0)</f>
        <v>4</v>
      </c>
    </row>
    <row r="1491" spans="1:12" x14ac:dyDescent="0.3">
      <c r="A1491" t="s">
        <v>411</v>
      </c>
      <c r="B1491">
        <v>2019</v>
      </c>
      <c r="C1491" t="s">
        <v>25</v>
      </c>
      <c r="D1491">
        <v>0</v>
      </c>
      <c r="E1491">
        <v>2</v>
      </c>
      <c r="F1491">
        <v>0</v>
      </c>
      <c r="G1491">
        <v>0</v>
      </c>
      <c r="H1491">
        <v>0</v>
      </c>
      <c r="I1491">
        <v>1</v>
      </c>
      <c r="J1491">
        <v>0</v>
      </c>
      <c r="L1491">
        <f>_xlfn.XLOOKUP(C1491, dim_teams[team_name], dim_teams[team_id], "Not found", 0)</f>
        <v>3</v>
      </c>
    </row>
    <row r="1492" spans="1:12" x14ac:dyDescent="0.3">
      <c r="A1492" t="s">
        <v>411</v>
      </c>
      <c r="B1492">
        <v>2023</v>
      </c>
      <c r="C1492" t="s">
        <v>29</v>
      </c>
      <c r="D1492">
        <v>0</v>
      </c>
      <c r="E1492">
        <v>1</v>
      </c>
      <c r="F1492">
        <v>0</v>
      </c>
      <c r="G1492">
        <v>0</v>
      </c>
      <c r="H1492">
        <v>0</v>
      </c>
      <c r="I1492">
        <v>1</v>
      </c>
      <c r="J1492">
        <v>0</v>
      </c>
      <c r="L1492">
        <f>_xlfn.XLOOKUP(C1492, dim_teams[team_name], dim_teams[team_id], "Not found", 0)</f>
        <v>18</v>
      </c>
    </row>
    <row r="1493" spans="1:12" x14ac:dyDescent="0.3">
      <c r="A1493" t="s">
        <v>411</v>
      </c>
      <c r="B1493">
        <v>2024</v>
      </c>
      <c r="C1493" t="s">
        <v>29</v>
      </c>
      <c r="D1493">
        <v>2</v>
      </c>
      <c r="E1493">
        <v>15</v>
      </c>
      <c r="F1493">
        <v>0</v>
      </c>
      <c r="G1493">
        <v>0</v>
      </c>
      <c r="H1493">
        <v>2</v>
      </c>
      <c r="I1493">
        <v>2</v>
      </c>
      <c r="J1493">
        <v>13.33</v>
      </c>
      <c r="K1493">
        <v>1</v>
      </c>
      <c r="L1493">
        <f>_xlfn.XLOOKUP(C1493, dim_teams[team_name], dim_teams[team_id], "Not found", 0)</f>
        <v>18</v>
      </c>
    </row>
    <row r="1494" spans="1:12" x14ac:dyDescent="0.3">
      <c r="A1494" t="s">
        <v>411</v>
      </c>
      <c r="B1494">
        <v>2025</v>
      </c>
      <c r="C1494" t="s">
        <v>33</v>
      </c>
      <c r="D1494">
        <v>1</v>
      </c>
      <c r="E1494">
        <v>3</v>
      </c>
      <c r="F1494">
        <v>0</v>
      </c>
      <c r="G1494">
        <v>0</v>
      </c>
      <c r="H1494">
        <v>1</v>
      </c>
      <c r="I1494">
        <v>2</v>
      </c>
      <c r="J1494">
        <v>33.33</v>
      </c>
      <c r="K1494">
        <v>1</v>
      </c>
      <c r="L1494">
        <f>_xlfn.XLOOKUP(C1494, dim_teams[team_name], dim_teams[team_id], "Not found", 0)</f>
        <v>15</v>
      </c>
    </row>
    <row r="1495" spans="1:12" x14ac:dyDescent="0.3">
      <c r="A1495" t="s">
        <v>412</v>
      </c>
      <c r="B1495">
        <v>2012</v>
      </c>
      <c r="C1495" t="s">
        <v>37</v>
      </c>
      <c r="D1495">
        <v>124</v>
      </c>
      <c r="E1495">
        <v>123</v>
      </c>
      <c r="F1495">
        <v>7</v>
      </c>
      <c r="G1495">
        <v>5</v>
      </c>
      <c r="H1495">
        <v>7</v>
      </c>
      <c r="I1495">
        <v>8</v>
      </c>
      <c r="J1495">
        <v>100.81</v>
      </c>
      <c r="K1495">
        <v>17.71</v>
      </c>
      <c r="L1495">
        <f>_xlfn.XLOOKUP(C1495, dim_teams[team_name], dim_teams[team_id], "Not found", 0)</f>
        <v>10</v>
      </c>
    </row>
    <row r="1496" spans="1:12" x14ac:dyDescent="0.3">
      <c r="A1496" t="s">
        <v>412</v>
      </c>
      <c r="B1496">
        <v>2013</v>
      </c>
      <c r="C1496" t="s">
        <v>37</v>
      </c>
      <c r="D1496">
        <v>8</v>
      </c>
      <c r="E1496">
        <v>18</v>
      </c>
      <c r="F1496">
        <v>1</v>
      </c>
      <c r="G1496">
        <v>0</v>
      </c>
      <c r="H1496">
        <v>2</v>
      </c>
      <c r="I1496">
        <v>2</v>
      </c>
      <c r="J1496">
        <v>44.44</v>
      </c>
      <c r="K1496">
        <v>4</v>
      </c>
      <c r="L1496">
        <f>_xlfn.XLOOKUP(C1496, dim_teams[team_name], dim_teams[team_id], "Not found", 0)</f>
        <v>10</v>
      </c>
    </row>
    <row r="1497" spans="1:12" x14ac:dyDescent="0.3">
      <c r="A1497" t="s">
        <v>412</v>
      </c>
      <c r="B1497">
        <v>2017</v>
      </c>
      <c r="C1497" t="s">
        <v>32</v>
      </c>
      <c r="D1497">
        <v>29</v>
      </c>
      <c r="E1497">
        <v>31</v>
      </c>
      <c r="F1497">
        <v>1</v>
      </c>
      <c r="G1497">
        <v>2</v>
      </c>
      <c r="H1497">
        <v>3</v>
      </c>
      <c r="I1497">
        <v>4</v>
      </c>
      <c r="J1497">
        <v>93.55</v>
      </c>
      <c r="K1497">
        <v>9.67</v>
      </c>
      <c r="L1497">
        <f>_xlfn.XLOOKUP(C1497, dim_teams[team_name], dim_teams[team_id], "Not found", 0)</f>
        <v>6</v>
      </c>
    </row>
    <row r="1498" spans="1:12" x14ac:dyDescent="0.3">
      <c r="A1498" t="s">
        <v>413</v>
      </c>
      <c r="B1498">
        <v>2009</v>
      </c>
      <c r="C1498" t="s">
        <v>19</v>
      </c>
      <c r="D1498">
        <v>167</v>
      </c>
      <c r="E1498">
        <v>131</v>
      </c>
      <c r="F1498">
        <v>19</v>
      </c>
      <c r="G1498">
        <v>1</v>
      </c>
      <c r="H1498">
        <v>3</v>
      </c>
      <c r="I1498">
        <v>5</v>
      </c>
      <c r="J1498">
        <v>127.48</v>
      </c>
      <c r="K1498">
        <v>55.67</v>
      </c>
      <c r="L1498">
        <f>_xlfn.XLOOKUP(C1498, dim_teams[team_name], dim_teams[team_id], "Not found", 0)</f>
        <v>1</v>
      </c>
    </row>
    <row r="1499" spans="1:12" x14ac:dyDescent="0.3">
      <c r="A1499" t="s">
        <v>414</v>
      </c>
      <c r="B1499">
        <v>2025</v>
      </c>
      <c r="C1499" t="s">
        <v>15</v>
      </c>
      <c r="D1499">
        <v>14</v>
      </c>
      <c r="E1499">
        <v>12</v>
      </c>
      <c r="F1499">
        <v>1</v>
      </c>
      <c r="G1499">
        <v>1</v>
      </c>
      <c r="H1499">
        <v>1</v>
      </c>
      <c r="I1499">
        <v>1</v>
      </c>
      <c r="J1499">
        <v>116.67</v>
      </c>
      <c r="K1499">
        <v>14</v>
      </c>
      <c r="L1499">
        <f>_xlfn.XLOOKUP(C1499, dim_teams[team_name], dim_teams[team_id], "Not found", 0)</f>
        <v>17</v>
      </c>
    </row>
    <row r="1500" spans="1:12" x14ac:dyDescent="0.3">
      <c r="A1500" t="s">
        <v>415</v>
      </c>
      <c r="B1500">
        <v>2016</v>
      </c>
      <c r="C1500" t="s">
        <v>54</v>
      </c>
      <c r="D1500">
        <v>146</v>
      </c>
      <c r="E1500">
        <v>108</v>
      </c>
      <c r="F1500">
        <v>13</v>
      </c>
      <c r="G1500">
        <v>4</v>
      </c>
      <c r="H1500">
        <v>4</v>
      </c>
      <c r="I1500">
        <v>5</v>
      </c>
      <c r="J1500">
        <v>135.19</v>
      </c>
      <c r="K1500">
        <v>36.5</v>
      </c>
      <c r="L1500">
        <f>_xlfn.XLOOKUP(C1500, dim_teams[team_name], dim_teams[team_id], "Not found", 0)</f>
        <v>4</v>
      </c>
    </row>
    <row r="1501" spans="1:12" x14ac:dyDescent="0.3">
      <c r="A1501" t="s">
        <v>415</v>
      </c>
      <c r="B1501">
        <v>2017</v>
      </c>
      <c r="C1501" t="s">
        <v>54</v>
      </c>
      <c r="D1501">
        <v>17</v>
      </c>
      <c r="E1501">
        <v>24</v>
      </c>
      <c r="F1501">
        <v>1</v>
      </c>
      <c r="G1501">
        <v>0</v>
      </c>
      <c r="H1501">
        <v>3</v>
      </c>
      <c r="I1501">
        <v>3</v>
      </c>
      <c r="J1501">
        <v>70.83</v>
      </c>
      <c r="K1501">
        <v>5.67</v>
      </c>
      <c r="L1501">
        <f>_xlfn.XLOOKUP(C1501, dim_teams[team_name], dim_teams[team_id], "Not found", 0)</f>
        <v>4</v>
      </c>
    </row>
    <row r="1502" spans="1:12" x14ac:dyDescent="0.3">
      <c r="A1502" t="s">
        <v>415</v>
      </c>
      <c r="B1502">
        <v>2018</v>
      </c>
      <c r="C1502" t="s">
        <v>54</v>
      </c>
      <c r="D1502">
        <v>99</v>
      </c>
      <c r="E1502">
        <v>75</v>
      </c>
      <c r="F1502">
        <v>6</v>
      </c>
      <c r="G1502">
        <v>4</v>
      </c>
      <c r="H1502">
        <v>4</v>
      </c>
      <c r="I1502">
        <v>7</v>
      </c>
      <c r="J1502">
        <v>132</v>
      </c>
      <c r="K1502">
        <v>24.75</v>
      </c>
      <c r="L1502">
        <f>_xlfn.XLOOKUP(C1502, dim_teams[team_name], dim_teams[team_id], "Not found", 0)</f>
        <v>4</v>
      </c>
    </row>
    <row r="1503" spans="1:12" x14ac:dyDescent="0.3">
      <c r="A1503" t="s">
        <v>415</v>
      </c>
      <c r="B1503">
        <v>2019</v>
      </c>
      <c r="C1503" t="s">
        <v>21</v>
      </c>
      <c r="D1503">
        <v>211</v>
      </c>
      <c r="E1503">
        <v>156</v>
      </c>
      <c r="F1503">
        <v>14</v>
      </c>
      <c r="G1503">
        <v>10</v>
      </c>
      <c r="H1503">
        <v>4</v>
      </c>
      <c r="I1503">
        <v>10</v>
      </c>
      <c r="J1503">
        <v>135.26</v>
      </c>
      <c r="K1503">
        <v>52.75</v>
      </c>
      <c r="L1503">
        <f>_xlfn.XLOOKUP(C1503, dim_teams[team_name], dim_teams[team_id], "Not found", 0)</f>
        <v>2</v>
      </c>
    </row>
    <row r="1504" spans="1:12" x14ac:dyDescent="0.3">
      <c r="A1504" t="s">
        <v>415</v>
      </c>
      <c r="B1504">
        <v>2020</v>
      </c>
      <c r="C1504" t="s">
        <v>33</v>
      </c>
      <c r="D1504">
        <v>352</v>
      </c>
      <c r="E1504">
        <v>235</v>
      </c>
      <c r="F1504">
        <v>31</v>
      </c>
      <c r="G1504">
        <v>16</v>
      </c>
      <c r="H1504">
        <v>15</v>
      </c>
      <c r="I1504">
        <v>17</v>
      </c>
      <c r="J1504">
        <v>149.79</v>
      </c>
      <c r="K1504">
        <v>23.47</v>
      </c>
      <c r="L1504">
        <f>_xlfn.XLOOKUP(C1504, dim_teams[team_name], dim_teams[team_id], "Not found", 0)</f>
        <v>15</v>
      </c>
    </row>
    <row r="1505" spans="1:12" x14ac:dyDescent="0.3">
      <c r="A1505" t="s">
        <v>415</v>
      </c>
      <c r="B1505">
        <v>2021</v>
      </c>
      <c r="C1505" t="s">
        <v>33</v>
      </c>
      <c r="D1505">
        <v>89</v>
      </c>
      <c r="E1505">
        <v>71</v>
      </c>
      <c r="F1505">
        <v>11</v>
      </c>
      <c r="G1505">
        <v>1</v>
      </c>
      <c r="H1505">
        <v>4</v>
      </c>
      <c r="I1505">
        <v>7</v>
      </c>
      <c r="J1505">
        <v>125.35</v>
      </c>
      <c r="K1505">
        <v>22.25</v>
      </c>
      <c r="L1505">
        <f>_xlfn.XLOOKUP(C1505, dim_teams[team_name], dim_teams[team_id], "Not found", 0)</f>
        <v>15</v>
      </c>
    </row>
    <row r="1506" spans="1:12" x14ac:dyDescent="0.3">
      <c r="A1506" t="s">
        <v>415</v>
      </c>
      <c r="B1506">
        <v>2022</v>
      </c>
      <c r="C1506" t="s">
        <v>15</v>
      </c>
      <c r="D1506">
        <v>156</v>
      </c>
      <c r="E1506">
        <v>106</v>
      </c>
      <c r="F1506">
        <v>7</v>
      </c>
      <c r="G1506">
        <v>13</v>
      </c>
      <c r="H1506">
        <v>7</v>
      </c>
      <c r="I1506">
        <v>10</v>
      </c>
      <c r="J1506">
        <v>147.16999999999999</v>
      </c>
      <c r="K1506">
        <v>22.29</v>
      </c>
      <c r="L1506">
        <f>_xlfn.XLOOKUP(C1506, dim_teams[team_name], dim_teams[team_id], "Not found", 0)</f>
        <v>17</v>
      </c>
    </row>
    <row r="1507" spans="1:12" x14ac:dyDescent="0.3">
      <c r="A1507" t="s">
        <v>415</v>
      </c>
      <c r="B1507">
        <v>2023</v>
      </c>
      <c r="C1507" t="s">
        <v>15</v>
      </c>
      <c r="D1507">
        <v>408</v>
      </c>
      <c r="E1507">
        <v>271</v>
      </c>
      <c r="F1507">
        <v>28</v>
      </c>
      <c r="G1507">
        <v>27</v>
      </c>
      <c r="H1507">
        <v>14</v>
      </c>
      <c r="I1507">
        <v>15</v>
      </c>
      <c r="J1507">
        <v>150.55000000000001</v>
      </c>
      <c r="K1507">
        <v>29.14</v>
      </c>
      <c r="L1507">
        <f>_xlfn.XLOOKUP(C1507, dim_teams[team_name], dim_teams[team_id], "Not found", 0)</f>
        <v>17</v>
      </c>
    </row>
    <row r="1508" spans="1:12" x14ac:dyDescent="0.3">
      <c r="A1508" t="s">
        <v>415</v>
      </c>
      <c r="B1508">
        <v>2024</v>
      </c>
      <c r="C1508" t="s">
        <v>15</v>
      </c>
      <c r="D1508">
        <v>388</v>
      </c>
      <c r="E1508">
        <v>261</v>
      </c>
      <c r="F1508">
        <v>39</v>
      </c>
      <c r="G1508">
        <v>16</v>
      </c>
      <c r="H1508">
        <v>12</v>
      </c>
      <c r="I1508">
        <v>14</v>
      </c>
      <c r="J1508">
        <v>148.66</v>
      </c>
      <c r="K1508">
        <v>32.33</v>
      </c>
      <c r="L1508">
        <f>_xlfn.XLOOKUP(C1508, dim_teams[team_name], dim_teams[team_id], "Not found", 0)</f>
        <v>17</v>
      </c>
    </row>
    <row r="1509" spans="1:12" x14ac:dyDescent="0.3">
      <c r="A1509" t="s">
        <v>415</v>
      </c>
      <c r="B1509">
        <v>2025</v>
      </c>
      <c r="C1509" t="s">
        <v>76</v>
      </c>
      <c r="D1509">
        <v>160</v>
      </c>
      <c r="E1509">
        <v>85</v>
      </c>
      <c r="F1509">
        <v>8</v>
      </c>
      <c r="G1509">
        <v>15</v>
      </c>
      <c r="H1509">
        <v>6</v>
      </c>
      <c r="I1509">
        <v>11</v>
      </c>
      <c r="J1509">
        <v>188.24</v>
      </c>
      <c r="K1509">
        <v>26.67</v>
      </c>
      <c r="L1509">
        <f>_xlfn.XLOOKUP(C1509, dim_teams[team_name], dim_teams[team_id], "Not found", 0)</f>
        <v>16</v>
      </c>
    </row>
    <row r="1510" spans="1:12" x14ac:dyDescent="0.3">
      <c r="A1510" t="s">
        <v>416</v>
      </c>
      <c r="B1510">
        <v>2010</v>
      </c>
      <c r="C1510" t="s">
        <v>12</v>
      </c>
      <c r="D1510">
        <v>28</v>
      </c>
      <c r="E1510">
        <v>30</v>
      </c>
      <c r="F1510">
        <v>1</v>
      </c>
      <c r="G1510">
        <v>1</v>
      </c>
      <c r="H1510">
        <v>2</v>
      </c>
      <c r="I1510">
        <v>2</v>
      </c>
      <c r="J1510">
        <v>93.33</v>
      </c>
      <c r="K1510">
        <v>14</v>
      </c>
      <c r="L1510">
        <f>_xlfn.XLOOKUP(C1510, dim_teams[team_name], dim_teams[team_id], "Not found", 0)</f>
        <v>8</v>
      </c>
    </row>
    <row r="1511" spans="1:12" x14ac:dyDescent="0.3">
      <c r="A1511" t="s">
        <v>416</v>
      </c>
      <c r="B1511">
        <v>2011</v>
      </c>
      <c r="C1511" t="s">
        <v>37</v>
      </c>
      <c r="D1511">
        <v>50</v>
      </c>
      <c r="E1511">
        <v>49</v>
      </c>
      <c r="F1511">
        <v>2</v>
      </c>
      <c r="G1511">
        <v>3</v>
      </c>
      <c r="H1511">
        <v>2</v>
      </c>
      <c r="I1511">
        <v>3</v>
      </c>
      <c r="J1511">
        <v>102.04</v>
      </c>
      <c r="K1511">
        <v>25</v>
      </c>
      <c r="L1511">
        <f>_xlfn.XLOOKUP(C1511, dim_teams[team_name], dim_teams[team_id], "Not found", 0)</f>
        <v>10</v>
      </c>
    </row>
    <row r="1512" spans="1:12" x14ac:dyDescent="0.3">
      <c r="A1512" t="s">
        <v>416</v>
      </c>
      <c r="B1512">
        <v>2013</v>
      </c>
      <c r="C1512" t="s">
        <v>37</v>
      </c>
      <c r="D1512">
        <v>140</v>
      </c>
      <c r="E1512">
        <v>106</v>
      </c>
      <c r="F1512">
        <v>6</v>
      </c>
      <c r="G1512">
        <v>10</v>
      </c>
      <c r="H1512">
        <v>7</v>
      </c>
      <c r="I1512">
        <v>8</v>
      </c>
      <c r="J1512">
        <v>132.08000000000001</v>
      </c>
      <c r="K1512">
        <v>20</v>
      </c>
      <c r="L1512">
        <f>_xlfn.XLOOKUP(C1512, dim_teams[team_name], dim_teams[team_id], "Not found", 0)</f>
        <v>10</v>
      </c>
    </row>
    <row r="1513" spans="1:12" x14ac:dyDescent="0.3">
      <c r="A1513" t="s">
        <v>416</v>
      </c>
      <c r="B1513">
        <v>2016</v>
      </c>
      <c r="C1513" t="s">
        <v>45</v>
      </c>
      <c r="D1513">
        <v>7</v>
      </c>
      <c r="E1513">
        <v>11</v>
      </c>
      <c r="F1513">
        <v>0</v>
      </c>
      <c r="G1513">
        <v>0</v>
      </c>
      <c r="H1513">
        <v>1</v>
      </c>
      <c r="I1513">
        <v>1</v>
      </c>
      <c r="J1513">
        <v>63.64</v>
      </c>
      <c r="K1513">
        <v>7</v>
      </c>
      <c r="L1513">
        <f>_xlfn.XLOOKUP(C1513, dim_teams[team_name], dim_teams[team_id], "Not found", 0)</f>
        <v>12</v>
      </c>
    </row>
    <row r="1514" spans="1:12" x14ac:dyDescent="0.3">
      <c r="A1514" t="s">
        <v>416</v>
      </c>
      <c r="B1514">
        <v>2020</v>
      </c>
      <c r="C1514" t="s">
        <v>13</v>
      </c>
      <c r="D1514">
        <v>0</v>
      </c>
      <c r="E1514">
        <v>1</v>
      </c>
      <c r="F1514">
        <v>0</v>
      </c>
      <c r="G1514">
        <v>0</v>
      </c>
      <c r="H1514">
        <v>1</v>
      </c>
      <c r="I1514">
        <v>1</v>
      </c>
      <c r="J1514">
        <v>0</v>
      </c>
      <c r="K1514">
        <v>0</v>
      </c>
      <c r="L1514">
        <f>_xlfn.XLOOKUP(C1514, dim_teams[team_name], dim_teams[team_id], "Not found", 0)</f>
        <v>11</v>
      </c>
    </row>
    <row r="1515" spans="1:12" x14ac:dyDescent="0.3">
      <c r="A1515" t="s">
        <v>416</v>
      </c>
      <c r="B1515">
        <v>2022</v>
      </c>
      <c r="C1515" t="s">
        <v>33</v>
      </c>
      <c r="D1515">
        <v>251</v>
      </c>
      <c r="E1515">
        <v>189</v>
      </c>
      <c r="F1515">
        <v>19</v>
      </c>
      <c r="G1515">
        <v>14</v>
      </c>
      <c r="H1515">
        <v>7</v>
      </c>
      <c r="I1515">
        <v>8</v>
      </c>
      <c r="J1515">
        <v>132.80000000000001</v>
      </c>
      <c r="K1515">
        <v>35.86</v>
      </c>
      <c r="L1515">
        <f>_xlfn.XLOOKUP(C1515, dim_teams[team_name], dim_teams[team_id], "Not found", 0)</f>
        <v>15</v>
      </c>
    </row>
    <row r="1516" spans="1:12" x14ac:dyDescent="0.3">
      <c r="A1516" t="s">
        <v>416</v>
      </c>
      <c r="B1516">
        <v>2023</v>
      </c>
      <c r="C1516" t="s">
        <v>33</v>
      </c>
      <c r="D1516">
        <v>128</v>
      </c>
      <c r="E1516">
        <v>97</v>
      </c>
      <c r="F1516">
        <v>11</v>
      </c>
      <c r="G1516">
        <v>7</v>
      </c>
      <c r="H1516">
        <v>8</v>
      </c>
      <c r="I1516">
        <v>9</v>
      </c>
      <c r="J1516">
        <v>131.96</v>
      </c>
      <c r="K1516">
        <v>16</v>
      </c>
      <c r="L1516">
        <f>_xlfn.XLOOKUP(C1516, dim_teams[team_name], dim_teams[team_id], "Not found", 0)</f>
        <v>15</v>
      </c>
    </row>
    <row r="1517" spans="1:12" x14ac:dyDescent="0.3">
      <c r="A1517" t="s">
        <v>416</v>
      </c>
      <c r="B1517">
        <v>2024</v>
      </c>
      <c r="C1517" t="s">
        <v>33</v>
      </c>
      <c r="D1517">
        <v>61</v>
      </c>
      <c r="E1517">
        <v>38</v>
      </c>
      <c r="F1517">
        <v>9</v>
      </c>
      <c r="G1517">
        <v>3</v>
      </c>
      <c r="H1517">
        <v>4</v>
      </c>
      <c r="I1517">
        <v>4</v>
      </c>
      <c r="J1517">
        <v>160.53</v>
      </c>
      <c r="K1517">
        <v>15.25</v>
      </c>
      <c r="L1517">
        <f>_xlfn.XLOOKUP(C1517, dim_teams[team_name], dim_teams[team_id], "Not found", 0)</f>
        <v>15</v>
      </c>
    </row>
    <row r="1518" spans="1:12" x14ac:dyDescent="0.3">
      <c r="A1518" t="s">
        <v>416</v>
      </c>
      <c r="B1518">
        <v>2025</v>
      </c>
      <c r="C1518" t="s">
        <v>15</v>
      </c>
      <c r="D1518">
        <v>627</v>
      </c>
      <c r="E1518">
        <v>381</v>
      </c>
      <c r="F1518">
        <v>56</v>
      </c>
      <c r="G1518">
        <v>37</v>
      </c>
      <c r="H1518">
        <v>13</v>
      </c>
      <c r="I1518">
        <v>13</v>
      </c>
      <c r="J1518">
        <v>164.57</v>
      </c>
      <c r="K1518">
        <v>48.23</v>
      </c>
      <c r="L1518">
        <f>_xlfn.XLOOKUP(C1518, dim_teams[team_name], dim_teams[team_id], "Not found", 0)</f>
        <v>17</v>
      </c>
    </row>
    <row r="1519" spans="1:12" x14ac:dyDescent="0.3">
      <c r="A1519" t="s">
        <v>417</v>
      </c>
      <c r="B1519">
        <v>2025</v>
      </c>
      <c r="C1519" t="s">
        <v>102</v>
      </c>
      <c r="D1519">
        <v>1</v>
      </c>
      <c r="E1519">
        <v>4</v>
      </c>
      <c r="F1519">
        <v>0</v>
      </c>
      <c r="G1519">
        <v>0</v>
      </c>
      <c r="H1519">
        <v>1</v>
      </c>
      <c r="I1519">
        <v>1</v>
      </c>
      <c r="J1519">
        <v>25</v>
      </c>
      <c r="K1519">
        <v>1</v>
      </c>
      <c r="L1519">
        <f>_xlfn.XLOOKUP(C1519, dim_teams[team_name], dim_teams[team_id], "Not found", 0)</f>
        <v>19</v>
      </c>
    </row>
    <row r="1520" spans="1:12" x14ac:dyDescent="0.3">
      <c r="A1520" t="s">
        <v>418</v>
      </c>
      <c r="B1520">
        <v>2010</v>
      </c>
      <c r="C1520" t="s">
        <v>54</v>
      </c>
      <c r="D1520">
        <v>218</v>
      </c>
      <c r="E1520">
        <v>177</v>
      </c>
      <c r="F1520">
        <v>27</v>
      </c>
      <c r="G1520">
        <v>6</v>
      </c>
      <c r="H1520">
        <v>9</v>
      </c>
      <c r="I1520">
        <v>10</v>
      </c>
      <c r="J1520">
        <v>123.16</v>
      </c>
      <c r="K1520">
        <v>24.22</v>
      </c>
      <c r="L1520">
        <f>_xlfn.XLOOKUP(C1520, dim_teams[team_name], dim_teams[team_id], "Not found", 0)</f>
        <v>4</v>
      </c>
    </row>
    <row r="1521" spans="1:12" x14ac:dyDescent="0.3">
      <c r="A1521" t="s">
        <v>418</v>
      </c>
      <c r="B1521">
        <v>2011</v>
      </c>
      <c r="C1521" t="s">
        <v>19</v>
      </c>
      <c r="D1521">
        <v>72</v>
      </c>
      <c r="E1521">
        <v>89</v>
      </c>
      <c r="F1521">
        <v>8</v>
      </c>
      <c r="G1521">
        <v>0</v>
      </c>
      <c r="H1521">
        <v>4</v>
      </c>
      <c r="I1521">
        <v>5</v>
      </c>
      <c r="J1521">
        <v>80.900000000000006</v>
      </c>
      <c r="K1521">
        <v>18</v>
      </c>
      <c r="L1521">
        <f>_xlfn.XLOOKUP(C1521, dim_teams[team_name], dim_teams[team_id], "Not found", 0)</f>
        <v>1</v>
      </c>
    </row>
    <row r="1522" spans="1:12" x14ac:dyDescent="0.3">
      <c r="A1522" t="s">
        <v>418</v>
      </c>
      <c r="B1522">
        <v>2012</v>
      </c>
      <c r="C1522" t="s">
        <v>19</v>
      </c>
      <c r="D1522">
        <v>213</v>
      </c>
      <c r="E1522">
        <v>160</v>
      </c>
      <c r="F1522">
        <v>16</v>
      </c>
      <c r="G1522">
        <v>10</v>
      </c>
      <c r="H1522">
        <v>7</v>
      </c>
      <c r="I1522">
        <v>7</v>
      </c>
      <c r="J1522">
        <v>133.12</v>
      </c>
      <c r="K1522">
        <v>30.43</v>
      </c>
      <c r="L1522">
        <f>_xlfn.XLOOKUP(C1522, dim_teams[team_name], dim_teams[team_id], "Not found", 0)</f>
        <v>1</v>
      </c>
    </row>
    <row r="1523" spans="1:12" x14ac:dyDescent="0.3">
      <c r="A1523" t="s">
        <v>418</v>
      </c>
      <c r="B1523">
        <v>2013</v>
      </c>
      <c r="C1523" t="s">
        <v>19</v>
      </c>
      <c r="D1523">
        <v>255</v>
      </c>
      <c r="E1523">
        <v>235</v>
      </c>
      <c r="F1523">
        <v>36</v>
      </c>
      <c r="G1523">
        <v>6</v>
      </c>
      <c r="H1523">
        <v>14</v>
      </c>
      <c r="I1523">
        <v>14</v>
      </c>
      <c r="J1523">
        <v>108.51</v>
      </c>
      <c r="K1523">
        <v>18.21</v>
      </c>
      <c r="L1523">
        <f>_xlfn.XLOOKUP(C1523, dim_teams[team_name], dim_teams[team_id], "Not found", 0)</f>
        <v>1</v>
      </c>
    </row>
    <row r="1524" spans="1:12" x14ac:dyDescent="0.3">
      <c r="A1524" t="s">
        <v>418</v>
      </c>
      <c r="B1524">
        <v>2014</v>
      </c>
      <c r="C1524" t="s">
        <v>19</v>
      </c>
      <c r="D1524">
        <v>3</v>
      </c>
      <c r="E1524">
        <v>9</v>
      </c>
      <c r="F1524">
        <v>0</v>
      </c>
      <c r="G1524">
        <v>0</v>
      </c>
      <c r="H1524">
        <v>1</v>
      </c>
      <c r="I1524">
        <v>1</v>
      </c>
      <c r="J1524">
        <v>33.33</v>
      </c>
      <c r="K1524">
        <v>3</v>
      </c>
      <c r="L1524">
        <f>_xlfn.XLOOKUP(C1524, dim_teams[team_name], dim_teams[team_id], "Not found", 0)</f>
        <v>1</v>
      </c>
    </row>
    <row r="1525" spans="1:12" x14ac:dyDescent="0.3">
      <c r="A1525" t="s">
        <v>418</v>
      </c>
      <c r="B1525">
        <v>2015</v>
      </c>
      <c r="C1525" t="s">
        <v>21</v>
      </c>
      <c r="D1525">
        <v>37</v>
      </c>
      <c r="E1525">
        <v>30</v>
      </c>
      <c r="F1525">
        <v>6</v>
      </c>
      <c r="G1525">
        <v>1</v>
      </c>
      <c r="H1525">
        <v>2</v>
      </c>
      <c r="I1525">
        <v>2</v>
      </c>
      <c r="J1525">
        <v>123.33</v>
      </c>
      <c r="K1525">
        <v>18.5</v>
      </c>
      <c r="L1525">
        <f>_xlfn.XLOOKUP(C1525, dim_teams[team_name], dim_teams[team_id], "Not found", 0)</f>
        <v>2</v>
      </c>
    </row>
    <row r="1526" spans="1:12" x14ac:dyDescent="0.3">
      <c r="A1526" t="s">
        <v>419</v>
      </c>
      <c r="B1526">
        <v>2008</v>
      </c>
      <c r="C1526" t="s">
        <v>25</v>
      </c>
      <c r="D1526">
        <v>414</v>
      </c>
      <c r="E1526">
        <v>310</v>
      </c>
      <c r="F1526">
        <v>38</v>
      </c>
      <c r="G1526">
        <v>15</v>
      </c>
      <c r="H1526">
        <v>11</v>
      </c>
      <c r="I1526">
        <v>14</v>
      </c>
      <c r="J1526">
        <v>133.55000000000001</v>
      </c>
      <c r="K1526">
        <v>37.64</v>
      </c>
      <c r="L1526">
        <f>_xlfn.XLOOKUP(C1526, dim_teams[team_name], dim_teams[team_id], "Not found", 0)</f>
        <v>3</v>
      </c>
    </row>
    <row r="1527" spans="1:12" x14ac:dyDescent="0.3">
      <c r="A1527" t="s">
        <v>419</v>
      </c>
      <c r="B1527">
        <v>2009</v>
      </c>
      <c r="C1527" t="s">
        <v>25</v>
      </c>
      <c r="D1527">
        <v>332</v>
      </c>
      <c r="E1527">
        <v>261</v>
      </c>
      <c r="F1527">
        <v>22</v>
      </c>
      <c r="G1527">
        <v>9</v>
      </c>
      <c r="H1527">
        <v>8</v>
      </c>
      <c r="I1527">
        <v>13</v>
      </c>
      <c r="J1527">
        <v>127.2</v>
      </c>
      <c r="K1527">
        <v>41.5</v>
      </c>
      <c r="L1527">
        <f>_xlfn.XLOOKUP(C1527, dim_teams[team_name], dim_teams[team_id], "Not found", 0)</f>
        <v>3</v>
      </c>
    </row>
    <row r="1528" spans="1:12" x14ac:dyDescent="0.3">
      <c r="A1528" t="s">
        <v>419</v>
      </c>
      <c r="B1528">
        <v>2010</v>
      </c>
      <c r="C1528" t="s">
        <v>25</v>
      </c>
      <c r="D1528">
        <v>287</v>
      </c>
      <c r="E1528">
        <v>210</v>
      </c>
      <c r="F1528">
        <v>26</v>
      </c>
      <c r="G1528">
        <v>8</v>
      </c>
      <c r="H1528">
        <v>9</v>
      </c>
      <c r="I1528">
        <v>11</v>
      </c>
      <c r="J1528">
        <v>136.66999999999999</v>
      </c>
      <c r="K1528">
        <v>31.89</v>
      </c>
      <c r="L1528">
        <f>_xlfn.XLOOKUP(C1528, dim_teams[team_name], dim_teams[team_id], "Not found", 0)</f>
        <v>3</v>
      </c>
    </row>
    <row r="1529" spans="1:12" x14ac:dyDescent="0.3">
      <c r="A1529" t="s">
        <v>419</v>
      </c>
      <c r="B1529">
        <v>2011</v>
      </c>
      <c r="C1529" t="s">
        <v>25</v>
      </c>
      <c r="D1529">
        <v>392</v>
      </c>
      <c r="E1529">
        <v>245</v>
      </c>
      <c r="F1529">
        <v>25</v>
      </c>
      <c r="G1529">
        <v>23</v>
      </c>
      <c r="H1529">
        <v>11</v>
      </c>
      <c r="I1529">
        <v>13</v>
      </c>
      <c r="J1529">
        <v>160</v>
      </c>
      <c r="K1529">
        <v>35.64</v>
      </c>
      <c r="L1529">
        <f>_xlfn.XLOOKUP(C1529, dim_teams[team_name], dim_teams[team_id], "Not found", 0)</f>
        <v>3</v>
      </c>
    </row>
    <row r="1530" spans="1:12" x14ac:dyDescent="0.3">
      <c r="A1530" t="s">
        <v>419</v>
      </c>
      <c r="B1530">
        <v>2012</v>
      </c>
      <c r="C1530" t="s">
        <v>25</v>
      </c>
      <c r="D1530">
        <v>358</v>
      </c>
      <c r="E1530">
        <v>275</v>
      </c>
      <c r="F1530">
        <v>26</v>
      </c>
      <c r="G1530">
        <v>9</v>
      </c>
      <c r="H1530">
        <v>11</v>
      </c>
      <c r="I1530">
        <v>17</v>
      </c>
      <c r="J1530">
        <v>130.18</v>
      </c>
      <c r="K1530">
        <v>32.549999999999997</v>
      </c>
      <c r="L1530">
        <f>_xlfn.XLOOKUP(C1530, dim_teams[team_name], dim_teams[team_id], "Not found", 0)</f>
        <v>3</v>
      </c>
    </row>
    <row r="1531" spans="1:12" x14ac:dyDescent="0.3">
      <c r="A1531" t="s">
        <v>419</v>
      </c>
      <c r="B1531">
        <v>2013</v>
      </c>
      <c r="C1531" t="s">
        <v>25</v>
      </c>
      <c r="D1531">
        <v>461</v>
      </c>
      <c r="E1531">
        <v>280</v>
      </c>
      <c r="F1531">
        <v>32</v>
      </c>
      <c r="G1531">
        <v>25</v>
      </c>
      <c r="H1531">
        <v>12</v>
      </c>
      <c r="I1531">
        <v>16</v>
      </c>
      <c r="J1531">
        <v>164.64</v>
      </c>
      <c r="K1531">
        <v>38.42</v>
      </c>
      <c r="L1531">
        <f>_xlfn.XLOOKUP(C1531, dim_teams[team_name], dim_teams[team_id], "Not found", 0)</f>
        <v>3</v>
      </c>
    </row>
    <row r="1532" spans="1:12" x14ac:dyDescent="0.3">
      <c r="A1532" t="s">
        <v>419</v>
      </c>
      <c r="B1532">
        <v>2014</v>
      </c>
      <c r="C1532" t="s">
        <v>25</v>
      </c>
      <c r="D1532">
        <v>371</v>
      </c>
      <c r="E1532">
        <v>247</v>
      </c>
      <c r="F1532">
        <v>22</v>
      </c>
      <c r="G1532">
        <v>20</v>
      </c>
      <c r="H1532">
        <v>6</v>
      </c>
      <c r="I1532">
        <v>15</v>
      </c>
      <c r="J1532">
        <v>150.19999999999999</v>
      </c>
      <c r="K1532">
        <v>61.83</v>
      </c>
      <c r="L1532">
        <f>_xlfn.XLOOKUP(C1532, dim_teams[team_name], dim_teams[team_id], "Not found", 0)</f>
        <v>3</v>
      </c>
    </row>
    <row r="1533" spans="1:12" x14ac:dyDescent="0.3">
      <c r="A1533" t="s">
        <v>419</v>
      </c>
      <c r="B1533">
        <v>2015</v>
      </c>
      <c r="C1533" t="s">
        <v>25</v>
      </c>
      <c r="D1533">
        <v>372</v>
      </c>
      <c r="E1533">
        <v>305</v>
      </c>
      <c r="F1533">
        <v>27</v>
      </c>
      <c r="G1533">
        <v>17</v>
      </c>
      <c r="H1533">
        <v>16</v>
      </c>
      <c r="I1533">
        <v>17</v>
      </c>
      <c r="J1533">
        <v>121.97</v>
      </c>
      <c r="K1533">
        <v>23.25</v>
      </c>
      <c r="L1533">
        <f>_xlfn.XLOOKUP(C1533, dim_teams[team_name], dim_teams[team_id], "Not found", 0)</f>
        <v>3</v>
      </c>
    </row>
    <row r="1534" spans="1:12" x14ac:dyDescent="0.3">
      <c r="A1534" t="s">
        <v>419</v>
      </c>
      <c r="B1534">
        <v>2016</v>
      </c>
      <c r="C1534" t="s">
        <v>45</v>
      </c>
      <c r="D1534">
        <v>284</v>
      </c>
      <c r="E1534">
        <v>210</v>
      </c>
      <c r="F1534">
        <v>18</v>
      </c>
      <c r="G1534">
        <v>14</v>
      </c>
      <c r="H1534">
        <v>8</v>
      </c>
      <c r="I1534">
        <v>12</v>
      </c>
      <c r="J1534">
        <v>135.24</v>
      </c>
      <c r="K1534">
        <v>35.5</v>
      </c>
      <c r="L1534">
        <f>_xlfn.XLOOKUP(C1534, dim_teams[team_name], dim_teams[team_id], "Not found", 0)</f>
        <v>12</v>
      </c>
    </row>
    <row r="1535" spans="1:12" x14ac:dyDescent="0.3">
      <c r="A1535" t="s">
        <v>419</v>
      </c>
      <c r="B1535">
        <v>2017</v>
      </c>
      <c r="C1535" t="s">
        <v>46</v>
      </c>
      <c r="D1535">
        <v>290</v>
      </c>
      <c r="E1535">
        <v>250</v>
      </c>
      <c r="F1535">
        <v>15</v>
      </c>
      <c r="G1535">
        <v>16</v>
      </c>
      <c r="H1535">
        <v>13</v>
      </c>
      <c r="I1535">
        <v>15</v>
      </c>
      <c r="J1535">
        <v>116</v>
      </c>
      <c r="K1535">
        <v>22.31</v>
      </c>
      <c r="L1535">
        <f>_xlfn.XLOOKUP(C1535, dim_teams[team_name], dim_teams[team_id], "Not found", 0)</f>
        <v>14</v>
      </c>
    </row>
    <row r="1536" spans="1:12" x14ac:dyDescent="0.3">
      <c r="A1536" t="s">
        <v>419</v>
      </c>
      <c r="B1536">
        <v>2018</v>
      </c>
      <c r="C1536" t="s">
        <v>25</v>
      </c>
      <c r="D1536">
        <v>455</v>
      </c>
      <c r="E1536">
        <v>301</v>
      </c>
      <c r="F1536">
        <v>24</v>
      </c>
      <c r="G1536">
        <v>30</v>
      </c>
      <c r="H1536">
        <v>7</v>
      </c>
      <c r="I1536">
        <v>15</v>
      </c>
      <c r="J1536">
        <v>151.16</v>
      </c>
      <c r="K1536">
        <v>65</v>
      </c>
      <c r="L1536">
        <f>_xlfn.XLOOKUP(C1536, dim_teams[team_name], dim_teams[team_id], "Not found", 0)</f>
        <v>3</v>
      </c>
    </row>
    <row r="1537" spans="1:12" x14ac:dyDescent="0.3">
      <c r="A1537" t="s">
        <v>419</v>
      </c>
      <c r="B1537">
        <v>2019</v>
      </c>
      <c r="C1537" t="s">
        <v>25</v>
      </c>
      <c r="D1537">
        <v>416</v>
      </c>
      <c r="E1537">
        <v>305</v>
      </c>
      <c r="F1537">
        <v>22</v>
      </c>
      <c r="G1537">
        <v>23</v>
      </c>
      <c r="H1537">
        <v>6</v>
      </c>
      <c r="I1537">
        <v>12</v>
      </c>
      <c r="J1537">
        <v>136.38999999999999</v>
      </c>
      <c r="K1537">
        <v>69.33</v>
      </c>
      <c r="L1537">
        <f>_xlfn.XLOOKUP(C1537, dim_teams[team_name], dim_teams[team_id], "Not found", 0)</f>
        <v>3</v>
      </c>
    </row>
    <row r="1538" spans="1:12" x14ac:dyDescent="0.3">
      <c r="A1538" t="s">
        <v>419</v>
      </c>
      <c r="B1538">
        <v>2020</v>
      </c>
      <c r="C1538" t="s">
        <v>25</v>
      </c>
      <c r="D1538">
        <v>200</v>
      </c>
      <c r="E1538">
        <v>172</v>
      </c>
      <c r="F1538">
        <v>16</v>
      </c>
      <c r="G1538">
        <v>7</v>
      </c>
      <c r="H1538">
        <v>8</v>
      </c>
      <c r="I1538">
        <v>12</v>
      </c>
      <c r="J1538">
        <v>116.28</v>
      </c>
      <c r="K1538">
        <v>25</v>
      </c>
      <c r="L1538">
        <f>_xlfn.XLOOKUP(C1538, dim_teams[team_name], dim_teams[team_id], "Not found", 0)</f>
        <v>3</v>
      </c>
    </row>
    <row r="1539" spans="1:12" x14ac:dyDescent="0.3">
      <c r="A1539" t="s">
        <v>419</v>
      </c>
      <c r="B1539">
        <v>2021</v>
      </c>
      <c r="C1539" t="s">
        <v>25</v>
      </c>
      <c r="D1539">
        <v>114</v>
      </c>
      <c r="E1539">
        <v>107</v>
      </c>
      <c r="F1539">
        <v>12</v>
      </c>
      <c r="G1539">
        <v>3</v>
      </c>
      <c r="H1539">
        <v>8</v>
      </c>
      <c r="I1539">
        <v>11</v>
      </c>
      <c r="J1539">
        <v>106.54</v>
      </c>
      <c r="K1539">
        <v>14.25</v>
      </c>
      <c r="L1539">
        <f>_xlfn.XLOOKUP(C1539, dim_teams[team_name], dim_teams[team_id], "Not found", 0)</f>
        <v>3</v>
      </c>
    </row>
    <row r="1540" spans="1:12" x14ac:dyDescent="0.3">
      <c r="A1540" t="s">
        <v>419</v>
      </c>
      <c r="B1540">
        <v>2022</v>
      </c>
      <c r="C1540" t="s">
        <v>25</v>
      </c>
      <c r="D1540">
        <v>232</v>
      </c>
      <c r="E1540">
        <v>186</v>
      </c>
      <c r="F1540">
        <v>21</v>
      </c>
      <c r="G1540">
        <v>10</v>
      </c>
      <c r="H1540">
        <v>8</v>
      </c>
      <c r="I1540">
        <v>12</v>
      </c>
      <c r="J1540">
        <v>124.73</v>
      </c>
      <c r="K1540">
        <v>29</v>
      </c>
      <c r="L1540">
        <f>_xlfn.XLOOKUP(C1540, dim_teams[team_name], dim_teams[team_id], "Not found", 0)</f>
        <v>3</v>
      </c>
    </row>
    <row r="1541" spans="1:12" x14ac:dyDescent="0.3">
      <c r="A1541" t="s">
        <v>419</v>
      </c>
      <c r="B1541">
        <v>2023</v>
      </c>
      <c r="C1541" t="s">
        <v>25</v>
      </c>
      <c r="D1541">
        <v>104</v>
      </c>
      <c r="E1541">
        <v>54</v>
      </c>
      <c r="F1541">
        <v>3</v>
      </c>
      <c r="G1541">
        <v>10</v>
      </c>
      <c r="H1541">
        <v>4</v>
      </c>
      <c r="I1541">
        <v>12</v>
      </c>
      <c r="J1541">
        <v>192.59</v>
      </c>
      <c r="K1541">
        <v>26</v>
      </c>
      <c r="L1541">
        <f>_xlfn.XLOOKUP(C1541, dim_teams[team_name], dim_teams[team_id], "Not found", 0)</f>
        <v>3</v>
      </c>
    </row>
    <row r="1542" spans="1:12" x14ac:dyDescent="0.3">
      <c r="A1542" t="s">
        <v>419</v>
      </c>
      <c r="B1542">
        <v>2024</v>
      </c>
      <c r="C1542" t="s">
        <v>25</v>
      </c>
      <c r="D1542">
        <v>161</v>
      </c>
      <c r="E1542">
        <v>72</v>
      </c>
      <c r="F1542">
        <v>14</v>
      </c>
      <c r="G1542">
        <v>13</v>
      </c>
      <c r="H1542">
        <v>3</v>
      </c>
      <c r="I1542">
        <v>11</v>
      </c>
      <c r="J1542">
        <v>223.61</v>
      </c>
      <c r="K1542">
        <v>53.67</v>
      </c>
      <c r="L1542">
        <f>_xlfn.XLOOKUP(C1542, dim_teams[team_name], dim_teams[team_id], "Not found", 0)</f>
        <v>3</v>
      </c>
    </row>
    <row r="1543" spans="1:12" x14ac:dyDescent="0.3">
      <c r="A1543" t="s">
        <v>419</v>
      </c>
      <c r="B1543">
        <v>2025</v>
      </c>
      <c r="C1543" t="s">
        <v>25</v>
      </c>
      <c r="D1543">
        <v>196</v>
      </c>
      <c r="E1543">
        <v>145</v>
      </c>
      <c r="F1543">
        <v>12</v>
      </c>
      <c r="G1543">
        <v>12</v>
      </c>
      <c r="H1543">
        <v>9</v>
      </c>
      <c r="I1543">
        <v>13</v>
      </c>
      <c r="J1543">
        <v>135.16999999999999</v>
      </c>
      <c r="K1543">
        <v>21.78</v>
      </c>
      <c r="L1543">
        <f>_xlfn.XLOOKUP(C1543, dim_teams[team_name], dim_teams[team_id], "Not found", 0)</f>
        <v>3</v>
      </c>
    </row>
    <row r="1544" spans="1:12" x14ac:dyDescent="0.3">
      <c r="A1544" t="s">
        <v>420</v>
      </c>
      <c r="B1544">
        <v>2008</v>
      </c>
      <c r="C1544" t="s">
        <v>25</v>
      </c>
      <c r="D1544">
        <v>35</v>
      </c>
      <c r="E1544">
        <v>22</v>
      </c>
      <c r="F1544">
        <v>2</v>
      </c>
      <c r="G1544">
        <v>3</v>
      </c>
      <c r="H1544">
        <v>1</v>
      </c>
      <c r="I1544">
        <v>5</v>
      </c>
      <c r="J1544">
        <v>159.09</v>
      </c>
      <c r="K1544">
        <v>35</v>
      </c>
      <c r="L1544">
        <f>_xlfn.XLOOKUP(C1544, dim_teams[team_name], dim_teams[team_id], "Not found", 0)</f>
        <v>3</v>
      </c>
    </row>
    <row r="1545" spans="1:12" x14ac:dyDescent="0.3">
      <c r="A1545" t="s">
        <v>420</v>
      </c>
      <c r="B1545">
        <v>2009</v>
      </c>
      <c r="C1545" t="s">
        <v>25</v>
      </c>
      <c r="D1545">
        <v>13</v>
      </c>
      <c r="E1545">
        <v>7</v>
      </c>
      <c r="F1545">
        <v>0</v>
      </c>
      <c r="G1545">
        <v>2</v>
      </c>
      <c r="H1545">
        <v>2</v>
      </c>
      <c r="I1545">
        <v>2</v>
      </c>
      <c r="J1545">
        <v>185.71</v>
      </c>
      <c r="K1545">
        <v>6.5</v>
      </c>
      <c r="L1545">
        <f>_xlfn.XLOOKUP(C1545, dim_teams[team_name], dim_teams[team_id], "Not found", 0)</f>
        <v>3</v>
      </c>
    </row>
    <row r="1546" spans="1:12" x14ac:dyDescent="0.3">
      <c r="A1546" t="s">
        <v>420</v>
      </c>
      <c r="B1546">
        <v>2010</v>
      </c>
      <c r="C1546" t="s">
        <v>25</v>
      </c>
      <c r="D1546">
        <v>2</v>
      </c>
      <c r="E1546">
        <v>6</v>
      </c>
      <c r="F1546">
        <v>0</v>
      </c>
      <c r="G1546">
        <v>0</v>
      </c>
      <c r="H1546">
        <v>1</v>
      </c>
      <c r="I1546">
        <v>1</v>
      </c>
      <c r="J1546">
        <v>33.33</v>
      </c>
      <c r="K1546">
        <v>2</v>
      </c>
      <c r="L1546">
        <f>_xlfn.XLOOKUP(C1546, dim_teams[team_name], dim_teams[team_id], "Not found", 0)</f>
        <v>3</v>
      </c>
    </row>
    <row r="1547" spans="1:12" x14ac:dyDescent="0.3">
      <c r="A1547" t="s">
        <v>420</v>
      </c>
      <c r="B1547">
        <v>2011</v>
      </c>
      <c r="C1547" t="s">
        <v>12</v>
      </c>
      <c r="D1547">
        <v>0</v>
      </c>
      <c r="E1547">
        <v>2</v>
      </c>
      <c r="F1547">
        <v>0</v>
      </c>
      <c r="G1547">
        <v>0</v>
      </c>
      <c r="H1547">
        <v>1</v>
      </c>
      <c r="I1547">
        <v>2</v>
      </c>
      <c r="J1547">
        <v>0</v>
      </c>
      <c r="K1547">
        <v>0</v>
      </c>
      <c r="L1547">
        <f>_xlfn.XLOOKUP(C1547, dim_teams[team_name], dim_teams[team_id], "Not found", 0)</f>
        <v>8</v>
      </c>
    </row>
    <row r="1548" spans="1:12" x14ac:dyDescent="0.3">
      <c r="A1548" t="s">
        <v>420</v>
      </c>
      <c r="B1548">
        <v>2012</v>
      </c>
      <c r="C1548" t="s">
        <v>12</v>
      </c>
      <c r="D1548">
        <v>4</v>
      </c>
      <c r="E1548">
        <v>8</v>
      </c>
      <c r="F1548">
        <v>0</v>
      </c>
      <c r="G1548">
        <v>0</v>
      </c>
      <c r="H1548">
        <v>1</v>
      </c>
      <c r="I1548">
        <v>1</v>
      </c>
      <c r="J1548">
        <v>50</v>
      </c>
      <c r="K1548">
        <v>4</v>
      </c>
      <c r="L1548">
        <f>_xlfn.XLOOKUP(C1548, dim_teams[team_name], dim_teams[team_id], "Not found", 0)</f>
        <v>8</v>
      </c>
    </row>
    <row r="1549" spans="1:12" x14ac:dyDescent="0.3">
      <c r="A1549" t="s">
        <v>420</v>
      </c>
      <c r="B1549">
        <v>2013</v>
      </c>
      <c r="C1549" t="s">
        <v>54</v>
      </c>
      <c r="D1549">
        <v>45</v>
      </c>
      <c r="E1549">
        <v>25</v>
      </c>
      <c r="F1549">
        <v>4</v>
      </c>
      <c r="G1549">
        <v>3</v>
      </c>
      <c r="H1549">
        <v>3</v>
      </c>
      <c r="I1549">
        <v>4</v>
      </c>
      <c r="J1549">
        <v>180</v>
      </c>
      <c r="K1549">
        <v>15</v>
      </c>
      <c r="L1549">
        <f>_xlfn.XLOOKUP(C1549, dim_teams[team_name], dim_teams[team_id], "Not found", 0)</f>
        <v>4</v>
      </c>
    </row>
    <row r="1550" spans="1:12" x14ac:dyDescent="0.3">
      <c r="A1550" t="s">
        <v>421</v>
      </c>
      <c r="B1550">
        <v>2011</v>
      </c>
      <c r="C1550" t="s">
        <v>32</v>
      </c>
      <c r="D1550">
        <v>22</v>
      </c>
      <c r="E1550">
        <v>33</v>
      </c>
      <c r="F1550">
        <v>0</v>
      </c>
      <c r="G1550">
        <v>0</v>
      </c>
      <c r="H1550">
        <v>3</v>
      </c>
      <c r="I1550">
        <v>3</v>
      </c>
      <c r="J1550">
        <v>66.67</v>
      </c>
      <c r="K1550">
        <v>7.33</v>
      </c>
      <c r="L1550">
        <f>_xlfn.XLOOKUP(C1550, dim_teams[team_name], dim_teams[team_id], "Not found", 0)</f>
        <v>6</v>
      </c>
    </row>
    <row r="1551" spans="1:12" x14ac:dyDescent="0.3">
      <c r="A1551" t="s">
        <v>421</v>
      </c>
      <c r="B1551">
        <v>2022</v>
      </c>
      <c r="C1551" t="s">
        <v>29</v>
      </c>
      <c r="D1551">
        <v>157</v>
      </c>
      <c r="E1551">
        <v>138</v>
      </c>
      <c r="F1551">
        <v>23</v>
      </c>
      <c r="G1551">
        <v>2</v>
      </c>
      <c r="H1551">
        <v>9</v>
      </c>
      <c r="I1551">
        <v>10</v>
      </c>
      <c r="J1551">
        <v>113.77</v>
      </c>
      <c r="K1551">
        <v>17.440000000000001</v>
      </c>
      <c r="L1551">
        <f>_xlfn.XLOOKUP(C1551, dim_teams[team_name], dim_teams[team_id], "Not found", 0)</f>
        <v>18</v>
      </c>
    </row>
    <row r="1552" spans="1:12" x14ac:dyDescent="0.3">
      <c r="A1552" t="s">
        <v>421</v>
      </c>
      <c r="B1552">
        <v>2024</v>
      </c>
      <c r="C1552" t="s">
        <v>29</v>
      </c>
      <c r="D1552">
        <v>4</v>
      </c>
      <c r="E1552">
        <v>6</v>
      </c>
      <c r="F1552">
        <v>0</v>
      </c>
      <c r="G1552">
        <v>0</v>
      </c>
      <c r="H1552">
        <v>1</v>
      </c>
      <c r="I1552">
        <v>1</v>
      </c>
      <c r="J1552">
        <v>66.67</v>
      </c>
      <c r="K1552">
        <v>4</v>
      </c>
      <c r="L1552">
        <f>_xlfn.XLOOKUP(C1552, dim_teams[team_name], dim_teams[team_id], "Not found", 0)</f>
        <v>18</v>
      </c>
    </row>
    <row r="1553" spans="1:12" x14ac:dyDescent="0.3">
      <c r="A1553" t="s">
        <v>422</v>
      </c>
      <c r="B1553">
        <v>2008</v>
      </c>
      <c r="C1553" t="s">
        <v>21</v>
      </c>
      <c r="D1553">
        <v>225</v>
      </c>
      <c r="E1553">
        <v>177</v>
      </c>
      <c r="F1553">
        <v>24</v>
      </c>
      <c r="G1553">
        <v>6</v>
      </c>
      <c r="H1553">
        <v>8</v>
      </c>
      <c r="I1553">
        <v>10</v>
      </c>
      <c r="J1553">
        <v>127.12</v>
      </c>
      <c r="K1553">
        <v>28.12</v>
      </c>
      <c r="L1553">
        <f>_xlfn.XLOOKUP(C1553, dim_teams[team_name], dim_teams[team_id], "Not found", 0)</f>
        <v>2</v>
      </c>
    </row>
    <row r="1554" spans="1:12" x14ac:dyDescent="0.3">
      <c r="A1554" t="s">
        <v>422</v>
      </c>
      <c r="B1554">
        <v>2009</v>
      </c>
      <c r="C1554" t="s">
        <v>21</v>
      </c>
      <c r="D1554">
        <v>150</v>
      </c>
      <c r="E1554">
        <v>114</v>
      </c>
      <c r="F1554">
        <v>8</v>
      </c>
      <c r="G1554">
        <v>6</v>
      </c>
      <c r="H1554">
        <v>5</v>
      </c>
      <c r="I1554">
        <v>9</v>
      </c>
      <c r="J1554">
        <v>131.58000000000001</v>
      </c>
      <c r="K1554">
        <v>30</v>
      </c>
      <c r="L1554">
        <f>_xlfn.XLOOKUP(C1554, dim_teams[team_name], dim_teams[team_id], "Not found", 0)</f>
        <v>2</v>
      </c>
    </row>
    <row r="1555" spans="1:12" x14ac:dyDescent="0.3">
      <c r="A1555" t="s">
        <v>422</v>
      </c>
      <c r="B1555">
        <v>2010</v>
      </c>
      <c r="C1555" t="s">
        <v>21</v>
      </c>
      <c r="D1555">
        <v>13</v>
      </c>
      <c r="E1555">
        <v>10</v>
      </c>
      <c r="F1555">
        <v>0</v>
      </c>
      <c r="G1555">
        <v>1</v>
      </c>
      <c r="H1555">
        <v>1</v>
      </c>
      <c r="I1555">
        <v>2</v>
      </c>
      <c r="J1555">
        <v>130</v>
      </c>
      <c r="K1555">
        <v>13</v>
      </c>
      <c r="L1555">
        <f>_xlfn.XLOOKUP(C1555, dim_teams[team_name], dim_teams[team_id], "Not found", 0)</f>
        <v>2</v>
      </c>
    </row>
    <row r="1556" spans="1:12" x14ac:dyDescent="0.3">
      <c r="A1556" t="s">
        <v>422</v>
      </c>
      <c r="B1556">
        <v>2011</v>
      </c>
      <c r="C1556" t="s">
        <v>19</v>
      </c>
      <c r="D1556">
        <v>6</v>
      </c>
      <c r="E1556">
        <v>6</v>
      </c>
      <c r="F1556">
        <v>0</v>
      </c>
      <c r="G1556">
        <v>0</v>
      </c>
      <c r="H1556">
        <v>1</v>
      </c>
      <c r="I1556">
        <v>2</v>
      </c>
      <c r="J1556">
        <v>100</v>
      </c>
      <c r="K1556">
        <v>6</v>
      </c>
      <c r="L1556">
        <f>_xlfn.XLOOKUP(C1556, dim_teams[team_name], dim_teams[team_id], "Not found", 0)</f>
        <v>1</v>
      </c>
    </row>
    <row r="1557" spans="1:12" x14ac:dyDescent="0.3">
      <c r="A1557" t="s">
        <v>423</v>
      </c>
      <c r="B1557">
        <v>2023</v>
      </c>
      <c r="C1557" t="s">
        <v>76</v>
      </c>
      <c r="D1557">
        <v>117</v>
      </c>
      <c r="E1557">
        <v>92</v>
      </c>
      <c r="F1557">
        <v>15</v>
      </c>
      <c r="G1557">
        <v>4</v>
      </c>
      <c r="H1557">
        <v>6</v>
      </c>
      <c r="I1557">
        <v>6</v>
      </c>
      <c r="J1557">
        <v>127.17</v>
      </c>
      <c r="K1557">
        <v>19.5</v>
      </c>
      <c r="L1557">
        <f>_xlfn.XLOOKUP(C1557, dim_teams[team_name], dim_teams[team_id], "Not found", 0)</f>
        <v>16</v>
      </c>
    </row>
    <row r="1558" spans="1:12" x14ac:dyDescent="0.3">
      <c r="A1558" t="s">
        <v>424</v>
      </c>
      <c r="B1558">
        <v>2010</v>
      </c>
      <c r="C1558" t="s">
        <v>19</v>
      </c>
      <c r="D1558">
        <v>4</v>
      </c>
      <c r="E1558">
        <v>11</v>
      </c>
      <c r="F1558">
        <v>1</v>
      </c>
      <c r="G1558">
        <v>0</v>
      </c>
      <c r="H1558">
        <v>2</v>
      </c>
      <c r="I1558">
        <v>2</v>
      </c>
      <c r="J1558">
        <v>36.36</v>
      </c>
      <c r="K1558">
        <v>2</v>
      </c>
      <c r="L1558">
        <f>_xlfn.XLOOKUP(C1558, dim_teams[team_name], dim_teams[team_id], "Not found", 0)</f>
        <v>1</v>
      </c>
    </row>
    <row r="1559" spans="1:12" x14ac:dyDescent="0.3">
      <c r="A1559" t="s">
        <v>424</v>
      </c>
      <c r="B1559">
        <v>2011</v>
      </c>
      <c r="C1559" t="s">
        <v>54</v>
      </c>
      <c r="D1559">
        <v>47</v>
      </c>
      <c r="E1559">
        <v>41</v>
      </c>
      <c r="F1559">
        <v>4</v>
      </c>
      <c r="G1559">
        <v>1</v>
      </c>
      <c r="H1559">
        <v>4</v>
      </c>
      <c r="I1559">
        <v>5</v>
      </c>
      <c r="J1559">
        <v>114.63</v>
      </c>
      <c r="K1559">
        <v>11.75</v>
      </c>
      <c r="L1559">
        <f>_xlfn.XLOOKUP(C1559, dim_teams[team_name], dim_teams[team_id], "Not found", 0)</f>
        <v>4</v>
      </c>
    </row>
    <row r="1560" spans="1:12" x14ac:dyDescent="0.3">
      <c r="A1560" t="s">
        <v>424</v>
      </c>
      <c r="B1560">
        <v>2012</v>
      </c>
      <c r="C1560" t="s">
        <v>54</v>
      </c>
      <c r="D1560">
        <v>432</v>
      </c>
      <c r="E1560">
        <v>341</v>
      </c>
      <c r="F1560">
        <v>53</v>
      </c>
      <c r="G1560">
        <v>7</v>
      </c>
      <c r="H1560">
        <v>18</v>
      </c>
      <c r="I1560">
        <v>16</v>
      </c>
      <c r="J1560">
        <v>126.69</v>
      </c>
      <c r="K1560">
        <v>24</v>
      </c>
      <c r="L1560">
        <f>_xlfn.XLOOKUP(C1560, dim_teams[team_name], dim_teams[team_id], "Not found", 0)</f>
        <v>4</v>
      </c>
    </row>
    <row r="1561" spans="1:12" x14ac:dyDescent="0.3">
      <c r="A1561" t="s">
        <v>424</v>
      </c>
      <c r="B1561">
        <v>2013</v>
      </c>
      <c r="C1561" t="s">
        <v>54</v>
      </c>
      <c r="D1561">
        <v>260</v>
      </c>
      <c r="E1561">
        <v>223</v>
      </c>
      <c r="F1561">
        <v>36</v>
      </c>
      <c r="G1561">
        <v>0</v>
      </c>
      <c r="H1561">
        <v>12</v>
      </c>
      <c r="I1561">
        <v>14</v>
      </c>
      <c r="J1561">
        <v>116.59</v>
      </c>
      <c r="K1561">
        <v>21.67</v>
      </c>
      <c r="L1561">
        <f>_xlfn.XLOOKUP(C1561, dim_teams[team_name], dim_teams[team_id], "Not found", 0)</f>
        <v>4</v>
      </c>
    </row>
    <row r="1562" spans="1:12" x14ac:dyDescent="0.3">
      <c r="A1562" t="s">
        <v>424</v>
      </c>
      <c r="B1562">
        <v>2014</v>
      </c>
      <c r="C1562" t="s">
        <v>54</v>
      </c>
      <c r="D1562">
        <v>24</v>
      </c>
      <c r="E1562">
        <v>25</v>
      </c>
      <c r="F1562">
        <v>2</v>
      </c>
      <c r="G1562">
        <v>0</v>
      </c>
      <c r="H1562">
        <v>3</v>
      </c>
      <c r="I1562">
        <v>3</v>
      </c>
      <c r="J1562">
        <v>96</v>
      </c>
      <c r="K1562">
        <v>8</v>
      </c>
      <c r="L1562">
        <f>_xlfn.XLOOKUP(C1562, dim_teams[team_name], dim_teams[team_id], "Not found", 0)</f>
        <v>4</v>
      </c>
    </row>
    <row r="1563" spans="1:12" x14ac:dyDescent="0.3">
      <c r="A1563" t="s">
        <v>424</v>
      </c>
      <c r="B1563">
        <v>2015</v>
      </c>
      <c r="C1563" t="s">
        <v>21</v>
      </c>
      <c r="D1563">
        <v>157</v>
      </c>
      <c r="E1563">
        <v>100</v>
      </c>
      <c r="F1563">
        <v>17</v>
      </c>
      <c r="G1563">
        <v>6</v>
      </c>
      <c r="H1563">
        <v>7</v>
      </c>
      <c r="I1563">
        <v>8</v>
      </c>
      <c r="J1563">
        <v>157</v>
      </c>
      <c r="K1563">
        <v>22.43</v>
      </c>
      <c r="L1563">
        <f>_xlfn.XLOOKUP(C1563, dim_teams[team_name], dim_teams[team_id], "Not found", 0)</f>
        <v>2</v>
      </c>
    </row>
    <row r="1564" spans="1:12" x14ac:dyDescent="0.3">
      <c r="A1564" t="s">
        <v>424</v>
      </c>
      <c r="B1564">
        <v>2017</v>
      </c>
      <c r="C1564" t="s">
        <v>21</v>
      </c>
      <c r="D1564">
        <v>188</v>
      </c>
      <c r="E1564">
        <v>177</v>
      </c>
      <c r="F1564">
        <v>21</v>
      </c>
      <c r="G1564">
        <v>4</v>
      </c>
      <c r="H1564">
        <v>11</v>
      </c>
      <c r="I1564">
        <v>10</v>
      </c>
      <c r="J1564">
        <v>106.21</v>
      </c>
      <c r="K1564">
        <v>17.09</v>
      </c>
      <c r="L1564">
        <f>_xlfn.XLOOKUP(C1564, dim_teams[team_name], dim_teams[team_id], "Not found", 0)</f>
        <v>2</v>
      </c>
    </row>
    <row r="1565" spans="1:12" x14ac:dyDescent="0.3">
      <c r="A1565" t="s">
        <v>424</v>
      </c>
      <c r="B1565">
        <v>2018</v>
      </c>
      <c r="C1565" t="s">
        <v>21</v>
      </c>
      <c r="D1565">
        <v>252</v>
      </c>
      <c r="E1565">
        <v>186</v>
      </c>
      <c r="F1565">
        <v>16</v>
      </c>
      <c r="G1565">
        <v>11</v>
      </c>
      <c r="H1565">
        <v>10</v>
      </c>
      <c r="I1565">
        <v>13</v>
      </c>
      <c r="J1565">
        <v>135.47999999999999</v>
      </c>
      <c r="K1565">
        <v>25.2</v>
      </c>
      <c r="L1565">
        <f>_xlfn.XLOOKUP(C1565, dim_teams[team_name], dim_teams[team_id], "Not found", 0)</f>
        <v>2</v>
      </c>
    </row>
    <row r="1566" spans="1:12" x14ac:dyDescent="0.3">
      <c r="A1566" t="s">
        <v>424</v>
      </c>
      <c r="B1566">
        <v>2019</v>
      </c>
      <c r="C1566" t="s">
        <v>54</v>
      </c>
      <c r="D1566">
        <v>165</v>
      </c>
      <c r="E1566">
        <v>120</v>
      </c>
      <c r="F1566">
        <v>10</v>
      </c>
      <c r="G1566">
        <v>4</v>
      </c>
      <c r="H1566">
        <v>5</v>
      </c>
      <c r="I1566">
        <v>12</v>
      </c>
      <c r="J1566">
        <v>137.5</v>
      </c>
      <c r="K1566">
        <v>33</v>
      </c>
      <c r="L1566">
        <f>_xlfn.XLOOKUP(C1566, dim_teams[team_name], dim_teams[team_id], "Not found", 0)</f>
        <v>4</v>
      </c>
    </row>
    <row r="1567" spans="1:12" x14ac:dyDescent="0.3">
      <c r="A1567" t="s">
        <v>424</v>
      </c>
      <c r="B1567">
        <v>2020</v>
      </c>
      <c r="C1567" t="s">
        <v>54</v>
      </c>
      <c r="D1567">
        <v>130</v>
      </c>
      <c r="E1567">
        <v>109</v>
      </c>
      <c r="F1567">
        <v>10</v>
      </c>
      <c r="G1567">
        <v>4</v>
      </c>
      <c r="H1567">
        <v>6</v>
      </c>
      <c r="I1567">
        <v>7</v>
      </c>
      <c r="J1567">
        <v>119.27</v>
      </c>
      <c r="K1567">
        <v>21.67</v>
      </c>
      <c r="L1567">
        <f>_xlfn.XLOOKUP(C1567, dim_teams[team_name], dim_teams[team_id], "Not found", 0)</f>
        <v>4</v>
      </c>
    </row>
    <row r="1568" spans="1:12" x14ac:dyDescent="0.3">
      <c r="A1568" t="s">
        <v>424</v>
      </c>
      <c r="B1568">
        <v>2021</v>
      </c>
      <c r="C1568" t="s">
        <v>76</v>
      </c>
      <c r="D1568">
        <v>15</v>
      </c>
      <c r="E1568">
        <v>13</v>
      </c>
      <c r="F1568">
        <v>2</v>
      </c>
      <c r="G1568">
        <v>0</v>
      </c>
      <c r="H1568">
        <v>1</v>
      </c>
      <c r="I1568">
        <v>1</v>
      </c>
      <c r="J1568">
        <v>115.38</v>
      </c>
      <c r="K1568">
        <v>15</v>
      </c>
      <c r="L1568">
        <f>_xlfn.XLOOKUP(C1568, dim_teams[team_name], dim_teams[team_id], "Not found", 0)</f>
        <v>16</v>
      </c>
    </row>
    <row r="1569" spans="1:12" x14ac:dyDescent="0.3">
      <c r="A1569" t="s">
        <v>424</v>
      </c>
      <c r="B1569">
        <v>2022</v>
      </c>
      <c r="C1569" t="s">
        <v>33</v>
      </c>
      <c r="D1569">
        <v>18</v>
      </c>
      <c r="E1569">
        <v>23</v>
      </c>
      <c r="F1569">
        <v>4</v>
      </c>
      <c r="G1569">
        <v>0</v>
      </c>
      <c r="H1569">
        <v>3</v>
      </c>
      <c r="I1569">
        <v>3</v>
      </c>
      <c r="J1569">
        <v>78.260000000000005</v>
      </c>
      <c r="K1569">
        <v>6</v>
      </c>
      <c r="L1569">
        <f>_xlfn.XLOOKUP(C1569, dim_teams[team_name], dim_teams[team_id], "Not found", 0)</f>
        <v>15</v>
      </c>
    </row>
    <row r="1570" spans="1:12" x14ac:dyDescent="0.3">
      <c r="A1570" t="s">
        <v>424</v>
      </c>
      <c r="B1570">
        <v>2023</v>
      </c>
      <c r="C1570" t="s">
        <v>19</v>
      </c>
      <c r="D1570">
        <v>14</v>
      </c>
      <c r="E1570">
        <v>16</v>
      </c>
      <c r="F1570">
        <v>0</v>
      </c>
      <c r="G1570">
        <v>1</v>
      </c>
      <c r="H1570">
        <v>3</v>
      </c>
      <c r="I1570">
        <v>3</v>
      </c>
      <c r="J1570">
        <v>87.5</v>
      </c>
      <c r="K1570">
        <v>4.67</v>
      </c>
      <c r="L1570">
        <f>_xlfn.XLOOKUP(C1570, dim_teams[team_name], dim_teams[team_id], "Not found", 0)</f>
        <v>1</v>
      </c>
    </row>
    <row r="1571" spans="1:12" x14ac:dyDescent="0.3">
      <c r="A1571" t="s">
        <v>425</v>
      </c>
      <c r="B1571">
        <v>2009</v>
      </c>
      <c r="C1571" t="s">
        <v>19</v>
      </c>
      <c r="D1571">
        <v>2</v>
      </c>
      <c r="E1571">
        <v>2</v>
      </c>
      <c r="F1571">
        <v>0</v>
      </c>
      <c r="G1571">
        <v>0</v>
      </c>
      <c r="H1571">
        <v>0</v>
      </c>
      <c r="I1571">
        <v>1</v>
      </c>
      <c r="J1571">
        <v>100</v>
      </c>
      <c r="L1571">
        <f>_xlfn.XLOOKUP(C1571, dim_teams[team_name], dim_teams[team_id], "Not found", 0)</f>
        <v>1</v>
      </c>
    </row>
    <row r="1572" spans="1:12" x14ac:dyDescent="0.3">
      <c r="A1572" t="s">
        <v>426</v>
      </c>
      <c r="B1572">
        <v>2024</v>
      </c>
      <c r="C1572" t="s">
        <v>102</v>
      </c>
      <c r="D1572">
        <v>0</v>
      </c>
      <c r="E1572">
        <v>1</v>
      </c>
      <c r="F1572">
        <v>0</v>
      </c>
      <c r="G1572">
        <v>0</v>
      </c>
      <c r="H1572">
        <v>0</v>
      </c>
      <c r="I1572">
        <v>1</v>
      </c>
      <c r="J1572">
        <v>0</v>
      </c>
      <c r="L1572">
        <f>_xlfn.XLOOKUP(C1572, dim_teams[team_name], dim_teams[team_id], "Not found", 0)</f>
        <v>19</v>
      </c>
    </row>
    <row r="1573" spans="1:12" x14ac:dyDescent="0.3">
      <c r="A1573" t="s">
        <v>427</v>
      </c>
      <c r="B1573">
        <v>2008</v>
      </c>
      <c r="C1573" t="s">
        <v>21</v>
      </c>
      <c r="D1573">
        <v>117</v>
      </c>
      <c r="E1573">
        <v>81</v>
      </c>
      <c r="F1573">
        <v>10</v>
      </c>
      <c r="G1573">
        <v>6</v>
      </c>
      <c r="H1573">
        <v>9</v>
      </c>
      <c r="I1573">
        <v>8</v>
      </c>
      <c r="J1573">
        <v>144.44</v>
      </c>
      <c r="K1573">
        <v>13</v>
      </c>
      <c r="L1573">
        <f>_xlfn.XLOOKUP(C1573, dim_teams[team_name], dim_teams[team_id], "Not found", 0)</f>
        <v>2</v>
      </c>
    </row>
    <row r="1574" spans="1:12" x14ac:dyDescent="0.3">
      <c r="A1574" t="s">
        <v>428</v>
      </c>
      <c r="B1574">
        <v>2009</v>
      </c>
      <c r="C1574" t="s">
        <v>23</v>
      </c>
      <c r="D1574">
        <v>2</v>
      </c>
      <c r="E1574">
        <v>10</v>
      </c>
      <c r="F1574">
        <v>0</v>
      </c>
      <c r="G1574">
        <v>0</v>
      </c>
      <c r="H1574">
        <v>1</v>
      </c>
      <c r="I1574">
        <v>1</v>
      </c>
      <c r="J1574">
        <v>20</v>
      </c>
      <c r="K1574">
        <v>2</v>
      </c>
      <c r="L1574">
        <f>_xlfn.XLOOKUP(C1574, dim_teams[team_name], dim_teams[team_id], "Not found", 0)</f>
        <v>7</v>
      </c>
    </row>
    <row r="1575" spans="1:12" x14ac:dyDescent="0.3">
      <c r="A1575" t="s">
        <v>429</v>
      </c>
      <c r="B1575">
        <v>2008</v>
      </c>
      <c r="C1575" t="s">
        <v>32</v>
      </c>
      <c r="D1575">
        <v>3</v>
      </c>
      <c r="E1575">
        <v>6</v>
      </c>
      <c r="F1575">
        <v>0</v>
      </c>
      <c r="G1575">
        <v>0</v>
      </c>
      <c r="H1575">
        <v>2</v>
      </c>
      <c r="I1575">
        <v>2</v>
      </c>
      <c r="J1575">
        <v>50</v>
      </c>
      <c r="K1575">
        <v>1.5</v>
      </c>
      <c r="L1575">
        <f>_xlfn.XLOOKUP(C1575, dim_teams[team_name], dim_teams[team_id], "Not found", 0)</f>
        <v>6</v>
      </c>
    </row>
    <row r="1576" spans="1:12" x14ac:dyDescent="0.3">
      <c r="A1576" t="s">
        <v>430</v>
      </c>
      <c r="B1576">
        <v>2008</v>
      </c>
      <c r="C1576" t="s">
        <v>19</v>
      </c>
      <c r="D1576">
        <v>64</v>
      </c>
      <c r="E1576">
        <v>83</v>
      </c>
      <c r="F1576">
        <v>7</v>
      </c>
      <c r="G1576">
        <v>2</v>
      </c>
      <c r="H1576">
        <v>8</v>
      </c>
      <c r="I1576">
        <v>8</v>
      </c>
      <c r="J1576">
        <v>77.11</v>
      </c>
      <c r="K1576">
        <v>8</v>
      </c>
      <c r="L1576">
        <f>_xlfn.XLOOKUP(C1576, dim_teams[team_name], dim_teams[team_id], "Not found", 0)</f>
        <v>1</v>
      </c>
    </row>
    <row r="1577" spans="1:12" x14ac:dyDescent="0.3">
      <c r="A1577" t="s">
        <v>431</v>
      </c>
      <c r="B1577">
        <v>2017</v>
      </c>
      <c r="C1577" t="s">
        <v>13</v>
      </c>
      <c r="D1577">
        <v>2</v>
      </c>
      <c r="E1577">
        <v>3</v>
      </c>
      <c r="F1577">
        <v>0</v>
      </c>
      <c r="G1577">
        <v>0</v>
      </c>
      <c r="H1577">
        <v>1</v>
      </c>
      <c r="I1577">
        <v>1</v>
      </c>
      <c r="J1577">
        <v>66.67</v>
      </c>
      <c r="K1577">
        <v>2</v>
      </c>
      <c r="L1577">
        <f>_xlfn.XLOOKUP(C1577, dim_teams[team_name], dim_teams[team_id], "Not found", 0)</f>
        <v>11</v>
      </c>
    </row>
    <row r="1578" spans="1:12" x14ac:dyDescent="0.3">
      <c r="A1578" t="s">
        <v>431</v>
      </c>
      <c r="B1578">
        <v>2018</v>
      </c>
      <c r="C1578" t="s">
        <v>13</v>
      </c>
      <c r="D1578">
        <v>18</v>
      </c>
      <c r="E1578">
        <v>12</v>
      </c>
      <c r="F1578">
        <v>3</v>
      </c>
      <c r="G1578">
        <v>0</v>
      </c>
      <c r="H1578">
        <v>2</v>
      </c>
      <c r="I1578">
        <v>2</v>
      </c>
      <c r="J1578">
        <v>150</v>
      </c>
      <c r="K1578">
        <v>9</v>
      </c>
      <c r="L1578">
        <f>_xlfn.XLOOKUP(C1578, dim_teams[team_name], dim_teams[team_id], "Not found", 0)</f>
        <v>11</v>
      </c>
    </row>
    <row r="1579" spans="1:12" x14ac:dyDescent="0.3">
      <c r="A1579" t="s">
        <v>431</v>
      </c>
      <c r="B1579">
        <v>2019</v>
      </c>
      <c r="C1579" t="s">
        <v>13</v>
      </c>
      <c r="D1579">
        <v>121</v>
      </c>
      <c r="E1579">
        <v>77</v>
      </c>
      <c r="F1579">
        <v>8</v>
      </c>
      <c r="G1579">
        <v>8</v>
      </c>
      <c r="H1579">
        <v>6</v>
      </c>
      <c r="I1579">
        <v>7</v>
      </c>
      <c r="J1579">
        <v>157.13999999999999</v>
      </c>
      <c r="K1579">
        <v>20.170000000000002</v>
      </c>
      <c r="L1579">
        <f>_xlfn.XLOOKUP(C1579, dim_teams[team_name], dim_teams[team_id], "Not found", 0)</f>
        <v>11</v>
      </c>
    </row>
    <row r="1580" spans="1:12" x14ac:dyDescent="0.3">
      <c r="A1580" t="s">
        <v>431</v>
      </c>
      <c r="B1580">
        <v>2020</v>
      </c>
      <c r="C1580" t="s">
        <v>13</v>
      </c>
      <c r="D1580">
        <v>11</v>
      </c>
      <c r="E1580">
        <v>8</v>
      </c>
      <c r="F1580">
        <v>2</v>
      </c>
      <c r="G1580">
        <v>0</v>
      </c>
      <c r="H1580">
        <v>1</v>
      </c>
      <c r="I1580">
        <v>1</v>
      </c>
      <c r="J1580">
        <v>137.5</v>
      </c>
      <c r="K1580">
        <v>11</v>
      </c>
      <c r="L1580">
        <f>_xlfn.XLOOKUP(C1580, dim_teams[team_name], dim_teams[team_id], "Not found", 0)</f>
        <v>11</v>
      </c>
    </row>
    <row r="1581" spans="1:12" x14ac:dyDescent="0.3">
      <c r="A1581" t="s">
        <v>431</v>
      </c>
      <c r="B1581">
        <v>2021</v>
      </c>
      <c r="C1581" t="s">
        <v>13</v>
      </c>
      <c r="D1581">
        <v>34</v>
      </c>
      <c r="E1581">
        <v>20</v>
      </c>
      <c r="F1581">
        <v>3</v>
      </c>
      <c r="G1581">
        <v>2</v>
      </c>
      <c r="H1581">
        <v>3</v>
      </c>
      <c r="I1581">
        <v>3</v>
      </c>
      <c r="J1581">
        <v>170</v>
      </c>
      <c r="K1581">
        <v>11.33</v>
      </c>
      <c r="L1581">
        <f>_xlfn.XLOOKUP(C1581, dim_teams[team_name], dim_teams[team_id], "Not found", 0)</f>
        <v>11</v>
      </c>
    </row>
    <row r="1582" spans="1:12" x14ac:dyDescent="0.3">
      <c r="A1582" t="s">
        <v>431</v>
      </c>
      <c r="B1582">
        <v>2024</v>
      </c>
      <c r="C1582" t="s">
        <v>23</v>
      </c>
      <c r="D1582">
        <v>35</v>
      </c>
      <c r="E1582">
        <v>31</v>
      </c>
      <c r="F1582">
        <v>2</v>
      </c>
      <c r="G1582">
        <v>2</v>
      </c>
      <c r="H1582">
        <v>4</v>
      </c>
      <c r="I1582">
        <v>5</v>
      </c>
      <c r="J1582">
        <v>112.9</v>
      </c>
      <c r="K1582">
        <v>8.75</v>
      </c>
      <c r="L1582">
        <f>_xlfn.XLOOKUP(C1582, dim_teams[team_name], dim_teams[team_id], "Not found", 0)</f>
        <v>7</v>
      </c>
    </row>
    <row r="1583" spans="1:12" x14ac:dyDescent="0.3">
      <c r="A1583" t="s">
        <v>432</v>
      </c>
      <c r="B1583">
        <v>2013</v>
      </c>
      <c r="C1583" t="s">
        <v>19</v>
      </c>
      <c r="D1583">
        <v>5</v>
      </c>
      <c r="E1583">
        <v>10</v>
      </c>
      <c r="F1583">
        <v>0</v>
      </c>
      <c r="G1583">
        <v>0</v>
      </c>
      <c r="H1583">
        <v>1</v>
      </c>
      <c r="I1583">
        <v>1</v>
      </c>
      <c r="J1583">
        <v>50</v>
      </c>
      <c r="K1583">
        <v>5</v>
      </c>
      <c r="L1583">
        <f>_xlfn.XLOOKUP(C1583, dim_teams[team_name], dim_teams[team_id], "Not found", 0)</f>
        <v>1</v>
      </c>
    </row>
    <row r="1584" spans="1:12" x14ac:dyDescent="0.3">
      <c r="A1584" t="s">
        <v>432</v>
      </c>
      <c r="B1584">
        <v>2014</v>
      </c>
      <c r="C1584" t="s">
        <v>32</v>
      </c>
      <c r="D1584">
        <v>3</v>
      </c>
      <c r="E1584">
        <v>7</v>
      </c>
      <c r="F1584">
        <v>0</v>
      </c>
      <c r="G1584">
        <v>0</v>
      </c>
      <c r="H1584">
        <v>2</v>
      </c>
      <c r="I1584">
        <v>4</v>
      </c>
      <c r="J1584">
        <v>42.86</v>
      </c>
      <c r="K1584">
        <v>1.5</v>
      </c>
      <c r="L1584">
        <f>_xlfn.XLOOKUP(C1584, dim_teams[team_name], dim_teams[team_id], "Not found", 0)</f>
        <v>6</v>
      </c>
    </row>
    <row r="1585" spans="1:12" x14ac:dyDescent="0.3">
      <c r="A1585" t="s">
        <v>432</v>
      </c>
      <c r="B1585">
        <v>2016</v>
      </c>
      <c r="C1585" t="s">
        <v>32</v>
      </c>
      <c r="D1585">
        <v>2</v>
      </c>
      <c r="E1585">
        <v>4</v>
      </c>
      <c r="F1585">
        <v>0</v>
      </c>
      <c r="G1585">
        <v>0</v>
      </c>
      <c r="H1585">
        <v>0</v>
      </c>
      <c r="I1585">
        <v>2</v>
      </c>
      <c r="J1585">
        <v>50</v>
      </c>
      <c r="L1585">
        <f>_xlfn.XLOOKUP(C1585, dim_teams[team_name], dim_teams[team_id], "Not found", 0)</f>
        <v>6</v>
      </c>
    </row>
    <row r="1586" spans="1:12" x14ac:dyDescent="0.3">
      <c r="A1586" t="s">
        <v>432</v>
      </c>
      <c r="B1586">
        <v>2017</v>
      </c>
      <c r="C1586" t="s">
        <v>32</v>
      </c>
      <c r="D1586">
        <v>36</v>
      </c>
      <c r="E1586">
        <v>24</v>
      </c>
      <c r="F1586">
        <v>4</v>
      </c>
      <c r="G1586">
        <v>2</v>
      </c>
      <c r="H1586">
        <v>4</v>
      </c>
      <c r="I1586">
        <v>6</v>
      </c>
      <c r="J1586">
        <v>150</v>
      </c>
      <c r="K1586">
        <v>9</v>
      </c>
      <c r="L1586">
        <f>_xlfn.XLOOKUP(C1586, dim_teams[team_name], dim_teams[team_id], "Not found", 0)</f>
        <v>6</v>
      </c>
    </row>
    <row r="1587" spans="1:12" x14ac:dyDescent="0.3">
      <c r="A1587" t="s">
        <v>432</v>
      </c>
      <c r="B1587">
        <v>2018</v>
      </c>
      <c r="C1587" t="s">
        <v>32</v>
      </c>
      <c r="D1587">
        <v>7</v>
      </c>
      <c r="E1587">
        <v>6</v>
      </c>
      <c r="F1587">
        <v>1</v>
      </c>
      <c r="G1587">
        <v>0</v>
      </c>
      <c r="H1587">
        <v>1</v>
      </c>
      <c r="I1587">
        <v>1</v>
      </c>
      <c r="J1587">
        <v>116.67</v>
      </c>
      <c r="K1587">
        <v>7</v>
      </c>
      <c r="L1587">
        <f>_xlfn.XLOOKUP(C1587, dim_teams[team_name], dim_teams[team_id], "Not found", 0)</f>
        <v>6</v>
      </c>
    </row>
    <row r="1588" spans="1:12" x14ac:dyDescent="0.3">
      <c r="A1588" t="s">
        <v>432</v>
      </c>
      <c r="B1588">
        <v>2019</v>
      </c>
      <c r="C1588" t="s">
        <v>54</v>
      </c>
      <c r="D1588">
        <v>1</v>
      </c>
      <c r="E1588">
        <v>2</v>
      </c>
      <c r="F1588">
        <v>0</v>
      </c>
      <c r="G1588">
        <v>0</v>
      </c>
      <c r="H1588">
        <v>1</v>
      </c>
      <c r="I1588">
        <v>2</v>
      </c>
      <c r="J1588">
        <v>50</v>
      </c>
      <c r="K1588">
        <v>1</v>
      </c>
      <c r="L1588">
        <f>_xlfn.XLOOKUP(C1588, dim_teams[team_name], dim_teams[team_id], "Not found", 0)</f>
        <v>4</v>
      </c>
    </row>
    <row r="1589" spans="1:12" x14ac:dyDescent="0.3">
      <c r="A1589" t="s">
        <v>432</v>
      </c>
      <c r="B1589">
        <v>2020</v>
      </c>
      <c r="C1589" t="s">
        <v>54</v>
      </c>
      <c r="D1589">
        <v>2</v>
      </c>
      <c r="E1589">
        <v>3</v>
      </c>
      <c r="F1589">
        <v>0</v>
      </c>
      <c r="G1589">
        <v>0</v>
      </c>
      <c r="H1589">
        <v>1</v>
      </c>
      <c r="I1589">
        <v>2</v>
      </c>
      <c r="J1589">
        <v>66.67</v>
      </c>
      <c r="K1589">
        <v>2</v>
      </c>
      <c r="L1589">
        <f>_xlfn.XLOOKUP(C1589, dim_teams[team_name], dim_teams[team_id], "Not found", 0)</f>
        <v>4</v>
      </c>
    </row>
    <row r="1590" spans="1:12" x14ac:dyDescent="0.3">
      <c r="A1590" t="s">
        <v>432</v>
      </c>
      <c r="B1590">
        <v>2021</v>
      </c>
      <c r="C1590" t="s">
        <v>76</v>
      </c>
      <c r="D1590">
        <v>13</v>
      </c>
      <c r="E1590">
        <v>17</v>
      </c>
      <c r="F1590">
        <v>0</v>
      </c>
      <c r="G1590">
        <v>0</v>
      </c>
      <c r="H1590">
        <v>1</v>
      </c>
      <c r="I1590">
        <v>3</v>
      </c>
      <c r="J1590">
        <v>76.47</v>
      </c>
      <c r="K1590">
        <v>13</v>
      </c>
      <c r="L1590">
        <f>_xlfn.XLOOKUP(C1590, dim_teams[team_name], dim_teams[team_id], "Not found", 0)</f>
        <v>16</v>
      </c>
    </row>
    <row r="1591" spans="1:12" x14ac:dyDescent="0.3">
      <c r="A1591" t="s">
        <v>432</v>
      </c>
      <c r="B1591">
        <v>2023</v>
      </c>
      <c r="C1591" t="s">
        <v>29</v>
      </c>
      <c r="D1591">
        <v>5</v>
      </c>
      <c r="E1591">
        <v>6</v>
      </c>
      <c r="F1591">
        <v>1</v>
      </c>
      <c r="G1591">
        <v>0</v>
      </c>
      <c r="H1591">
        <v>2</v>
      </c>
      <c r="I1591">
        <v>2</v>
      </c>
      <c r="J1591">
        <v>83.33</v>
      </c>
      <c r="K1591">
        <v>2.5</v>
      </c>
      <c r="L1591">
        <f>_xlfn.XLOOKUP(C1591, dim_teams[team_name], dim_teams[team_id], "Not found", 0)</f>
        <v>18</v>
      </c>
    </row>
    <row r="1592" spans="1:12" x14ac:dyDescent="0.3">
      <c r="A1592" t="s">
        <v>432</v>
      </c>
      <c r="B1592">
        <v>2025</v>
      </c>
      <c r="C1592" t="s">
        <v>13</v>
      </c>
      <c r="D1592">
        <v>10</v>
      </c>
      <c r="E1592">
        <v>10</v>
      </c>
      <c r="F1592">
        <v>1</v>
      </c>
      <c r="G1592">
        <v>0</v>
      </c>
      <c r="H1592">
        <v>1</v>
      </c>
      <c r="I1592">
        <v>4</v>
      </c>
      <c r="J1592">
        <v>100</v>
      </c>
      <c r="K1592">
        <v>10</v>
      </c>
      <c r="L1592">
        <f>_xlfn.XLOOKUP(C1592, dim_teams[team_name], dim_teams[team_id], "Not found", 0)</f>
        <v>11</v>
      </c>
    </row>
    <row r="1593" spans="1:12" x14ac:dyDescent="0.3">
      <c r="A1593" t="s">
        <v>433</v>
      </c>
      <c r="B1593">
        <v>2018</v>
      </c>
      <c r="C1593" t="s">
        <v>21</v>
      </c>
      <c r="D1593">
        <v>25</v>
      </c>
      <c r="E1593">
        <v>22</v>
      </c>
      <c r="F1593">
        <v>2</v>
      </c>
      <c r="G1593">
        <v>1</v>
      </c>
      <c r="H1593">
        <v>2</v>
      </c>
      <c r="I1593">
        <v>3</v>
      </c>
      <c r="J1593">
        <v>113.64</v>
      </c>
      <c r="K1593">
        <v>12.5</v>
      </c>
      <c r="L1593">
        <f>_xlfn.XLOOKUP(C1593, dim_teams[team_name], dim_teams[team_id], "Not found", 0)</f>
        <v>2</v>
      </c>
    </row>
    <row r="1594" spans="1:12" x14ac:dyDescent="0.3">
      <c r="A1594" t="s">
        <v>433</v>
      </c>
      <c r="B1594">
        <v>2019</v>
      </c>
      <c r="C1594" t="s">
        <v>21</v>
      </c>
      <c r="D1594">
        <v>4</v>
      </c>
      <c r="E1594">
        <v>12</v>
      </c>
      <c r="F1594">
        <v>0</v>
      </c>
      <c r="G1594">
        <v>0</v>
      </c>
      <c r="H1594">
        <v>2</v>
      </c>
      <c r="I1594">
        <v>3</v>
      </c>
      <c r="J1594">
        <v>33.33</v>
      </c>
      <c r="K1594">
        <v>2</v>
      </c>
      <c r="L1594">
        <f>_xlfn.XLOOKUP(C1594, dim_teams[team_name], dim_teams[team_id], "Not found", 0)</f>
        <v>2</v>
      </c>
    </row>
    <row r="1595" spans="1:12" x14ac:dyDescent="0.3">
      <c r="A1595" t="s">
        <v>433</v>
      </c>
      <c r="B1595">
        <v>2020</v>
      </c>
      <c r="C1595" t="s">
        <v>21</v>
      </c>
      <c r="D1595">
        <v>17</v>
      </c>
      <c r="E1595">
        <v>14</v>
      </c>
      <c r="F1595">
        <v>2</v>
      </c>
      <c r="G1595">
        <v>0</v>
      </c>
      <c r="H1595">
        <v>1</v>
      </c>
      <c r="I1595">
        <v>3</v>
      </c>
      <c r="J1595">
        <v>121.43</v>
      </c>
      <c r="K1595">
        <v>17</v>
      </c>
      <c r="L1595">
        <f>_xlfn.XLOOKUP(C1595, dim_teams[team_name], dim_teams[team_id], "Not found", 0)</f>
        <v>2</v>
      </c>
    </row>
    <row r="1596" spans="1:12" x14ac:dyDescent="0.3">
      <c r="A1596" t="s">
        <v>433</v>
      </c>
      <c r="B1596">
        <v>2021</v>
      </c>
      <c r="C1596" t="s">
        <v>21</v>
      </c>
      <c r="D1596">
        <v>20</v>
      </c>
      <c r="E1596">
        <v>26</v>
      </c>
      <c r="F1596">
        <v>1</v>
      </c>
      <c r="G1596">
        <v>1</v>
      </c>
      <c r="H1596">
        <v>1</v>
      </c>
      <c r="I1596">
        <v>4</v>
      </c>
      <c r="J1596">
        <v>76.92</v>
      </c>
      <c r="K1596">
        <v>20</v>
      </c>
      <c r="L1596">
        <f>_xlfn.XLOOKUP(C1596, dim_teams[team_name], dim_teams[team_id], "Not found", 0)</f>
        <v>2</v>
      </c>
    </row>
    <row r="1597" spans="1:12" x14ac:dyDescent="0.3">
      <c r="A1597" t="s">
        <v>433</v>
      </c>
      <c r="B1597">
        <v>2022</v>
      </c>
      <c r="C1597" t="s">
        <v>21</v>
      </c>
      <c r="D1597">
        <v>30</v>
      </c>
      <c r="E1597">
        <v>33</v>
      </c>
      <c r="F1597">
        <v>5</v>
      </c>
      <c r="G1597">
        <v>0</v>
      </c>
      <c r="H1597">
        <v>2</v>
      </c>
      <c r="I1597">
        <v>4</v>
      </c>
      <c r="J1597">
        <v>90.91</v>
      </c>
      <c r="K1597">
        <v>15</v>
      </c>
      <c r="L1597">
        <f>_xlfn.XLOOKUP(C1597, dim_teams[team_name], dim_teams[team_id], "Not found", 0)</f>
        <v>2</v>
      </c>
    </row>
    <row r="1598" spans="1:12" x14ac:dyDescent="0.3">
      <c r="A1598" t="s">
        <v>433</v>
      </c>
      <c r="B1598">
        <v>2023</v>
      </c>
      <c r="C1598" t="s">
        <v>21</v>
      </c>
      <c r="D1598">
        <v>1</v>
      </c>
      <c r="E1598">
        <v>2</v>
      </c>
      <c r="F1598">
        <v>0</v>
      </c>
      <c r="G1598">
        <v>0</v>
      </c>
      <c r="H1598">
        <v>1</v>
      </c>
      <c r="I1598">
        <v>2</v>
      </c>
      <c r="J1598">
        <v>50</v>
      </c>
      <c r="K1598">
        <v>1</v>
      </c>
      <c r="L1598">
        <f>_xlfn.XLOOKUP(C1598, dim_teams[team_name], dim_teams[team_id], "Not found", 0)</f>
        <v>2</v>
      </c>
    </row>
    <row r="1599" spans="1:12" x14ac:dyDescent="0.3">
      <c r="A1599" t="s">
        <v>433</v>
      </c>
      <c r="B1599">
        <v>2024</v>
      </c>
      <c r="C1599" t="s">
        <v>102</v>
      </c>
      <c r="D1599">
        <v>12</v>
      </c>
      <c r="E1599">
        <v>8</v>
      </c>
      <c r="F1599">
        <v>0</v>
      </c>
      <c r="G1599">
        <v>2</v>
      </c>
      <c r="H1599">
        <v>1</v>
      </c>
      <c r="I1599">
        <v>1</v>
      </c>
      <c r="J1599">
        <v>150</v>
      </c>
      <c r="K1599">
        <v>12</v>
      </c>
      <c r="L1599">
        <f>_xlfn.XLOOKUP(C1599, dim_teams[team_name], dim_teams[team_id], "Not found", 0)</f>
        <v>19</v>
      </c>
    </row>
    <row r="1600" spans="1:12" x14ac:dyDescent="0.3">
      <c r="A1600" t="s">
        <v>433</v>
      </c>
      <c r="B1600">
        <v>2025</v>
      </c>
      <c r="C1600" t="s">
        <v>29</v>
      </c>
      <c r="D1600">
        <v>3</v>
      </c>
      <c r="E1600">
        <v>4</v>
      </c>
      <c r="F1600">
        <v>0</v>
      </c>
      <c r="G1600">
        <v>0</v>
      </c>
      <c r="H1600">
        <v>0</v>
      </c>
      <c r="I1600">
        <v>1</v>
      </c>
      <c r="J1600">
        <v>75</v>
      </c>
      <c r="L1600">
        <f>_xlfn.XLOOKUP(C1600, dim_teams[team_name], dim_teams[team_id], "Not found", 0)</f>
        <v>18</v>
      </c>
    </row>
    <row r="1601" spans="1:12" x14ac:dyDescent="0.3">
      <c r="A1601" t="s">
        <v>434</v>
      </c>
      <c r="B1601">
        <v>2023</v>
      </c>
      <c r="C1601" t="s">
        <v>76</v>
      </c>
      <c r="D1601">
        <v>1</v>
      </c>
      <c r="E1601">
        <v>2</v>
      </c>
      <c r="F1601">
        <v>0</v>
      </c>
      <c r="G1601">
        <v>0</v>
      </c>
      <c r="H1601">
        <v>0</v>
      </c>
      <c r="I1601">
        <v>1</v>
      </c>
      <c r="J1601">
        <v>50</v>
      </c>
      <c r="L1601">
        <f>_xlfn.XLOOKUP(C1601, dim_teams[team_name], dim_teams[team_id], "Not found", 0)</f>
        <v>16</v>
      </c>
    </row>
    <row r="1602" spans="1:12" x14ac:dyDescent="0.3">
      <c r="A1602" t="s">
        <v>435</v>
      </c>
      <c r="B1602">
        <v>2022</v>
      </c>
      <c r="C1602" t="s">
        <v>15</v>
      </c>
      <c r="D1602">
        <v>23</v>
      </c>
      <c r="E1602">
        <v>16</v>
      </c>
      <c r="F1602">
        <v>2</v>
      </c>
      <c r="G1602">
        <v>1</v>
      </c>
      <c r="H1602">
        <v>1</v>
      </c>
      <c r="I1602">
        <v>3</v>
      </c>
      <c r="J1602">
        <v>143.75</v>
      </c>
      <c r="K1602">
        <v>23</v>
      </c>
      <c r="L1602">
        <f>_xlfn.XLOOKUP(C1602, dim_teams[team_name], dim_teams[team_id], "Not found", 0)</f>
        <v>17</v>
      </c>
    </row>
    <row r="1603" spans="1:12" x14ac:dyDescent="0.3">
      <c r="A1603" t="s">
        <v>435</v>
      </c>
      <c r="B1603">
        <v>2023</v>
      </c>
      <c r="C1603" t="s">
        <v>15</v>
      </c>
      <c r="D1603">
        <v>0</v>
      </c>
      <c r="E1603">
        <v>7</v>
      </c>
      <c r="F1603">
        <v>0</v>
      </c>
      <c r="G1603">
        <v>0</v>
      </c>
      <c r="H1603">
        <v>1</v>
      </c>
      <c r="I1603">
        <v>1</v>
      </c>
      <c r="J1603">
        <v>0</v>
      </c>
      <c r="K1603">
        <v>0</v>
      </c>
      <c r="L1603">
        <f>_xlfn.XLOOKUP(C1603, dim_teams[team_name], dim_teams[team_id], "Not found", 0)</f>
        <v>17</v>
      </c>
    </row>
    <row r="1604" spans="1:12" x14ac:dyDescent="0.3">
      <c r="A1604" t="s">
        <v>435</v>
      </c>
      <c r="B1604">
        <v>2024</v>
      </c>
      <c r="C1604" t="s">
        <v>15</v>
      </c>
      <c r="D1604">
        <v>2</v>
      </c>
      <c r="E1604">
        <v>1</v>
      </c>
      <c r="F1604">
        <v>0</v>
      </c>
      <c r="G1604">
        <v>0</v>
      </c>
      <c r="H1604">
        <v>0</v>
      </c>
      <c r="I1604">
        <v>1</v>
      </c>
      <c r="J1604">
        <v>200</v>
      </c>
      <c r="L1604">
        <f>_xlfn.XLOOKUP(C1604, dim_teams[team_name], dim_teams[team_id], "Not found", 0)</f>
        <v>17</v>
      </c>
    </row>
    <row r="1605" spans="1:12" x14ac:dyDescent="0.3">
      <c r="A1605" t="s">
        <v>436</v>
      </c>
      <c r="B1605">
        <v>2018</v>
      </c>
      <c r="C1605" t="s">
        <v>54</v>
      </c>
      <c r="D1605">
        <v>10</v>
      </c>
      <c r="E1605">
        <v>7</v>
      </c>
      <c r="F1605">
        <v>2</v>
      </c>
      <c r="G1605">
        <v>0</v>
      </c>
      <c r="H1605">
        <v>1</v>
      </c>
      <c r="I1605">
        <v>2</v>
      </c>
      <c r="J1605">
        <v>142.86000000000001</v>
      </c>
      <c r="K1605">
        <v>10</v>
      </c>
      <c r="L1605">
        <f>_xlfn.XLOOKUP(C1605, dim_teams[team_name], dim_teams[team_id], "Not found", 0)</f>
        <v>4</v>
      </c>
    </row>
    <row r="1606" spans="1:12" x14ac:dyDescent="0.3">
      <c r="A1606" t="s">
        <v>436</v>
      </c>
      <c r="B1606">
        <v>2019</v>
      </c>
      <c r="C1606" t="s">
        <v>54</v>
      </c>
      <c r="D1606">
        <v>0</v>
      </c>
      <c r="E1606">
        <v>4</v>
      </c>
      <c r="F1606">
        <v>0</v>
      </c>
      <c r="G1606">
        <v>0</v>
      </c>
      <c r="H1606">
        <v>1</v>
      </c>
      <c r="I1606">
        <v>2</v>
      </c>
      <c r="J1606">
        <v>0</v>
      </c>
      <c r="K1606">
        <v>0</v>
      </c>
      <c r="L1606">
        <f>_xlfn.XLOOKUP(C1606, dim_teams[team_name], dim_teams[team_id], "Not found", 0)</f>
        <v>4</v>
      </c>
    </row>
    <row r="1607" spans="1:12" x14ac:dyDescent="0.3">
      <c r="A1607" t="s">
        <v>436</v>
      </c>
      <c r="B1607">
        <v>2020</v>
      </c>
      <c r="C1607" t="s">
        <v>54</v>
      </c>
      <c r="D1607">
        <v>1</v>
      </c>
      <c r="E1607">
        <v>3</v>
      </c>
      <c r="F1607">
        <v>0</v>
      </c>
      <c r="G1607">
        <v>0</v>
      </c>
      <c r="H1607">
        <v>1</v>
      </c>
      <c r="I1607">
        <v>1</v>
      </c>
      <c r="J1607">
        <v>33.33</v>
      </c>
      <c r="K1607">
        <v>1</v>
      </c>
      <c r="L1607">
        <f>_xlfn.XLOOKUP(C1607, dim_teams[team_name], dim_teams[team_id], "Not found", 0)</f>
        <v>4</v>
      </c>
    </row>
    <row r="1608" spans="1:12" x14ac:dyDescent="0.3">
      <c r="A1608" t="s">
        <v>436</v>
      </c>
      <c r="B1608">
        <v>2021</v>
      </c>
      <c r="C1608" t="s">
        <v>13</v>
      </c>
      <c r="D1608">
        <v>1</v>
      </c>
      <c r="E1608">
        <v>1</v>
      </c>
      <c r="F1608">
        <v>0</v>
      </c>
      <c r="G1608">
        <v>0</v>
      </c>
      <c r="H1608">
        <v>0</v>
      </c>
      <c r="I1608">
        <v>1</v>
      </c>
      <c r="J1608">
        <v>100</v>
      </c>
      <c r="L1608">
        <f>_xlfn.XLOOKUP(C1608, dim_teams[team_name], dim_teams[team_id], "Not found", 0)</f>
        <v>11</v>
      </c>
    </row>
    <row r="1609" spans="1:12" x14ac:dyDescent="0.3">
      <c r="A1609" t="s">
        <v>437</v>
      </c>
      <c r="B1609">
        <v>2022</v>
      </c>
      <c r="C1609" t="s">
        <v>25</v>
      </c>
      <c r="D1609">
        <v>6</v>
      </c>
      <c r="E1609">
        <v>6</v>
      </c>
      <c r="F1609">
        <v>1</v>
      </c>
      <c r="G1609">
        <v>0</v>
      </c>
      <c r="H1609">
        <v>0</v>
      </c>
      <c r="I1609">
        <v>2</v>
      </c>
      <c r="J1609">
        <v>100</v>
      </c>
      <c r="L1609">
        <f>_xlfn.XLOOKUP(C1609, dim_teams[team_name], dim_teams[team_id], "Not found", 0)</f>
        <v>3</v>
      </c>
    </row>
    <row r="1610" spans="1:12" x14ac:dyDescent="0.3">
      <c r="A1610" t="s">
        <v>438</v>
      </c>
      <c r="B1610">
        <v>2023</v>
      </c>
      <c r="C1610" t="s">
        <v>33</v>
      </c>
      <c r="D1610">
        <v>7</v>
      </c>
      <c r="E1610">
        <v>9</v>
      </c>
      <c r="F1610">
        <v>0</v>
      </c>
      <c r="G1610">
        <v>0</v>
      </c>
      <c r="H1610">
        <v>0</v>
      </c>
      <c r="I1610">
        <v>3</v>
      </c>
      <c r="J1610">
        <v>77.78</v>
      </c>
      <c r="L1610">
        <f>_xlfn.XLOOKUP(C1610, dim_teams[team_name], dim_teams[team_id], "Not found", 0)</f>
        <v>15</v>
      </c>
    </row>
    <row r="1611" spans="1:12" x14ac:dyDescent="0.3">
      <c r="A1611" t="s">
        <v>438</v>
      </c>
      <c r="B1611">
        <v>2024</v>
      </c>
      <c r="C1611" t="s">
        <v>33</v>
      </c>
      <c r="D1611">
        <v>3</v>
      </c>
      <c r="E1611">
        <v>9</v>
      </c>
      <c r="F1611">
        <v>0</v>
      </c>
      <c r="G1611">
        <v>0</v>
      </c>
      <c r="H1611">
        <v>1</v>
      </c>
      <c r="I1611">
        <v>2</v>
      </c>
      <c r="J1611">
        <v>33.33</v>
      </c>
      <c r="K1611">
        <v>3</v>
      </c>
      <c r="L1611">
        <f>_xlfn.XLOOKUP(C1611, dim_teams[team_name], dim_teams[team_id], "Not found", 0)</f>
        <v>15</v>
      </c>
    </row>
    <row r="1612" spans="1:12" x14ac:dyDescent="0.3">
      <c r="A1612" t="s">
        <v>439</v>
      </c>
      <c r="B1612">
        <v>2025</v>
      </c>
      <c r="C1612" t="s">
        <v>76</v>
      </c>
      <c r="D1612">
        <v>0</v>
      </c>
      <c r="E1612">
        <v>3</v>
      </c>
      <c r="F1612">
        <v>0</v>
      </c>
      <c r="G1612">
        <v>0</v>
      </c>
      <c r="H1612">
        <v>1</v>
      </c>
      <c r="I1612">
        <v>1</v>
      </c>
      <c r="J1612">
        <v>0</v>
      </c>
      <c r="K1612">
        <v>0</v>
      </c>
      <c r="L1612">
        <f>_xlfn.XLOOKUP(C1612, dim_teams[team_name], dim_teams[team_id], "Not found", 0)</f>
        <v>16</v>
      </c>
    </row>
    <row r="1613" spans="1:12" x14ac:dyDescent="0.3">
      <c r="A1613" t="s">
        <v>440</v>
      </c>
      <c r="B1613">
        <v>2018</v>
      </c>
      <c r="C1613" t="s">
        <v>23</v>
      </c>
      <c r="D1613">
        <v>1</v>
      </c>
      <c r="E1613">
        <v>3</v>
      </c>
      <c r="F1613">
        <v>0</v>
      </c>
      <c r="G1613">
        <v>0</v>
      </c>
      <c r="H1613">
        <v>1</v>
      </c>
      <c r="I1613">
        <v>1</v>
      </c>
      <c r="J1613">
        <v>33.33</v>
      </c>
      <c r="K1613">
        <v>1</v>
      </c>
      <c r="L1613">
        <f>_xlfn.XLOOKUP(C1613, dim_teams[team_name], dim_teams[team_id], "Not found", 0)</f>
        <v>7</v>
      </c>
    </row>
    <row r="1614" spans="1:12" x14ac:dyDescent="0.3">
      <c r="A1614" t="s">
        <v>440</v>
      </c>
      <c r="B1614">
        <v>2021</v>
      </c>
      <c r="C1614" t="s">
        <v>17</v>
      </c>
      <c r="D1614">
        <v>8</v>
      </c>
      <c r="E1614">
        <v>14</v>
      </c>
      <c r="F1614">
        <v>0</v>
      </c>
      <c r="G1614">
        <v>1</v>
      </c>
      <c r="H1614">
        <v>0</v>
      </c>
      <c r="I1614">
        <v>3</v>
      </c>
      <c r="J1614">
        <v>57.14</v>
      </c>
      <c r="L1614">
        <f>_xlfn.XLOOKUP(C1614, dim_teams[team_name], dim_teams[team_id], "Not found", 0)</f>
        <v>5</v>
      </c>
    </row>
    <row r="1615" spans="1:12" x14ac:dyDescent="0.3">
      <c r="A1615" t="s">
        <v>440</v>
      </c>
      <c r="B1615">
        <v>2022</v>
      </c>
      <c r="C1615" t="s">
        <v>33</v>
      </c>
      <c r="D1615">
        <v>3</v>
      </c>
      <c r="E1615">
        <v>5</v>
      </c>
      <c r="F1615">
        <v>0</v>
      </c>
      <c r="G1615">
        <v>0</v>
      </c>
      <c r="H1615">
        <v>0</v>
      </c>
      <c r="I1615">
        <v>1</v>
      </c>
      <c r="J1615">
        <v>60</v>
      </c>
      <c r="L1615">
        <f>_xlfn.XLOOKUP(C1615, dim_teams[team_name], dim_teams[team_id], "Not found", 0)</f>
        <v>15</v>
      </c>
    </row>
    <row r="1616" spans="1:12" x14ac:dyDescent="0.3">
      <c r="A1616" t="s">
        <v>440</v>
      </c>
      <c r="B1616">
        <v>2023</v>
      </c>
      <c r="C1616" t="s">
        <v>33</v>
      </c>
      <c r="D1616">
        <v>1</v>
      </c>
      <c r="E1616">
        <v>1</v>
      </c>
      <c r="F1616">
        <v>0</v>
      </c>
      <c r="G1616">
        <v>0</v>
      </c>
      <c r="H1616">
        <v>0</v>
      </c>
      <c r="I1616">
        <v>1</v>
      </c>
      <c r="J1616">
        <v>100</v>
      </c>
      <c r="L1616">
        <f>_xlfn.XLOOKUP(C1616, dim_teams[team_name], dim_teams[team_id], "Not found", 0)</f>
        <v>15</v>
      </c>
    </row>
    <row r="1617" spans="1:12" x14ac:dyDescent="0.3">
      <c r="A1617" t="s">
        <v>440</v>
      </c>
      <c r="B1617">
        <v>2025</v>
      </c>
      <c r="C1617" t="s">
        <v>33</v>
      </c>
      <c r="D1617">
        <v>0</v>
      </c>
      <c r="E1617">
        <v>1</v>
      </c>
      <c r="F1617">
        <v>0</v>
      </c>
      <c r="G1617">
        <v>0</v>
      </c>
      <c r="H1617">
        <v>1</v>
      </c>
      <c r="I1617">
        <v>1</v>
      </c>
      <c r="J1617">
        <v>0</v>
      </c>
      <c r="K1617">
        <v>0</v>
      </c>
      <c r="L1617">
        <f>_xlfn.XLOOKUP(C1617, dim_teams[team_name], dim_teams[team_id], "Not found", 0)</f>
        <v>15</v>
      </c>
    </row>
    <row r="1618" spans="1:12" x14ac:dyDescent="0.3">
      <c r="A1618" t="s">
        <v>441</v>
      </c>
      <c r="B1618">
        <v>2020</v>
      </c>
      <c r="C1618" t="s">
        <v>25</v>
      </c>
      <c r="D1618">
        <v>33</v>
      </c>
      <c r="E1618">
        <v>29</v>
      </c>
      <c r="F1618">
        <v>4</v>
      </c>
      <c r="G1618">
        <v>0</v>
      </c>
      <c r="H1618">
        <v>2</v>
      </c>
      <c r="I1618">
        <v>2</v>
      </c>
      <c r="J1618">
        <v>113.79</v>
      </c>
      <c r="K1618">
        <v>16.5</v>
      </c>
      <c r="L1618">
        <f>_xlfn.XLOOKUP(C1618, dim_teams[team_name], dim_teams[team_id], "Not found", 0)</f>
        <v>3</v>
      </c>
    </row>
    <row r="1619" spans="1:12" x14ac:dyDescent="0.3">
      <c r="A1619" t="s">
        <v>441</v>
      </c>
      <c r="B1619">
        <v>2022</v>
      </c>
      <c r="C1619" t="s">
        <v>25</v>
      </c>
      <c r="D1619">
        <v>40</v>
      </c>
      <c r="E1619">
        <v>37</v>
      </c>
      <c r="F1619">
        <v>3</v>
      </c>
      <c r="G1619">
        <v>1</v>
      </c>
      <c r="H1619">
        <v>1</v>
      </c>
      <c r="I1619">
        <v>2</v>
      </c>
      <c r="J1619">
        <v>108.11</v>
      </c>
      <c r="K1619">
        <v>40</v>
      </c>
      <c r="L1619">
        <f>_xlfn.XLOOKUP(C1619, dim_teams[team_name], dim_teams[team_id], "Not found", 0)</f>
        <v>3</v>
      </c>
    </row>
    <row r="1620" spans="1:12" x14ac:dyDescent="0.3">
      <c r="A1620" t="s">
        <v>441</v>
      </c>
      <c r="B1620">
        <v>2023</v>
      </c>
      <c r="C1620" t="s">
        <v>19</v>
      </c>
      <c r="D1620">
        <v>89</v>
      </c>
      <c r="E1620">
        <v>81</v>
      </c>
      <c r="F1620">
        <v>14</v>
      </c>
      <c r="G1620">
        <v>1</v>
      </c>
      <c r="H1620">
        <v>6</v>
      </c>
      <c r="I1620">
        <v>6</v>
      </c>
      <c r="J1620">
        <v>109.88</v>
      </c>
      <c r="K1620">
        <v>14.83</v>
      </c>
      <c r="L1620">
        <f>_xlfn.XLOOKUP(C1620, dim_teams[team_name], dim_teams[team_id], "Not found", 0)</f>
        <v>1</v>
      </c>
    </row>
    <row r="1621" spans="1:12" x14ac:dyDescent="0.3">
      <c r="A1621" t="s">
        <v>442</v>
      </c>
      <c r="B1621">
        <v>2019</v>
      </c>
      <c r="C1621" t="s">
        <v>54</v>
      </c>
      <c r="D1621">
        <v>168</v>
      </c>
      <c r="E1621">
        <v>107</v>
      </c>
      <c r="F1621">
        <v>10</v>
      </c>
      <c r="G1621">
        <v>14</v>
      </c>
      <c r="H1621">
        <v>6</v>
      </c>
      <c r="I1621">
        <v>6</v>
      </c>
      <c r="J1621">
        <v>157.01</v>
      </c>
      <c r="K1621">
        <v>28</v>
      </c>
      <c r="L1621">
        <f>_xlfn.XLOOKUP(C1621, dim_teams[team_name], dim_teams[team_id], "Not found", 0)</f>
        <v>4</v>
      </c>
    </row>
    <row r="1622" spans="1:12" x14ac:dyDescent="0.3">
      <c r="A1622" t="s">
        <v>442</v>
      </c>
      <c r="B1622">
        <v>2020</v>
      </c>
      <c r="C1622" t="s">
        <v>54</v>
      </c>
      <c r="D1622">
        <v>353</v>
      </c>
      <c r="E1622">
        <v>209</v>
      </c>
      <c r="F1622">
        <v>23</v>
      </c>
      <c r="G1622">
        <v>25</v>
      </c>
      <c r="H1622">
        <v>13</v>
      </c>
      <c r="I1622">
        <v>14</v>
      </c>
      <c r="J1622">
        <v>168.9</v>
      </c>
      <c r="K1622">
        <v>27.15</v>
      </c>
      <c r="L1622">
        <f>_xlfn.XLOOKUP(C1622, dim_teams[team_name], dim_teams[team_id], "Not found", 0)</f>
        <v>4</v>
      </c>
    </row>
    <row r="1623" spans="1:12" x14ac:dyDescent="0.3">
      <c r="A1623" t="s">
        <v>442</v>
      </c>
      <c r="B1623">
        <v>2021</v>
      </c>
      <c r="C1623" t="s">
        <v>76</v>
      </c>
      <c r="D1623">
        <v>85</v>
      </c>
      <c r="E1623">
        <v>76</v>
      </c>
      <c r="F1623">
        <v>3</v>
      </c>
      <c r="G1623">
        <v>5</v>
      </c>
      <c r="H1623">
        <v>10</v>
      </c>
      <c r="I1623">
        <v>10</v>
      </c>
      <c r="J1623">
        <v>111.84</v>
      </c>
      <c r="K1623">
        <v>8.5</v>
      </c>
      <c r="L1623">
        <f>_xlfn.XLOOKUP(C1623, dim_teams[team_name], dim_teams[team_id], "Not found", 0)</f>
        <v>16</v>
      </c>
    </row>
    <row r="1624" spans="1:12" x14ac:dyDescent="0.3">
      <c r="A1624" t="s">
        <v>442</v>
      </c>
      <c r="B1624">
        <v>2022</v>
      </c>
      <c r="C1624" t="s">
        <v>13</v>
      </c>
      <c r="D1624">
        <v>306</v>
      </c>
      <c r="E1624">
        <v>212</v>
      </c>
      <c r="F1624">
        <v>16</v>
      </c>
      <c r="G1624">
        <v>21</v>
      </c>
      <c r="H1624">
        <v>8</v>
      </c>
      <c r="I1624">
        <v>13</v>
      </c>
      <c r="J1624">
        <v>144.34</v>
      </c>
      <c r="K1624">
        <v>38.25</v>
      </c>
      <c r="L1624">
        <f>_xlfn.XLOOKUP(C1624, dim_teams[team_name], dim_teams[team_id], "Not found", 0)</f>
        <v>11</v>
      </c>
    </row>
    <row r="1625" spans="1:12" x14ac:dyDescent="0.3">
      <c r="A1625" t="s">
        <v>442</v>
      </c>
      <c r="B1625">
        <v>2023</v>
      </c>
      <c r="C1625" t="s">
        <v>15</v>
      </c>
      <c r="D1625">
        <v>358</v>
      </c>
      <c r="E1625">
        <v>207</v>
      </c>
      <c r="F1625">
        <v>26</v>
      </c>
      <c r="G1625">
        <v>26</v>
      </c>
      <c r="H1625">
        <v>11</v>
      </c>
      <c r="I1625">
        <v>15</v>
      </c>
      <c r="J1625">
        <v>172.95</v>
      </c>
      <c r="K1625">
        <v>32.549999999999997</v>
      </c>
      <c r="L1625">
        <f>_xlfn.XLOOKUP(C1625, dim_teams[team_name], dim_teams[team_id], "Not found", 0)</f>
        <v>17</v>
      </c>
    </row>
    <row r="1626" spans="1:12" x14ac:dyDescent="0.3">
      <c r="A1626" t="s">
        <v>442</v>
      </c>
      <c r="B1626">
        <v>2024</v>
      </c>
      <c r="C1626" t="s">
        <v>15</v>
      </c>
      <c r="D1626">
        <v>499</v>
      </c>
      <c r="E1626">
        <v>279</v>
      </c>
      <c r="F1626">
        <v>35</v>
      </c>
      <c r="G1626">
        <v>36</v>
      </c>
      <c r="H1626">
        <v>8</v>
      </c>
      <c r="I1626">
        <v>14</v>
      </c>
      <c r="J1626">
        <v>178.85</v>
      </c>
      <c r="K1626">
        <v>62.38</v>
      </c>
      <c r="L1626">
        <f>_xlfn.XLOOKUP(C1626, dim_teams[team_name], dim_teams[team_id], "Not found", 0)</f>
        <v>17</v>
      </c>
    </row>
    <row r="1627" spans="1:12" x14ac:dyDescent="0.3">
      <c r="A1627" t="s">
        <v>442</v>
      </c>
      <c r="B1627">
        <v>2025</v>
      </c>
      <c r="C1627" t="s">
        <v>15</v>
      </c>
      <c r="D1627">
        <v>524</v>
      </c>
      <c r="E1627">
        <v>265</v>
      </c>
      <c r="F1627">
        <v>45</v>
      </c>
      <c r="G1627">
        <v>40</v>
      </c>
      <c r="H1627">
        <v>11</v>
      </c>
      <c r="I1627">
        <v>14</v>
      </c>
      <c r="J1627">
        <v>197.74</v>
      </c>
      <c r="K1627">
        <v>47.64</v>
      </c>
      <c r="L1627">
        <f>_xlfn.XLOOKUP(C1627, dim_teams[team_name], dim_teams[team_id], "Not found", 0)</f>
        <v>17</v>
      </c>
    </row>
    <row r="1628" spans="1:12" x14ac:dyDescent="0.3">
      <c r="A1628" t="s">
        <v>443</v>
      </c>
      <c r="B1628">
        <v>2016</v>
      </c>
      <c r="C1628" t="s">
        <v>23</v>
      </c>
      <c r="D1628">
        <v>104</v>
      </c>
      <c r="E1628">
        <v>74</v>
      </c>
      <c r="F1628">
        <v>7</v>
      </c>
      <c r="G1628">
        <v>8</v>
      </c>
      <c r="H1628">
        <v>3</v>
      </c>
      <c r="I1628">
        <v>3</v>
      </c>
      <c r="J1628">
        <v>140.54</v>
      </c>
      <c r="K1628">
        <v>34.67</v>
      </c>
      <c r="L1628">
        <f>_xlfn.XLOOKUP(C1628, dim_teams[team_name], dim_teams[team_id], "Not found", 0)</f>
        <v>7</v>
      </c>
    </row>
    <row r="1629" spans="1:12" x14ac:dyDescent="0.3">
      <c r="A1629" t="s">
        <v>443</v>
      </c>
      <c r="B1629">
        <v>2017</v>
      </c>
      <c r="C1629" t="s">
        <v>23</v>
      </c>
      <c r="D1629">
        <v>333</v>
      </c>
      <c r="E1629">
        <v>263</v>
      </c>
      <c r="F1629">
        <v>24</v>
      </c>
      <c r="G1629">
        <v>17</v>
      </c>
      <c r="H1629">
        <v>12</v>
      </c>
      <c r="I1629">
        <v>12</v>
      </c>
      <c r="J1629">
        <v>126.62</v>
      </c>
      <c r="K1629">
        <v>27.75</v>
      </c>
      <c r="L1629">
        <f>_xlfn.XLOOKUP(C1629, dim_teams[team_name], dim_teams[team_id], "Not found", 0)</f>
        <v>7</v>
      </c>
    </row>
    <row r="1630" spans="1:12" x14ac:dyDescent="0.3">
      <c r="A1630" t="s">
        <v>443</v>
      </c>
      <c r="B1630">
        <v>2018</v>
      </c>
      <c r="C1630" t="s">
        <v>19</v>
      </c>
      <c r="D1630">
        <v>304</v>
      </c>
      <c r="E1630">
        <v>232</v>
      </c>
      <c r="F1630">
        <v>26</v>
      </c>
      <c r="G1630">
        <v>14</v>
      </c>
      <c r="H1630">
        <v>15</v>
      </c>
      <c r="I1630">
        <v>15</v>
      </c>
      <c r="J1630">
        <v>131.03</v>
      </c>
      <c r="K1630">
        <v>20.27</v>
      </c>
      <c r="L1630">
        <f>_xlfn.XLOOKUP(C1630, dim_teams[team_name], dim_teams[team_id], "Not found", 0)</f>
        <v>1</v>
      </c>
    </row>
    <row r="1631" spans="1:12" x14ac:dyDescent="0.3">
      <c r="A1631" t="s">
        <v>443</v>
      </c>
      <c r="B1631">
        <v>2019</v>
      </c>
      <c r="C1631" t="s">
        <v>19</v>
      </c>
      <c r="D1631">
        <v>344</v>
      </c>
      <c r="E1631">
        <v>235</v>
      </c>
      <c r="F1631">
        <v>27</v>
      </c>
      <c r="G1631">
        <v>21</v>
      </c>
      <c r="H1631">
        <v>10</v>
      </c>
      <c r="I1631">
        <v>11</v>
      </c>
      <c r="J1631">
        <v>146.38</v>
      </c>
      <c r="K1631">
        <v>34.4</v>
      </c>
      <c r="L1631">
        <f>_xlfn.XLOOKUP(C1631, dim_teams[team_name], dim_teams[team_id], "Not found", 0)</f>
        <v>1</v>
      </c>
    </row>
    <row r="1632" spans="1:12" x14ac:dyDescent="0.3">
      <c r="A1632" t="s">
        <v>443</v>
      </c>
      <c r="B1632">
        <v>2020</v>
      </c>
      <c r="C1632" t="s">
        <v>19</v>
      </c>
      <c r="D1632">
        <v>352</v>
      </c>
      <c r="E1632">
        <v>254</v>
      </c>
      <c r="F1632">
        <v>43</v>
      </c>
      <c r="G1632">
        <v>12</v>
      </c>
      <c r="H1632">
        <v>13</v>
      </c>
      <c r="I1632">
        <v>14</v>
      </c>
      <c r="J1632">
        <v>138.58000000000001</v>
      </c>
      <c r="K1632">
        <v>27.08</v>
      </c>
      <c r="L1632">
        <f>_xlfn.XLOOKUP(C1632, dim_teams[team_name], dim_teams[team_id], "Not found", 0)</f>
        <v>1</v>
      </c>
    </row>
    <row r="1633" spans="1:12" x14ac:dyDescent="0.3">
      <c r="A1633" t="s">
        <v>443</v>
      </c>
      <c r="B1633">
        <v>2021</v>
      </c>
      <c r="C1633" t="s">
        <v>19</v>
      </c>
      <c r="D1633">
        <v>383</v>
      </c>
      <c r="E1633">
        <v>313</v>
      </c>
      <c r="F1633">
        <v>34</v>
      </c>
      <c r="G1633">
        <v>17</v>
      </c>
      <c r="H1633">
        <v>13</v>
      </c>
      <c r="I1633">
        <v>16</v>
      </c>
      <c r="J1633">
        <v>122.36</v>
      </c>
      <c r="K1633">
        <v>29.46</v>
      </c>
      <c r="L1633">
        <f>_xlfn.XLOOKUP(C1633, dim_teams[team_name], dim_teams[team_id], "Not found", 0)</f>
        <v>1</v>
      </c>
    </row>
    <row r="1634" spans="1:12" x14ac:dyDescent="0.3">
      <c r="A1634" t="s">
        <v>443</v>
      </c>
      <c r="B1634">
        <v>2022</v>
      </c>
      <c r="C1634" t="s">
        <v>19</v>
      </c>
      <c r="D1634">
        <v>361</v>
      </c>
      <c r="E1634">
        <v>249</v>
      </c>
      <c r="F1634">
        <v>29</v>
      </c>
      <c r="G1634">
        <v>22</v>
      </c>
      <c r="H1634">
        <v>13</v>
      </c>
      <c r="I1634">
        <v>14</v>
      </c>
      <c r="J1634">
        <v>144.97999999999999</v>
      </c>
      <c r="K1634">
        <v>27.77</v>
      </c>
      <c r="L1634">
        <f>_xlfn.XLOOKUP(C1634, dim_teams[team_name], dim_teams[team_id], "Not found", 0)</f>
        <v>1</v>
      </c>
    </row>
    <row r="1635" spans="1:12" x14ac:dyDescent="0.3">
      <c r="A1635" t="s">
        <v>443</v>
      </c>
      <c r="B1635">
        <v>2023</v>
      </c>
      <c r="C1635" t="s">
        <v>19</v>
      </c>
      <c r="D1635">
        <v>413</v>
      </c>
      <c r="E1635">
        <v>291</v>
      </c>
      <c r="F1635">
        <v>39</v>
      </c>
      <c r="G1635">
        <v>20</v>
      </c>
      <c r="H1635">
        <v>13</v>
      </c>
      <c r="I1635">
        <v>14</v>
      </c>
      <c r="J1635">
        <v>141.91999999999999</v>
      </c>
      <c r="K1635">
        <v>31.77</v>
      </c>
      <c r="L1635">
        <f>_xlfn.XLOOKUP(C1635, dim_teams[team_name], dim_teams[team_id], "Not found", 0)</f>
        <v>1</v>
      </c>
    </row>
    <row r="1636" spans="1:12" x14ac:dyDescent="0.3">
      <c r="A1636" t="s">
        <v>443</v>
      </c>
      <c r="B1636">
        <v>2024</v>
      </c>
      <c r="C1636" t="s">
        <v>19</v>
      </c>
      <c r="D1636">
        <v>42</v>
      </c>
      <c r="E1636">
        <v>34</v>
      </c>
      <c r="F1636">
        <v>5</v>
      </c>
      <c r="G1636">
        <v>1</v>
      </c>
      <c r="H1636">
        <v>2</v>
      </c>
      <c r="I1636">
        <v>2</v>
      </c>
      <c r="J1636">
        <v>123.53</v>
      </c>
      <c r="K1636">
        <v>21</v>
      </c>
      <c r="L1636">
        <f>_xlfn.XLOOKUP(C1636, dim_teams[team_name], dim_teams[team_id], "Not found", 0)</f>
        <v>1</v>
      </c>
    </row>
    <row r="1637" spans="1:12" x14ac:dyDescent="0.3">
      <c r="A1637" t="s">
        <v>443</v>
      </c>
      <c r="B1637">
        <v>2025</v>
      </c>
      <c r="C1637" t="s">
        <v>17</v>
      </c>
      <c r="D1637">
        <v>217</v>
      </c>
      <c r="E1637">
        <v>134</v>
      </c>
      <c r="F1637">
        <v>27</v>
      </c>
      <c r="G1637">
        <v>9</v>
      </c>
      <c r="H1637">
        <v>10</v>
      </c>
      <c r="I1637">
        <v>11</v>
      </c>
      <c r="J1637">
        <v>161.94</v>
      </c>
      <c r="K1637">
        <v>21.7</v>
      </c>
      <c r="L1637">
        <f>_xlfn.XLOOKUP(C1637, dim_teams[team_name], dim_teams[team_id], "Not found", 0)</f>
        <v>5</v>
      </c>
    </row>
    <row r="1638" spans="1:12" x14ac:dyDescent="0.3">
      <c r="A1638" t="s">
        <v>444</v>
      </c>
      <c r="B1638">
        <v>2012</v>
      </c>
      <c r="C1638" t="s">
        <v>54</v>
      </c>
      <c r="D1638">
        <v>140</v>
      </c>
      <c r="E1638">
        <v>140</v>
      </c>
      <c r="F1638">
        <v>16</v>
      </c>
      <c r="G1638">
        <v>0</v>
      </c>
      <c r="H1638">
        <v>11</v>
      </c>
      <c r="I1638">
        <v>10</v>
      </c>
      <c r="J1638">
        <v>100</v>
      </c>
      <c r="K1638">
        <v>12.73</v>
      </c>
      <c r="L1638">
        <f>_xlfn.XLOOKUP(C1638, dim_teams[team_name], dim_teams[team_id], "Not found", 0)</f>
        <v>4</v>
      </c>
    </row>
    <row r="1639" spans="1:12" x14ac:dyDescent="0.3">
      <c r="A1639" t="s">
        <v>445</v>
      </c>
      <c r="B1639">
        <v>2023</v>
      </c>
      <c r="C1639" t="s">
        <v>23</v>
      </c>
      <c r="D1639">
        <v>241</v>
      </c>
      <c r="E1639">
        <v>165</v>
      </c>
      <c r="F1639">
        <v>23</v>
      </c>
      <c r="G1639">
        <v>12</v>
      </c>
      <c r="H1639">
        <v>9</v>
      </c>
      <c r="I1639">
        <v>10</v>
      </c>
      <c r="J1639">
        <v>146.06</v>
      </c>
      <c r="K1639">
        <v>26.78</v>
      </c>
      <c r="L1639">
        <f>_xlfn.XLOOKUP(C1639, dim_teams[team_name], dim_teams[team_id], "Not found", 0)</f>
        <v>7</v>
      </c>
    </row>
    <row r="1640" spans="1:12" x14ac:dyDescent="0.3">
      <c r="A1640" t="s">
        <v>445</v>
      </c>
      <c r="B1640">
        <v>2024</v>
      </c>
      <c r="C1640" t="s">
        <v>23</v>
      </c>
      <c r="D1640">
        <v>109</v>
      </c>
      <c r="E1640">
        <v>84</v>
      </c>
      <c r="F1640">
        <v>9</v>
      </c>
      <c r="G1640">
        <v>6</v>
      </c>
      <c r="H1640">
        <v>6</v>
      </c>
      <c r="I1640">
        <v>6</v>
      </c>
      <c r="J1640">
        <v>129.76</v>
      </c>
      <c r="K1640">
        <v>18.170000000000002</v>
      </c>
      <c r="L1640">
        <f>_xlfn.XLOOKUP(C1640, dim_teams[team_name], dim_teams[team_id], "Not found", 0)</f>
        <v>7</v>
      </c>
    </row>
    <row r="1641" spans="1:12" x14ac:dyDescent="0.3">
      <c r="A1641" t="s">
        <v>445</v>
      </c>
      <c r="B1641">
        <v>2025</v>
      </c>
      <c r="C1641" t="s">
        <v>76</v>
      </c>
      <c r="D1641">
        <v>369</v>
      </c>
      <c r="E1641">
        <v>251</v>
      </c>
      <c r="F1641">
        <v>28</v>
      </c>
      <c r="G1641">
        <v>21</v>
      </c>
      <c r="H1641">
        <v>11</v>
      </c>
      <c r="I1641">
        <v>15</v>
      </c>
      <c r="J1641">
        <v>147.01</v>
      </c>
      <c r="K1641">
        <v>33.549999999999997</v>
      </c>
      <c r="L1641">
        <f>_xlfn.XLOOKUP(C1641, dim_teams[team_name], dim_teams[team_id], "Not found", 0)</f>
        <v>16</v>
      </c>
    </row>
    <row r="1642" spans="1:12" x14ac:dyDescent="0.3">
      <c r="A1642" t="s">
        <v>446</v>
      </c>
      <c r="B1642">
        <v>2011</v>
      </c>
      <c r="C1642" t="s">
        <v>17</v>
      </c>
      <c r="D1642">
        <v>0</v>
      </c>
      <c r="E1642">
        <v>13</v>
      </c>
      <c r="F1642">
        <v>0</v>
      </c>
      <c r="G1642">
        <v>0</v>
      </c>
      <c r="H1642">
        <v>1</v>
      </c>
      <c r="I1642">
        <v>1</v>
      </c>
      <c r="J1642">
        <v>0</v>
      </c>
      <c r="K1642">
        <v>0</v>
      </c>
      <c r="L1642">
        <f>_xlfn.XLOOKUP(C1642, dim_teams[team_name], dim_teams[team_id], "Not found", 0)</f>
        <v>5</v>
      </c>
    </row>
    <row r="1643" spans="1:12" x14ac:dyDescent="0.3">
      <c r="A1643" t="s">
        <v>447</v>
      </c>
      <c r="B1643">
        <v>2014</v>
      </c>
      <c r="C1643" t="s">
        <v>21</v>
      </c>
      <c r="D1643">
        <v>16</v>
      </c>
      <c r="E1643">
        <v>14</v>
      </c>
      <c r="F1643">
        <v>3</v>
      </c>
      <c r="G1643">
        <v>0</v>
      </c>
      <c r="H1643">
        <v>2</v>
      </c>
      <c r="I1643">
        <v>2</v>
      </c>
      <c r="J1643">
        <v>114.29</v>
      </c>
      <c r="K1643">
        <v>8</v>
      </c>
      <c r="L1643">
        <f>_xlfn.XLOOKUP(C1643, dim_teams[team_name], dim_teams[team_id], "Not found", 0)</f>
        <v>2</v>
      </c>
    </row>
    <row r="1644" spans="1:12" x14ac:dyDescent="0.3">
      <c r="A1644" t="s">
        <v>447</v>
      </c>
      <c r="B1644">
        <v>2015</v>
      </c>
      <c r="C1644" t="s">
        <v>21</v>
      </c>
      <c r="D1644">
        <v>4</v>
      </c>
      <c r="E1644">
        <v>7</v>
      </c>
      <c r="F1644">
        <v>1</v>
      </c>
      <c r="G1644">
        <v>0</v>
      </c>
      <c r="H1644">
        <v>1</v>
      </c>
      <c r="I1644">
        <v>1</v>
      </c>
      <c r="J1644">
        <v>57.14</v>
      </c>
      <c r="K1644">
        <v>4</v>
      </c>
      <c r="L1644">
        <f>_xlfn.XLOOKUP(C1644, dim_teams[team_name], dim_teams[team_id], "Not found", 0)</f>
        <v>2</v>
      </c>
    </row>
    <row r="1645" spans="1:12" x14ac:dyDescent="0.3">
      <c r="A1645" t="s">
        <v>448</v>
      </c>
      <c r="B1645">
        <v>2011</v>
      </c>
      <c r="C1645" t="s">
        <v>54</v>
      </c>
      <c r="D1645">
        <v>1</v>
      </c>
      <c r="E1645">
        <v>1</v>
      </c>
      <c r="F1645">
        <v>0</v>
      </c>
      <c r="G1645">
        <v>0</v>
      </c>
      <c r="H1645">
        <v>0</v>
      </c>
      <c r="I1645">
        <v>1</v>
      </c>
      <c r="J1645">
        <v>100</v>
      </c>
      <c r="L1645">
        <f>_xlfn.XLOOKUP(C1645, dim_teams[team_name], dim_teams[team_id], "Not found", 0)</f>
        <v>4</v>
      </c>
    </row>
    <row r="1646" spans="1:12" x14ac:dyDescent="0.3">
      <c r="A1646" t="s">
        <v>449</v>
      </c>
      <c r="B1646">
        <v>2008</v>
      </c>
      <c r="C1646" t="s">
        <v>17</v>
      </c>
      <c r="D1646">
        <v>103</v>
      </c>
      <c r="E1646">
        <v>81</v>
      </c>
      <c r="F1646">
        <v>13</v>
      </c>
      <c r="G1646">
        <v>1</v>
      </c>
      <c r="H1646">
        <v>3</v>
      </c>
      <c r="I1646">
        <v>4</v>
      </c>
      <c r="J1646">
        <v>127.16</v>
      </c>
      <c r="K1646">
        <v>34.33</v>
      </c>
      <c r="L1646">
        <f>_xlfn.XLOOKUP(C1646, dim_teams[team_name], dim_teams[team_id], "Not found", 0)</f>
        <v>5</v>
      </c>
    </row>
    <row r="1647" spans="1:12" x14ac:dyDescent="0.3">
      <c r="A1647" t="s">
        <v>449</v>
      </c>
      <c r="B1647">
        <v>2009</v>
      </c>
      <c r="C1647" t="s">
        <v>17</v>
      </c>
      <c r="D1647">
        <v>18</v>
      </c>
      <c r="E1647">
        <v>38</v>
      </c>
      <c r="F1647">
        <v>1</v>
      </c>
      <c r="G1647">
        <v>0</v>
      </c>
      <c r="H1647">
        <v>2</v>
      </c>
      <c r="I1647">
        <v>2</v>
      </c>
      <c r="J1647">
        <v>47.37</v>
      </c>
      <c r="K1647">
        <v>9</v>
      </c>
      <c r="L1647">
        <f>_xlfn.XLOOKUP(C1647, dim_teams[team_name], dim_teams[team_id], "Not found", 0)</f>
        <v>5</v>
      </c>
    </row>
    <row r="1648" spans="1:12" x14ac:dyDescent="0.3">
      <c r="A1648" t="s">
        <v>450</v>
      </c>
      <c r="B1648">
        <v>2011</v>
      </c>
      <c r="C1648" t="s">
        <v>37</v>
      </c>
      <c r="D1648">
        <v>26</v>
      </c>
      <c r="E1648">
        <v>22</v>
      </c>
      <c r="F1648">
        <v>0</v>
      </c>
      <c r="G1648">
        <v>1</v>
      </c>
      <c r="H1648">
        <v>3</v>
      </c>
      <c r="I1648">
        <v>2</v>
      </c>
      <c r="J1648">
        <v>118.18</v>
      </c>
      <c r="K1648">
        <v>8.67</v>
      </c>
      <c r="L1648">
        <f>_xlfn.XLOOKUP(C1648, dim_teams[team_name], dim_teams[team_id], "Not found", 0)</f>
        <v>10</v>
      </c>
    </row>
    <row r="1649" spans="1:12" x14ac:dyDescent="0.3">
      <c r="A1649" t="s">
        <v>451</v>
      </c>
      <c r="B1649">
        <v>2011</v>
      </c>
      <c r="C1649" t="s">
        <v>122</v>
      </c>
      <c r="D1649">
        <v>23</v>
      </c>
      <c r="E1649">
        <v>27</v>
      </c>
      <c r="F1649">
        <v>4</v>
      </c>
      <c r="G1649">
        <v>0</v>
      </c>
      <c r="H1649">
        <v>2</v>
      </c>
      <c r="I1649">
        <v>2</v>
      </c>
      <c r="J1649">
        <v>85.19</v>
      </c>
      <c r="K1649">
        <v>11.5</v>
      </c>
      <c r="L1649">
        <f>_xlfn.XLOOKUP(C1649, dim_teams[team_name], dim_teams[team_id], "Not found", 0)</f>
        <v>9</v>
      </c>
    </row>
    <row r="1650" spans="1:12" x14ac:dyDescent="0.3">
      <c r="A1650" t="s">
        <v>451</v>
      </c>
      <c r="B1650">
        <v>2012</v>
      </c>
      <c r="C1650" t="s">
        <v>23</v>
      </c>
      <c r="D1650">
        <v>4</v>
      </c>
      <c r="E1650">
        <v>9</v>
      </c>
      <c r="F1650">
        <v>0</v>
      </c>
      <c r="G1650">
        <v>0</v>
      </c>
      <c r="H1650">
        <v>1</v>
      </c>
      <c r="I1650">
        <v>2</v>
      </c>
      <c r="J1650">
        <v>44.44</v>
      </c>
      <c r="K1650">
        <v>4</v>
      </c>
      <c r="L1650">
        <f>_xlfn.XLOOKUP(C1650, dim_teams[team_name], dim_teams[team_id], "Not found", 0)</f>
        <v>7</v>
      </c>
    </row>
    <row r="1651" spans="1:12" x14ac:dyDescent="0.3">
      <c r="A1651" t="s">
        <v>451</v>
      </c>
      <c r="B1651">
        <v>2013</v>
      </c>
      <c r="C1651" t="s">
        <v>13</v>
      </c>
      <c r="D1651">
        <v>235</v>
      </c>
      <c r="E1651">
        <v>163</v>
      </c>
      <c r="F1651">
        <v>12</v>
      </c>
      <c r="G1651">
        <v>14</v>
      </c>
      <c r="H1651">
        <v>12</v>
      </c>
      <c r="I1651">
        <v>14</v>
      </c>
      <c r="J1651">
        <v>144.16999999999999</v>
      </c>
      <c r="K1651">
        <v>19.579999999999998</v>
      </c>
      <c r="L1651">
        <f>_xlfn.XLOOKUP(C1651, dim_teams[team_name], dim_teams[team_id], "Not found", 0)</f>
        <v>11</v>
      </c>
    </row>
    <row r="1652" spans="1:12" x14ac:dyDescent="0.3">
      <c r="A1652" t="s">
        <v>451</v>
      </c>
      <c r="B1652">
        <v>2015</v>
      </c>
      <c r="C1652" t="s">
        <v>54</v>
      </c>
      <c r="D1652">
        <v>12</v>
      </c>
      <c r="E1652">
        <v>15</v>
      </c>
      <c r="F1652">
        <v>0</v>
      </c>
      <c r="G1652">
        <v>1</v>
      </c>
      <c r="H1652">
        <v>2</v>
      </c>
      <c r="I1652">
        <v>2</v>
      </c>
      <c r="J1652">
        <v>80</v>
      </c>
      <c r="K1652">
        <v>6</v>
      </c>
      <c r="L1652">
        <f>_xlfn.XLOOKUP(C1652, dim_teams[team_name], dim_teams[team_id], "Not found", 0)</f>
        <v>4</v>
      </c>
    </row>
    <row r="1653" spans="1:12" x14ac:dyDescent="0.3">
      <c r="A1653" t="s">
        <v>451</v>
      </c>
      <c r="B1653">
        <v>2016</v>
      </c>
      <c r="C1653" t="s">
        <v>45</v>
      </c>
      <c r="D1653">
        <v>150</v>
      </c>
      <c r="E1653">
        <v>92</v>
      </c>
      <c r="F1653">
        <v>7</v>
      </c>
      <c r="G1653">
        <v>11</v>
      </c>
      <c r="H1653">
        <v>7</v>
      </c>
      <c r="I1653">
        <v>10</v>
      </c>
      <c r="J1653">
        <v>163.04</v>
      </c>
      <c r="K1653">
        <v>21.43</v>
      </c>
      <c r="L1653">
        <f>_xlfn.XLOOKUP(C1653, dim_teams[team_name], dim_teams[team_id], "Not found", 0)</f>
        <v>12</v>
      </c>
    </row>
    <row r="1654" spans="1:12" x14ac:dyDescent="0.3">
      <c r="A1654" t="s">
        <v>452</v>
      </c>
      <c r="B1654">
        <v>2013</v>
      </c>
      <c r="C1654" t="s">
        <v>23</v>
      </c>
      <c r="D1654">
        <v>9</v>
      </c>
      <c r="E1654">
        <v>6</v>
      </c>
      <c r="F1654">
        <v>0</v>
      </c>
      <c r="G1654">
        <v>1</v>
      </c>
      <c r="H1654">
        <v>1</v>
      </c>
      <c r="I1654">
        <v>1</v>
      </c>
      <c r="J1654">
        <v>150</v>
      </c>
      <c r="K1654">
        <v>9</v>
      </c>
      <c r="L1654">
        <f>_xlfn.XLOOKUP(C1654, dim_teams[team_name], dim_teams[team_id], "Not found", 0)</f>
        <v>7</v>
      </c>
    </row>
    <row r="1655" spans="1:12" x14ac:dyDescent="0.3">
      <c r="A1655" t="s">
        <v>452</v>
      </c>
      <c r="B1655">
        <v>2015</v>
      </c>
      <c r="C1655" t="s">
        <v>32</v>
      </c>
      <c r="D1655">
        <v>20</v>
      </c>
      <c r="E1655">
        <v>18</v>
      </c>
      <c r="F1655">
        <v>2</v>
      </c>
      <c r="G1655">
        <v>1</v>
      </c>
      <c r="H1655">
        <v>3</v>
      </c>
      <c r="I1655">
        <v>5</v>
      </c>
      <c r="J1655">
        <v>111.11</v>
      </c>
      <c r="K1655">
        <v>6.67</v>
      </c>
      <c r="L1655">
        <f>_xlfn.XLOOKUP(C1655, dim_teams[team_name], dim_teams[team_id], "Not found", 0)</f>
        <v>6</v>
      </c>
    </row>
    <row r="1656" spans="1:12" x14ac:dyDescent="0.3">
      <c r="A1656" t="s">
        <v>452</v>
      </c>
      <c r="B1656">
        <v>2016</v>
      </c>
      <c r="C1656" t="s">
        <v>32</v>
      </c>
      <c r="D1656">
        <v>9</v>
      </c>
      <c r="E1656">
        <v>14</v>
      </c>
      <c r="F1656">
        <v>1</v>
      </c>
      <c r="G1656">
        <v>0</v>
      </c>
      <c r="H1656">
        <v>0</v>
      </c>
      <c r="I1656">
        <v>2</v>
      </c>
      <c r="J1656">
        <v>64.290000000000006</v>
      </c>
      <c r="L1656">
        <f>_xlfn.XLOOKUP(C1656, dim_teams[team_name], dim_teams[team_id], "Not found", 0)</f>
        <v>6</v>
      </c>
    </row>
    <row r="1657" spans="1:12" x14ac:dyDescent="0.3">
      <c r="A1657" t="s">
        <v>452</v>
      </c>
      <c r="B1657">
        <v>2017</v>
      </c>
      <c r="C1657" t="s">
        <v>19</v>
      </c>
      <c r="D1657">
        <v>14</v>
      </c>
      <c r="E1657">
        <v>12</v>
      </c>
      <c r="F1657">
        <v>0</v>
      </c>
      <c r="G1657">
        <v>2</v>
      </c>
      <c r="H1657">
        <v>3</v>
      </c>
      <c r="I1657">
        <v>3</v>
      </c>
      <c r="J1657">
        <v>116.67</v>
      </c>
      <c r="K1657">
        <v>4.67</v>
      </c>
      <c r="L1657">
        <f>_xlfn.XLOOKUP(C1657, dim_teams[team_name], dim_teams[team_id], "Not found", 0)</f>
        <v>1</v>
      </c>
    </row>
    <row r="1658" spans="1:12" x14ac:dyDescent="0.3">
      <c r="A1658" t="s">
        <v>452</v>
      </c>
      <c r="B1658">
        <v>2020</v>
      </c>
      <c r="C1658" t="s">
        <v>23</v>
      </c>
      <c r="D1658">
        <v>25</v>
      </c>
      <c r="E1658">
        <v>15</v>
      </c>
      <c r="F1658">
        <v>4</v>
      </c>
      <c r="G1658">
        <v>0</v>
      </c>
      <c r="H1658">
        <v>1</v>
      </c>
      <c r="I1658">
        <v>2</v>
      </c>
      <c r="J1658">
        <v>166.67</v>
      </c>
      <c r="K1658">
        <v>25</v>
      </c>
      <c r="L1658">
        <f>_xlfn.XLOOKUP(C1658, dim_teams[team_name], dim_teams[team_id], "Not found", 0)</f>
        <v>7</v>
      </c>
    </row>
    <row r="1659" spans="1:12" x14ac:dyDescent="0.3">
      <c r="A1659" t="s">
        <v>452</v>
      </c>
      <c r="B1659">
        <v>2021</v>
      </c>
      <c r="C1659" t="s">
        <v>23</v>
      </c>
      <c r="D1659">
        <v>4</v>
      </c>
      <c r="E1659">
        <v>5</v>
      </c>
      <c r="F1659">
        <v>0</v>
      </c>
      <c r="G1659">
        <v>0</v>
      </c>
      <c r="H1659">
        <v>2</v>
      </c>
      <c r="I1659">
        <v>2</v>
      </c>
      <c r="J1659">
        <v>80</v>
      </c>
      <c r="K1659">
        <v>2</v>
      </c>
      <c r="L1659">
        <f>_xlfn.XLOOKUP(C1659, dim_teams[team_name], dim_teams[team_id], "Not found", 0)</f>
        <v>7</v>
      </c>
    </row>
    <row r="1660" spans="1:12" x14ac:dyDescent="0.3">
      <c r="A1660" t="s">
        <v>452</v>
      </c>
      <c r="B1660">
        <v>2022</v>
      </c>
      <c r="C1660" t="s">
        <v>17</v>
      </c>
      <c r="D1660">
        <v>1</v>
      </c>
      <c r="E1660">
        <v>2</v>
      </c>
      <c r="F1660">
        <v>0</v>
      </c>
      <c r="G1660">
        <v>0</v>
      </c>
      <c r="H1660">
        <v>0</v>
      </c>
      <c r="I1660">
        <v>1</v>
      </c>
      <c r="J1660">
        <v>50</v>
      </c>
      <c r="L1660">
        <f>_xlfn.XLOOKUP(C1660, dim_teams[team_name], dim_teams[team_id], "Not found", 0)</f>
        <v>5</v>
      </c>
    </row>
    <row r="1661" spans="1:12" x14ac:dyDescent="0.3">
      <c r="A1661" t="s">
        <v>453</v>
      </c>
      <c r="B1661">
        <v>2016</v>
      </c>
      <c r="C1661" t="s">
        <v>54</v>
      </c>
      <c r="D1661">
        <v>23</v>
      </c>
      <c r="E1661">
        <v>31</v>
      </c>
      <c r="F1661">
        <v>1</v>
      </c>
      <c r="G1661">
        <v>0</v>
      </c>
      <c r="H1661">
        <v>2</v>
      </c>
      <c r="I1661">
        <v>2</v>
      </c>
      <c r="J1661">
        <v>74.19</v>
      </c>
      <c r="K1661">
        <v>11.5</v>
      </c>
      <c r="L1661">
        <f>_xlfn.XLOOKUP(C1661, dim_teams[team_name], dim_teams[team_id], "Not found", 0)</f>
        <v>4</v>
      </c>
    </row>
    <row r="1662" spans="1:12" x14ac:dyDescent="0.3">
      <c r="A1662" t="s">
        <v>453</v>
      </c>
      <c r="B1662">
        <v>2019</v>
      </c>
      <c r="C1662" t="s">
        <v>19</v>
      </c>
      <c r="D1662">
        <v>7</v>
      </c>
      <c r="E1662">
        <v>16</v>
      </c>
      <c r="F1662">
        <v>1</v>
      </c>
      <c r="G1662">
        <v>0</v>
      </c>
      <c r="H1662">
        <v>1</v>
      </c>
      <c r="I1662">
        <v>1</v>
      </c>
      <c r="J1662">
        <v>43.75</v>
      </c>
      <c r="K1662">
        <v>7</v>
      </c>
      <c r="L1662">
        <f>_xlfn.XLOOKUP(C1662, dim_teams[team_name], dim_teams[team_id], "Not found", 0)</f>
        <v>1</v>
      </c>
    </row>
    <row r="1663" spans="1:12" x14ac:dyDescent="0.3">
      <c r="A1663" t="s">
        <v>453</v>
      </c>
      <c r="B1663">
        <v>2020</v>
      </c>
      <c r="C1663" t="s">
        <v>19</v>
      </c>
      <c r="D1663">
        <v>1</v>
      </c>
      <c r="E1663">
        <v>3</v>
      </c>
      <c r="F1663">
        <v>0</v>
      </c>
      <c r="G1663">
        <v>0</v>
      </c>
      <c r="H1663">
        <v>1</v>
      </c>
      <c r="I1663">
        <v>1</v>
      </c>
      <c r="J1663">
        <v>33.33</v>
      </c>
      <c r="K1663">
        <v>1</v>
      </c>
      <c r="L1663">
        <f>_xlfn.XLOOKUP(C1663, dim_teams[team_name], dim_teams[team_id], "Not found", 0)</f>
        <v>1</v>
      </c>
    </row>
    <row r="1664" spans="1:12" x14ac:dyDescent="0.3">
      <c r="A1664" t="s">
        <v>454</v>
      </c>
      <c r="B1664">
        <v>2021</v>
      </c>
      <c r="C1664" t="s">
        <v>76</v>
      </c>
      <c r="D1664">
        <v>18</v>
      </c>
      <c r="E1664">
        <v>16</v>
      </c>
      <c r="F1664">
        <v>0</v>
      </c>
      <c r="G1664">
        <v>1</v>
      </c>
      <c r="H1664">
        <v>1</v>
      </c>
      <c r="I1664">
        <v>2</v>
      </c>
      <c r="J1664">
        <v>112.5</v>
      </c>
      <c r="K1664">
        <v>18</v>
      </c>
      <c r="L1664">
        <f>_xlfn.XLOOKUP(C1664, dim_teams[team_name], dim_teams[team_id], "Not found", 0)</f>
        <v>16</v>
      </c>
    </row>
    <row r="1665" spans="1:12" x14ac:dyDescent="0.3">
      <c r="A1665" t="s">
        <v>454</v>
      </c>
      <c r="B1665">
        <v>2022</v>
      </c>
      <c r="C1665" t="s">
        <v>76</v>
      </c>
      <c r="D1665">
        <v>0</v>
      </c>
      <c r="E1665">
        <v>2</v>
      </c>
      <c r="F1665">
        <v>0</v>
      </c>
      <c r="G1665">
        <v>0</v>
      </c>
      <c r="H1665">
        <v>1</v>
      </c>
      <c r="I1665">
        <v>1</v>
      </c>
      <c r="J1665">
        <v>0</v>
      </c>
      <c r="K1665">
        <v>0</v>
      </c>
      <c r="L1665">
        <f>_xlfn.XLOOKUP(C1665, dim_teams[team_name], dim_teams[team_id], "Not found", 0)</f>
        <v>16</v>
      </c>
    </row>
    <row r="1666" spans="1:12" x14ac:dyDescent="0.3">
      <c r="A1666" t="s">
        <v>454</v>
      </c>
      <c r="B1666">
        <v>2023</v>
      </c>
      <c r="C1666" t="s">
        <v>76</v>
      </c>
      <c r="D1666">
        <v>1</v>
      </c>
      <c r="E1666">
        <v>7</v>
      </c>
      <c r="F1666">
        <v>0</v>
      </c>
      <c r="G1666">
        <v>0</v>
      </c>
      <c r="H1666">
        <v>2</v>
      </c>
      <c r="I1666">
        <v>2</v>
      </c>
      <c r="J1666">
        <v>14.29</v>
      </c>
      <c r="K1666">
        <v>0.5</v>
      </c>
      <c r="L1666">
        <f>_xlfn.XLOOKUP(C1666, dim_teams[team_name], dim_teams[team_id], "Not found", 0)</f>
        <v>16</v>
      </c>
    </row>
    <row r="1667" spans="1:12" x14ac:dyDescent="0.3">
      <c r="A1667" t="s">
        <v>455</v>
      </c>
      <c r="B1667">
        <v>2009</v>
      </c>
      <c r="C1667" t="s">
        <v>17</v>
      </c>
      <c r="D1667">
        <v>168</v>
      </c>
      <c r="E1667">
        <v>144</v>
      </c>
      <c r="F1667">
        <v>11</v>
      </c>
      <c r="G1667">
        <v>11</v>
      </c>
      <c r="H1667">
        <v>7</v>
      </c>
      <c r="I1667">
        <v>8</v>
      </c>
      <c r="J1667">
        <v>116.67</v>
      </c>
      <c r="K1667">
        <v>24</v>
      </c>
      <c r="L1667">
        <f>_xlfn.XLOOKUP(C1667, dim_teams[team_name], dim_teams[team_id], "Not found", 0)</f>
        <v>5</v>
      </c>
    </row>
    <row r="1668" spans="1:12" x14ac:dyDescent="0.3">
      <c r="A1668" t="s">
        <v>455</v>
      </c>
      <c r="B1668">
        <v>2010</v>
      </c>
      <c r="C1668" t="s">
        <v>17</v>
      </c>
      <c r="D1668">
        <v>377</v>
      </c>
      <c r="E1668">
        <v>283</v>
      </c>
      <c r="F1668">
        <v>42</v>
      </c>
      <c r="G1668">
        <v>15</v>
      </c>
      <c r="H1668">
        <v>12</v>
      </c>
      <c r="I1668">
        <v>14</v>
      </c>
      <c r="J1668">
        <v>133.22</v>
      </c>
      <c r="K1668">
        <v>31.42</v>
      </c>
      <c r="L1668">
        <f>_xlfn.XLOOKUP(C1668, dim_teams[team_name], dim_teams[team_id], "Not found", 0)</f>
        <v>5</v>
      </c>
    </row>
    <row r="1669" spans="1:12" x14ac:dyDescent="0.3">
      <c r="A1669" t="s">
        <v>455</v>
      </c>
      <c r="B1669">
        <v>2011</v>
      </c>
      <c r="C1669" t="s">
        <v>32</v>
      </c>
      <c r="D1669">
        <v>160</v>
      </c>
      <c r="E1669">
        <v>161</v>
      </c>
      <c r="F1669">
        <v>11</v>
      </c>
      <c r="G1669">
        <v>11</v>
      </c>
      <c r="H1669">
        <v>13</v>
      </c>
      <c r="I1669">
        <v>14</v>
      </c>
      <c r="J1669">
        <v>99.38</v>
      </c>
      <c r="K1669">
        <v>12.31</v>
      </c>
      <c r="L1669">
        <f>_xlfn.XLOOKUP(C1669, dim_teams[team_name], dim_teams[team_id], "Not found", 0)</f>
        <v>6</v>
      </c>
    </row>
    <row r="1670" spans="1:12" x14ac:dyDescent="0.3">
      <c r="A1670" t="s">
        <v>455</v>
      </c>
      <c r="B1670">
        <v>2012</v>
      </c>
      <c r="C1670" t="s">
        <v>32</v>
      </c>
      <c r="D1670">
        <v>255</v>
      </c>
      <c r="E1670">
        <v>223</v>
      </c>
      <c r="F1670">
        <v>21</v>
      </c>
      <c r="G1670">
        <v>13</v>
      </c>
      <c r="H1670">
        <v>11</v>
      </c>
      <c r="I1670">
        <v>16</v>
      </c>
      <c r="J1670">
        <v>114.35</v>
      </c>
      <c r="K1670">
        <v>23.18</v>
      </c>
      <c r="L1670">
        <f>_xlfn.XLOOKUP(C1670, dim_teams[team_name], dim_teams[team_id], "Not found", 0)</f>
        <v>6</v>
      </c>
    </row>
    <row r="1671" spans="1:12" x14ac:dyDescent="0.3">
      <c r="A1671" t="s">
        <v>455</v>
      </c>
      <c r="B1671">
        <v>2013</v>
      </c>
      <c r="C1671" t="s">
        <v>32</v>
      </c>
      <c r="D1671">
        <v>9</v>
      </c>
      <c r="E1671">
        <v>10</v>
      </c>
      <c r="F1671">
        <v>1</v>
      </c>
      <c r="G1671">
        <v>0</v>
      </c>
      <c r="H1671">
        <v>1</v>
      </c>
      <c r="I1671">
        <v>2</v>
      </c>
      <c r="J1671">
        <v>90</v>
      </c>
      <c r="K1671">
        <v>9</v>
      </c>
      <c r="L1671">
        <f>_xlfn.XLOOKUP(C1671, dim_teams[team_name], dim_teams[team_id], "Not found", 0)</f>
        <v>6</v>
      </c>
    </row>
    <row r="1672" spans="1:12" x14ac:dyDescent="0.3">
      <c r="A1672" t="s">
        <v>455</v>
      </c>
      <c r="B1672">
        <v>2014</v>
      </c>
      <c r="C1672" t="s">
        <v>13</v>
      </c>
      <c r="D1672">
        <v>232</v>
      </c>
      <c r="E1672">
        <v>160</v>
      </c>
      <c r="F1672">
        <v>14</v>
      </c>
      <c r="G1672">
        <v>17</v>
      </c>
      <c r="H1672">
        <v>6</v>
      </c>
      <c r="I1672">
        <v>10</v>
      </c>
      <c r="J1672">
        <v>145</v>
      </c>
      <c r="K1672">
        <v>38.67</v>
      </c>
      <c r="L1672">
        <f>_xlfn.XLOOKUP(C1672, dim_teams[team_name], dim_teams[team_id], "Not found", 0)</f>
        <v>11</v>
      </c>
    </row>
    <row r="1673" spans="1:12" x14ac:dyDescent="0.3">
      <c r="A1673" t="s">
        <v>455</v>
      </c>
      <c r="B1673">
        <v>2015</v>
      </c>
      <c r="C1673" t="s">
        <v>13</v>
      </c>
      <c r="D1673">
        <v>137</v>
      </c>
      <c r="E1673">
        <v>120</v>
      </c>
      <c r="F1673">
        <v>12</v>
      </c>
      <c r="G1673">
        <v>4</v>
      </c>
      <c r="H1673">
        <v>9</v>
      </c>
      <c r="I1673">
        <v>11</v>
      </c>
      <c r="J1673">
        <v>114.17</v>
      </c>
      <c r="K1673">
        <v>15.22</v>
      </c>
      <c r="L1673">
        <f>_xlfn.XLOOKUP(C1673, dim_teams[team_name], dim_teams[team_id], "Not found", 0)</f>
        <v>11</v>
      </c>
    </row>
    <row r="1674" spans="1:12" x14ac:dyDescent="0.3">
      <c r="A1674" t="s">
        <v>455</v>
      </c>
      <c r="B1674">
        <v>2016</v>
      </c>
      <c r="C1674" t="s">
        <v>13</v>
      </c>
      <c r="D1674">
        <v>136</v>
      </c>
      <c r="E1674">
        <v>138</v>
      </c>
      <c r="F1674">
        <v>7</v>
      </c>
      <c r="G1674">
        <v>5</v>
      </c>
      <c r="H1674">
        <v>10</v>
      </c>
      <c r="I1674">
        <v>13</v>
      </c>
      <c r="J1674">
        <v>98.55</v>
      </c>
      <c r="K1674">
        <v>13.6</v>
      </c>
      <c r="L1674">
        <f>_xlfn.XLOOKUP(C1674, dim_teams[team_name], dim_teams[team_id], "Not found", 0)</f>
        <v>11</v>
      </c>
    </row>
    <row r="1675" spans="1:12" x14ac:dyDescent="0.3">
      <c r="A1675" t="s">
        <v>455</v>
      </c>
      <c r="B1675">
        <v>2017</v>
      </c>
      <c r="C1675" t="s">
        <v>13</v>
      </c>
      <c r="D1675">
        <v>79</v>
      </c>
      <c r="E1675">
        <v>65</v>
      </c>
      <c r="F1675">
        <v>2</v>
      </c>
      <c r="G1675">
        <v>3</v>
      </c>
      <c r="H1675">
        <v>4</v>
      </c>
      <c r="I1675">
        <v>5</v>
      </c>
      <c r="J1675">
        <v>121.54</v>
      </c>
      <c r="K1675">
        <v>19.75</v>
      </c>
      <c r="L1675">
        <f>_xlfn.XLOOKUP(C1675, dim_teams[team_name], dim_teams[team_id], "Not found", 0)</f>
        <v>11</v>
      </c>
    </row>
    <row r="1676" spans="1:12" x14ac:dyDescent="0.3">
      <c r="A1676" t="s">
        <v>455</v>
      </c>
      <c r="B1676">
        <v>2018</v>
      </c>
      <c r="C1676" t="s">
        <v>32</v>
      </c>
      <c r="D1676">
        <v>1</v>
      </c>
      <c r="E1676">
        <v>4</v>
      </c>
      <c r="F1676">
        <v>0</v>
      </c>
      <c r="G1676">
        <v>0</v>
      </c>
      <c r="H1676">
        <v>1</v>
      </c>
      <c r="I1676">
        <v>1</v>
      </c>
      <c r="J1676">
        <v>25</v>
      </c>
      <c r="K1676">
        <v>1</v>
      </c>
      <c r="L1676">
        <f>_xlfn.XLOOKUP(C1676, dim_teams[team_name], dim_teams[team_id], "Not found", 0)</f>
        <v>6</v>
      </c>
    </row>
    <row r="1677" spans="1:12" x14ac:dyDescent="0.3">
      <c r="A1677" t="s">
        <v>456</v>
      </c>
      <c r="B1677">
        <v>2024</v>
      </c>
      <c r="C1677" t="s">
        <v>23</v>
      </c>
      <c r="D1677">
        <v>140</v>
      </c>
      <c r="E1677">
        <v>78</v>
      </c>
      <c r="F1677">
        <v>12</v>
      </c>
      <c r="G1677">
        <v>10</v>
      </c>
      <c r="H1677">
        <v>6</v>
      </c>
      <c r="I1677">
        <v>7</v>
      </c>
      <c r="J1677">
        <v>179.49</v>
      </c>
      <c r="K1677">
        <v>23.33</v>
      </c>
      <c r="L1677">
        <f>_xlfn.XLOOKUP(C1677, dim_teams[team_name], dim_teams[team_id], "Not found", 0)</f>
        <v>7</v>
      </c>
    </row>
    <row r="1678" spans="1:12" x14ac:dyDescent="0.3">
      <c r="A1678" t="s">
        <v>456</v>
      </c>
      <c r="B1678">
        <v>2025</v>
      </c>
      <c r="C1678" t="s">
        <v>23</v>
      </c>
      <c r="D1678">
        <v>252</v>
      </c>
      <c r="E1678">
        <v>138</v>
      </c>
      <c r="F1678">
        <v>25</v>
      </c>
      <c r="G1678">
        <v>13</v>
      </c>
      <c r="H1678">
        <v>8</v>
      </c>
      <c r="I1678">
        <v>12</v>
      </c>
      <c r="J1678">
        <v>182.61</v>
      </c>
      <c r="K1678">
        <v>31.5</v>
      </c>
      <c r="L1678">
        <f>_xlfn.XLOOKUP(C1678, dim_teams[team_name], dim_teams[team_id], "Not found", 0)</f>
        <v>7</v>
      </c>
    </row>
    <row r="1679" spans="1:12" x14ac:dyDescent="0.3">
      <c r="A1679" t="s">
        <v>457</v>
      </c>
      <c r="B1679">
        <v>2019</v>
      </c>
      <c r="C1679" t="s">
        <v>21</v>
      </c>
      <c r="D1679">
        <v>2</v>
      </c>
      <c r="E1679">
        <v>4</v>
      </c>
      <c r="F1679">
        <v>0</v>
      </c>
      <c r="G1679">
        <v>0</v>
      </c>
      <c r="H1679">
        <v>1</v>
      </c>
      <c r="I1679">
        <v>2</v>
      </c>
      <c r="J1679">
        <v>50</v>
      </c>
      <c r="K1679">
        <v>2</v>
      </c>
      <c r="L1679">
        <f>_xlfn.XLOOKUP(C1679, dim_teams[team_name], dim_teams[team_id], "Not found", 0)</f>
        <v>2</v>
      </c>
    </row>
    <row r="1680" spans="1:12" x14ac:dyDescent="0.3">
      <c r="A1680" t="s">
        <v>457</v>
      </c>
      <c r="B1680">
        <v>2020</v>
      </c>
      <c r="C1680" t="s">
        <v>21</v>
      </c>
      <c r="D1680">
        <v>27</v>
      </c>
      <c r="E1680">
        <v>27</v>
      </c>
      <c r="F1680">
        <v>3</v>
      </c>
      <c r="G1680">
        <v>0</v>
      </c>
      <c r="H1680">
        <v>1</v>
      </c>
      <c r="I1680">
        <v>3</v>
      </c>
      <c r="J1680">
        <v>100</v>
      </c>
      <c r="K1680">
        <v>27</v>
      </c>
      <c r="L1680">
        <f>_xlfn.XLOOKUP(C1680, dim_teams[team_name], dim_teams[team_id], "Not found", 0)</f>
        <v>2</v>
      </c>
    </row>
    <row r="1681" spans="1:12" x14ac:dyDescent="0.3">
      <c r="A1681" t="s">
        <v>457</v>
      </c>
      <c r="B1681">
        <v>2021</v>
      </c>
      <c r="C1681" t="s">
        <v>21</v>
      </c>
      <c r="D1681">
        <v>2</v>
      </c>
      <c r="E1681">
        <v>4</v>
      </c>
      <c r="F1681">
        <v>0</v>
      </c>
      <c r="G1681">
        <v>0</v>
      </c>
      <c r="H1681">
        <v>1</v>
      </c>
      <c r="I1681">
        <v>1</v>
      </c>
      <c r="J1681">
        <v>50</v>
      </c>
      <c r="K1681">
        <v>2</v>
      </c>
      <c r="L1681">
        <f>_xlfn.XLOOKUP(C1681, dim_teams[team_name], dim_teams[team_id], "Not found", 0)</f>
        <v>2</v>
      </c>
    </row>
    <row r="1682" spans="1:12" x14ac:dyDescent="0.3">
      <c r="A1682" t="s">
        <v>457</v>
      </c>
      <c r="B1682">
        <v>2022</v>
      </c>
      <c r="C1682" t="s">
        <v>17</v>
      </c>
      <c r="D1682">
        <v>2</v>
      </c>
      <c r="E1682">
        <v>2</v>
      </c>
      <c r="F1682">
        <v>0</v>
      </c>
      <c r="G1682">
        <v>0</v>
      </c>
      <c r="H1682">
        <v>1</v>
      </c>
      <c r="I1682">
        <v>1</v>
      </c>
      <c r="J1682">
        <v>100</v>
      </c>
      <c r="K1682">
        <v>2</v>
      </c>
      <c r="L1682">
        <f>_xlfn.XLOOKUP(C1682, dim_teams[team_name], dim_teams[team_id], "Not found", 0)</f>
        <v>5</v>
      </c>
    </row>
    <row r="1683" spans="1:12" x14ac:dyDescent="0.3">
      <c r="A1683" t="s">
        <v>458</v>
      </c>
      <c r="B1683">
        <v>2023</v>
      </c>
      <c r="C1683" t="s">
        <v>15</v>
      </c>
      <c r="D1683">
        <v>16</v>
      </c>
      <c r="E1683">
        <v>20</v>
      </c>
      <c r="F1683">
        <v>2</v>
      </c>
      <c r="G1683">
        <v>0</v>
      </c>
      <c r="H1683">
        <v>2</v>
      </c>
      <c r="I1683">
        <v>3</v>
      </c>
      <c r="J1683">
        <v>80</v>
      </c>
      <c r="K1683">
        <v>8</v>
      </c>
      <c r="L1683">
        <f>_xlfn.XLOOKUP(C1683, dim_teams[team_name], dim_teams[team_id], "Not found", 0)</f>
        <v>17</v>
      </c>
    </row>
    <row r="1684" spans="1:12" x14ac:dyDescent="0.3">
      <c r="A1684" t="s">
        <v>458</v>
      </c>
      <c r="B1684">
        <v>2024</v>
      </c>
      <c r="C1684" t="s">
        <v>15</v>
      </c>
      <c r="D1684">
        <v>2</v>
      </c>
      <c r="E1684">
        <v>4</v>
      </c>
      <c r="F1684">
        <v>0</v>
      </c>
      <c r="G1684">
        <v>0</v>
      </c>
      <c r="H1684">
        <v>0</v>
      </c>
      <c r="I1684">
        <v>1</v>
      </c>
      <c r="J1684">
        <v>50</v>
      </c>
      <c r="L1684">
        <f>_xlfn.XLOOKUP(C1684, dim_teams[team_name], dim_teams[team_id], "Not found", 0)</f>
        <v>17</v>
      </c>
    </row>
    <row r="1685" spans="1:12" x14ac:dyDescent="0.3">
      <c r="A1685" t="s">
        <v>459</v>
      </c>
      <c r="B1685">
        <v>2024</v>
      </c>
      <c r="C1685" t="s">
        <v>13</v>
      </c>
      <c r="D1685">
        <v>303</v>
      </c>
      <c r="E1685">
        <v>212</v>
      </c>
      <c r="F1685">
        <v>15</v>
      </c>
      <c r="G1685">
        <v>21</v>
      </c>
      <c r="H1685">
        <v>9</v>
      </c>
      <c r="I1685">
        <v>11</v>
      </c>
      <c r="J1685">
        <v>142.91999999999999</v>
      </c>
      <c r="K1685">
        <v>33.67</v>
      </c>
      <c r="L1685">
        <f>_xlfn.XLOOKUP(C1685, dim_teams[team_name], dim_teams[team_id], "Not found", 0)</f>
        <v>11</v>
      </c>
    </row>
    <row r="1686" spans="1:12" x14ac:dyDescent="0.3">
      <c r="A1686" t="s">
        <v>459</v>
      </c>
      <c r="B1686">
        <v>2025</v>
      </c>
      <c r="C1686" t="s">
        <v>13</v>
      </c>
      <c r="D1686">
        <v>182</v>
      </c>
      <c r="E1686">
        <v>152</v>
      </c>
      <c r="F1686">
        <v>16</v>
      </c>
      <c r="G1686">
        <v>4</v>
      </c>
      <c r="H1686">
        <v>9</v>
      </c>
      <c r="I1686">
        <v>11</v>
      </c>
      <c r="J1686">
        <v>119.74</v>
      </c>
      <c r="K1686">
        <v>20.22</v>
      </c>
      <c r="L1686">
        <f>_xlfn.XLOOKUP(C1686, dim_teams[team_name], dim_teams[team_id], "Not found", 0)</f>
        <v>11</v>
      </c>
    </row>
    <row r="1687" spans="1:12" x14ac:dyDescent="0.3">
      <c r="A1687" t="s">
        <v>460</v>
      </c>
      <c r="B1687">
        <v>2023</v>
      </c>
      <c r="C1687" t="s">
        <v>29</v>
      </c>
      <c r="D1687">
        <v>8</v>
      </c>
      <c r="E1687">
        <v>9</v>
      </c>
      <c r="F1687">
        <v>1</v>
      </c>
      <c r="G1687">
        <v>0</v>
      </c>
      <c r="H1687">
        <v>2</v>
      </c>
      <c r="I1687">
        <v>3</v>
      </c>
      <c r="J1687">
        <v>88.89</v>
      </c>
      <c r="K1687">
        <v>4</v>
      </c>
      <c r="L1687">
        <f>_xlfn.XLOOKUP(C1687, dim_teams[team_name], dim_teams[team_id], "Not found", 0)</f>
        <v>18</v>
      </c>
    </row>
    <row r="1688" spans="1:12" x14ac:dyDescent="0.3">
      <c r="A1688" t="s">
        <v>460</v>
      </c>
      <c r="B1688">
        <v>2024</v>
      </c>
      <c r="C1688" t="s">
        <v>29</v>
      </c>
      <c r="D1688">
        <v>5</v>
      </c>
      <c r="E1688">
        <v>9</v>
      </c>
      <c r="F1688">
        <v>1</v>
      </c>
      <c r="G1688">
        <v>0</v>
      </c>
      <c r="H1688">
        <v>2</v>
      </c>
      <c r="I1688">
        <v>2</v>
      </c>
      <c r="J1688">
        <v>55.56</v>
      </c>
      <c r="K1688">
        <v>2.5</v>
      </c>
      <c r="L1688">
        <f>_xlfn.XLOOKUP(C1688, dim_teams[team_name], dim_teams[team_id], "Not found", 0)</f>
        <v>18</v>
      </c>
    </row>
    <row r="1689" spans="1:12" x14ac:dyDescent="0.3">
      <c r="A1689" t="s">
        <v>460</v>
      </c>
      <c r="B1689">
        <v>2025</v>
      </c>
      <c r="C1689" t="s">
        <v>25</v>
      </c>
      <c r="D1689">
        <v>7</v>
      </c>
      <c r="E1689">
        <v>17</v>
      </c>
      <c r="F1689">
        <v>0</v>
      </c>
      <c r="G1689">
        <v>0</v>
      </c>
      <c r="H1689">
        <v>4</v>
      </c>
      <c r="I1689">
        <v>6</v>
      </c>
      <c r="J1689">
        <v>41.18</v>
      </c>
      <c r="K1689">
        <v>1.75</v>
      </c>
      <c r="L1689">
        <f>_xlfn.XLOOKUP(C1689, dim_teams[team_name], dim_teams[team_id], "Not found", 0)</f>
        <v>3</v>
      </c>
    </row>
    <row r="1690" spans="1:12" x14ac:dyDescent="0.3">
      <c r="A1690" t="s">
        <v>461</v>
      </c>
      <c r="B1690">
        <v>2010</v>
      </c>
      <c r="C1690" t="s">
        <v>19</v>
      </c>
      <c r="D1690">
        <v>115</v>
      </c>
      <c r="E1690">
        <v>95</v>
      </c>
      <c r="F1690">
        <v>7</v>
      </c>
      <c r="G1690">
        <v>5</v>
      </c>
      <c r="H1690">
        <v>3</v>
      </c>
      <c r="I1690">
        <v>5</v>
      </c>
      <c r="J1690">
        <v>121.05</v>
      </c>
      <c r="K1690">
        <v>38.33</v>
      </c>
      <c r="L1690">
        <f>_xlfn.XLOOKUP(C1690, dim_teams[team_name], dim_teams[team_id], "Not found", 0)</f>
        <v>1</v>
      </c>
    </row>
    <row r="1691" spans="1:12" x14ac:dyDescent="0.3">
      <c r="A1691" t="s">
        <v>461</v>
      </c>
      <c r="B1691">
        <v>2011</v>
      </c>
      <c r="C1691" t="s">
        <v>122</v>
      </c>
      <c r="D1691">
        <v>26</v>
      </c>
      <c r="E1691">
        <v>15</v>
      </c>
      <c r="F1691">
        <v>1</v>
      </c>
      <c r="G1691">
        <v>2</v>
      </c>
      <c r="H1691">
        <v>1</v>
      </c>
      <c r="I1691">
        <v>2</v>
      </c>
      <c r="J1691">
        <v>173.33</v>
      </c>
      <c r="K1691">
        <v>26</v>
      </c>
      <c r="L1691">
        <f>_xlfn.XLOOKUP(C1691, dim_teams[team_name], dim_teams[team_id], "Not found", 0)</f>
        <v>9</v>
      </c>
    </row>
    <row r="1692" spans="1:12" x14ac:dyDescent="0.3">
      <c r="A1692" t="s">
        <v>461</v>
      </c>
      <c r="B1692">
        <v>2012</v>
      </c>
      <c r="C1692" t="s">
        <v>17</v>
      </c>
      <c r="D1692">
        <v>340</v>
      </c>
      <c r="E1692">
        <v>255</v>
      </c>
      <c r="F1692">
        <v>24</v>
      </c>
      <c r="G1692">
        <v>16</v>
      </c>
      <c r="H1692">
        <v>7</v>
      </c>
      <c r="I1692">
        <v>13</v>
      </c>
      <c r="J1692">
        <v>133.33000000000001</v>
      </c>
      <c r="K1692">
        <v>48.57</v>
      </c>
      <c r="L1692">
        <f>_xlfn.XLOOKUP(C1692, dim_teams[team_name], dim_teams[team_id], "Not found", 0)</f>
        <v>5</v>
      </c>
    </row>
    <row r="1693" spans="1:12" x14ac:dyDescent="0.3">
      <c r="A1693" t="s">
        <v>461</v>
      </c>
      <c r="B1693">
        <v>2013</v>
      </c>
      <c r="C1693" t="s">
        <v>17</v>
      </c>
      <c r="D1693">
        <v>25</v>
      </c>
      <c r="E1693">
        <v>23</v>
      </c>
      <c r="F1693">
        <v>2</v>
      </c>
      <c r="G1693">
        <v>0</v>
      </c>
      <c r="H1693">
        <v>2</v>
      </c>
      <c r="I1693">
        <v>2</v>
      </c>
      <c r="J1693">
        <v>108.7</v>
      </c>
      <c r="K1693">
        <v>12.5</v>
      </c>
      <c r="L1693">
        <f>_xlfn.XLOOKUP(C1693, dim_teams[team_name], dim_teams[team_id], "Not found", 0)</f>
        <v>5</v>
      </c>
    </row>
    <row r="1694" spans="1:12" x14ac:dyDescent="0.3">
      <c r="A1694" t="s">
        <v>462</v>
      </c>
      <c r="B1694">
        <v>2022</v>
      </c>
      <c r="C1694" t="s">
        <v>17</v>
      </c>
      <c r="D1694">
        <v>8</v>
      </c>
      <c r="E1694">
        <v>5</v>
      </c>
      <c r="F1694">
        <v>0</v>
      </c>
      <c r="G1694">
        <v>1</v>
      </c>
      <c r="H1694">
        <v>0</v>
      </c>
      <c r="I1694">
        <v>1</v>
      </c>
      <c r="J1694">
        <v>160</v>
      </c>
      <c r="L1694">
        <f>_xlfn.XLOOKUP(C1694, dim_teams[team_name], dim_teams[team_id], "Not found", 0)</f>
        <v>5</v>
      </c>
    </row>
    <row r="1695" spans="1:12" x14ac:dyDescent="0.3">
      <c r="A1695" t="s">
        <v>463</v>
      </c>
      <c r="B1695">
        <v>2022</v>
      </c>
      <c r="C1695" t="s">
        <v>76</v>
      </c>
      <c r="D1695">
        <v>51</v>
      </c>
      <c r="E1695">
        <v>44</v>
      </c>
      <c r="F1695">
        <v>1</v>
      </c>
      <c r="G1695">
        <v>5</v>
      </c>
      <c r="H1695">
        <v>3</v>
      </c>
      <c r="I1695">
        <v>6</v>
      </c>
      <c r="J1695">
        <v>115.91</v>
      </c>
      <c r="K1695">
        <v>17</v>
      </c>
      <c r="L1695">
        <f>_xlfn.XLOOKUP(C1695, dim_teams[team_name], dim_teams[team_id], "Not found", 0)</f>
        <v>16</v>
      </c>
    </row>
    <row r="1696" spans="1:12" x14ac:dyDescent="0.3">
      <c r="A1696" t="s">
        <v>464</v>
      </c>
      <c r="B1696">
        <v>2012</v>
      </c>
      <c r="C1696" t="s">
        <v>54</v>
      </c>
      <c r="D1696">
        <v>4</v>
      </c>
      <c r="E1696">
        <v>5</v>
      </c>
      <c r="F1696">
        <v>0</v>
      </c>
      <c r="G1696">
        <v>0</v>
      </c>
      <c r="H1696">
        <v>0</v>
      </c>
      <c r="I1696">
        <v>1</v>
      </c>
      <c r="J1696">
        <v>80</v>
      </c>
      <c r="L1696">
        <f>_xlfn.XLOOKUP(C1696, dim_teams[team_name], dim_teams[team_id], "Not found", 0)</f>
        <v>4</v>
      </c>
    </row>
    <row r="1697" spans="1:12" x14ac:dyDescent="0.3">
      <c r="A1697" t="s">
        <v>464</v>
      </c>
      <c r="B1697">
        <v>2013</v>
      </c>
      <c r="C1697" t="s">
        <v>54</v>
      </c>
      <c r="D1697">
        <v>1</v>
      </c>
      <c r="E1697">
        <v>9</v>
      </c>
      <c r="F1697">
        <v>0</v>
      </c>
      <c r="G1697">
        <v>0</v>
      </c>
      <c r="H1697">
        <v>3</v>
      </c>
      <c r="I1697">
        <v>4</v>
      </c>
      <c r="J1697">
        <v>11.11</v>
      </c>
      <c r="K1697">
        <v>0.33</v>
      </c>
      <c r="L1697">
        <f>_xlfn.XLOOKUP(C1697, dim_teams[team_name], dim_teams[team_id], "Not found", 0)</f>
        <v>4</v>
      </c>
    </row>
    <row r="1698" spans="1:12" x14ac:dyDescent="0.3">
      <c r="A1698" t="s">
        <v>465</v>
      </c>
      <c r="B1698">
        <v>2018</v>
      </c>
      <c r="C1698" t="s">
        <v>17</v>
      </c>
      <c r="D1698">
        <v>8</v>
      </c>
      <c r="E1698">
        <v>6</v>
      </c>
      <c r="F1698">
        <v>2</v>
      </c>
      <c r="G1698">
        <v>0</v>
      </c>
      <c r="H1698">
        <v>1</v>
      </c>
      <c r="I1698">
        <v>1</v>
      </c>
      <c r="J1698">
        <v>133.33000000000001</v>
      </c>
      <c r="K1698">
        <v>8</v>
      </c>
      <c r="L1698">
        <f>_xlfn.XLOOKUP(C1698, dim_teams[team_name], dim_teams[team_id], "Not found", 0)</f>
        <v>5</v>
      </c>
    </row>
    <row r="1699" spans="1:12" x14ac:dyDescent="0.3">
      <c r="A1699" t="s">
        <v>466</v>
      </c>
      <c r="B1699">
        <v>2010</v>
      </c>
      <c r="C1699" t="s">
        <v>17</v>
      </c>
      <c r="D1699">
        <v>107</v>
      </c>
      <c r="E1699">
        <v>106</v>
      </c>
      <c r="F1699">
        <v>4</v>
      </c>
      <c r="G1699">
        <v>5</v>
      </c>
      <c r="H1699">
        <v>6</v>
      </c>
      <c r="I1699">
        <v>8</v>
      </c>
      <c r="J1699">
        <v>100.94</v>
      </c>
      <c r="K1699">
        <v>17.829999999999998</v>
      </c>
      <c r="L1699">
        <f>_xlfn.XLOOKUP(C1699, dim_teams[team_name], dim_teams[team_id], "Not found", 0)</f>
        <v>5</v>
      </c>
    </row>
    <row r="1700" spans="1:12" x14ac:dyDescent="0.3">
      <c r="A1700" t="s">
        <v>466</v>
      </c>
      <c r="B1700">
        <v>2012</v>
      </c>
      <c r="C1700" t="s">
        <v>54</v>
      </c>
      <c r="D1700">
        <v>15</v>
      </c>
      <c r="E1700">
        <v>24</v>
      </c>
      <c r="F1700">
        <v>0</v>
      </c>
      <c r="G1700">
        <v>0</v>
      </c>
      <c r="H1700">
        <v>5</v>
      </c>
      <c r="I1700">
        <v>3</v>
      </c>
      <c r="J1700">
        <v>62.5</v>
      </c>
      <c r="K1700">
        <v>3</v>
      </c>
      <c r="L1700">
        <f>_xlfn.XLOOKUP(C1700, dim_teams[team_name], dim_teams[team_id], "Not found", 0)</f>
        <v>4</v>
      </c>
    </row>
    <row r="1701" spans="1:12" x14ac:dyDescent="0.3">
      <c r="A1701" t="s">
        <v>466</v>
      </c>
      <c r="B1701">
        <v>2013</v>
      </c>
      <c r="C1701" t="s">
        <v>19</v>
      </c>
      <c r="D1701">
        <v>5</v>
      </c>
      <c r="E1701">
        <v>8</v>
      </c>
      <c r="F1701">
        <v>0</v>
      </c>
      <c r="G1701">
        <v>0</v>
      </c>
      <c r="H1701">
        <v>1</v>
      </c>
      <c r="I1701">
        <v>1</v>
      </c>
      <c r="J1701">
        <v>62.5</v>
      </c>
      <c r="K1701">
        <v>5</v>
      </c>
      <c r="L1701">
        <f>_xlfn.XLOOKUP(C1701, dim_teams[team_name], dim_teams[team_id], "Not found", 0)</f>
        <v>1</v>
      </c>
    </row>
    <row r="1702" spans="1:12" x14ac:dyDescent="0.3">
      <c r="A1702" t="s">
        <v>467</v>
      </c>
      <c r="B1702">
        <v>2020</v>
      </c>
      <c r="C1702" t="s">
        <v>33</v>
      </c>
      <c r="D1702">
        <v>7</v>
      </c>
      <c r="E1702">
        <v>13</v>
      </c>
      <c r="F1702">
        <v>0</v>
      </c>
      <c r="G1702">
        <v>0</v>
      </c>
      <c r="H1702">
        <v>0</v>
      </c>
      <c r="I1702">
        <v>1</v>
      </c>
      <c r="J1702">
        <v>53.85</v>
      </c>
      <c r="L1702">
        <f>_xlfn.XLOOKUP(C1702, dim_teams[team_name], dim_teams[team_id], "Not found", 0)</f>
        <v>15</v>
      </c>
    </row>
    <row r="1703" spans="1:12" x14ac:dyDescent="0.3">
      <c r="A1703" t="s">
        <v>467</v>
      </c>
      <c r="B1703">
        <v>2023</v>
      </c>
      <c r="C1703" t="s">
        <v>33</v>
      </c>
      <c r="D1703">
        <v>16</v>
      </c>
      <c r="E1703">
        <v>20</v>
      </c>
      <c r="F1703">
        <v>2</v>
      </c>
      <c r="G1703">
        <v>0</v>
      </c>
      <c r="H1703">
        <v>1</v>
      </c>
      <c r="I1703">
        <v>1</v>
      </c>
      <c r="J1703">
        <v>80</v>
      </c>
      <c r="K1703">
        <v>16</v>
      </c>
      <c r="L1703">
        <f>_xlfn.XLOOKUP(C1703, dim_teams[team_name], dim_teams[team_id], "Not found", 0)</f>
        <v>15</v>
      </c>
    </row>
    <row r="1704" spans="1:12" x14ac:dyDescent="0.3">
      <c r="A1704" t="s">
        <v>468</v>
      </c>
      <c r="B1704">
        <v>2008</v>
      </c>
      <c r="C1704" t="s">
        <v>21</v>
      </c>
      <c r="D1704">
        <v>112</v>
      </c>
      <c r="E1704">
        <v>98</v>
      </c>
      <c r="F1704">
        <v>10</v>
      </c>
      <c r="G1704">
        <v>6</v>
      </c>
      <c r="H1704">
        <v>9</v>
      </c>
      <c r="I1704">
        <v>12</v>
      </c>
      <c r="J1704">
        <v>114.29</v>
      </c>
      <c r="K1704">
        <v>12.44</v>
      </c>
      <c r="L1704">
        <f>_xlfn.XLOOKUP(C1704, dim_teams[team_name], dim_teams[team_id], "Not found", 0)</f>
        <v>2</v>
      </c>
    </row>
    <row r="1705" spans="1:12" x14ac:dyDescent="0.3">
      <c r="A1705" t="s">
        <v>468</v>
      </c>
      <c r="B1705">
        <v>2009</v>
      </c>
      <c r="C1705" t="s">
        <v>21</v>
      </c>
      <c r="D1705">
        <v>65</v>
      </c>
      <c r="E1705">
        <v>46</v>
      </c>
      <c r="F1705">
        <v>1</v>
      </c>
      <c r="G1705">
        <v>6</v>
      </c>
      <c r="H1705">
        <v>5</v>
      </c>
      <c r="I1705">
        <v>8</v>
      </c>
      <c r="J1705">
        <v>141.30000000000001</v>
      </c>
      <c r="K1705">
        <v>13</v>
      </c>
      <c r="L1705">
        <f>_xlfn.XLOOKUP(C1705, dim_teams[team_name], dim_teams[team_id], "Not found", 0)</f>
        <v>2</v>
      </c>
    </row>
    <row r="1706" spans="1:12" x14ac:dyDescent="0.3">
      <c r="A1706" t="s">
        <v>468</v>
      </c>
      <c r="B1706">
        <v>2010</v>
      </c>
      <c r="C1706" t="s">
        <v>21</v>
      </c>
      <c r="D1706">
        <v>4</v>
      </c>
      <c r="E1706">
        <v>8</v>
      </c>
      <c r="F1706">
        <v>0</v>
      </c>
      <c r="G1706">
        <v>0</v>
      </c>
      <c r="H1706">
        <v>2</v>
      </c>
      <c r="I1706">
        <v>3</v>
      </c>
      <c r="J1706">
        <v>50</v>
      </c>
      <c r="K1706">
        <v>2</v>
      </c>
      <c r="L1706">
        <f>_xlfn.XLOOKUP(C1706, dim_teams[team_name], dim_teams[team_id], "Not found", 0)</f>
        <v>2</v>
      </c>
    </row>
    <row r="1707" spans="1:12" x14ac:dyDescent="0.3">
      <c r="A1707" t="s">
        <v>468</v>
      </c>
      <c r="B1707">
        <v>2011</v>
      </c>
      <c r="C1707" t="s">
        <v>54</v>
      </c>
      <c r="D1707">
        <v>27</v>
      </c>
      <c r="E1707">
        <v>31</v>
      </c>
      <c r="F1707">
        <v>2</v>
      </c>
      <c r="G1707">
        <v>1</v>
      </c>
      <c r="H1707">
        <v>3</v>
      </c>
      <c r="I1707">
        <v>7</v>
      </c>
      <c r="J1707">
        <v>87.1</v>
      </c>
      <c r="K1707">
        <v>9</v>
      </c>
      <c r="L1707">
        <f>_xlfn.XLOOKUP(C1707, dim_teams[team_name], dim_teams[team_id], "Not found", 0)</f>
        <v>4</v>
      </c>
    </row>
    <row r="1708" spans="1:12" x14ac:dyDescent="0.3">
      <c r="A1708" t="s">
        <v>468</v>
      </c>
      <c r="B1708">
        <v>2012</v>
      </c>
      <c r="C1708" t="s">
        <v>54</v>
      </c>
      <c r="D1708">
        <v>35</v>
      </c>
      <c r="E1708">
        <v>29</v>
      </c>
      <c r="F1708">
        <v>2</v>
      </c>
      <c r="G1708">
        <v>1</v>
      </c>
      <c r="H1708">
        <v>2</v>
      </c>
      <c r="I1708">
        <v>7</v>
      </c>
      <c r="J1708">
        <v>120.69</v>
      </c>
      <c r="K1708">
        <v>17.5</v>
      </c>
      <c r="L1708">
        <f>_xlfn.XLOOKUP(C1708, dim_teams[team_name], dim_teams[team_id], "Not found", 0)</f>
        <v>4</v>
      </c>
    </row>
    <row r="1709" spans="1:12" x14ac:dyDescent="0.3">
      <c r="A1709" t="s">
        <v>468</v>
      </c>
      <c r="B1709">
        <v>2013</v>
      </c>
      <c r="C1709" t="s">
        <v>54</v>
      </c>
      <c r="D1709">
        <v>47</v>
      </c>
      <c r="E1709">
        <v>38</v>
      </c>
      <c r="F1709">
        <v>3</v>
      </c>
      <c r="G1709">
        <v>3</v>
      </c>
      <c r="H1709">
        <v>5</v>
      </c>
      <c r="I1709">
        <v>7</v>
      </c>
      <c r="J1709">
        <v>123.68</v>
      </c>
      <c r="K1709">
        <v>9.4</v>
      </c>
      <c r="L1709">
        <f>_xlfn.XLOOKUP(C1709, dim_teams[team_name], dim_teams[team_id], "Not found", 0)</f>
        <v>4</v>
      </c>
    </row>
    <row r="1710" spans="1:12" x14ac:dyDescent="0.3">
      <c r="A1710" t="s">
        <v>468</v>
      </c>
      <c r="B1710">
        <v>2014</v>
      </c>
      <c r="C1710" t="s">
        <v>23</v>
      </c>
      <c r="D1710">
        <v>1</v>
      </c>
      <c r="E1710">
        <v>2</v>
      </c>
      <c r="F1710">
        <v>0</v>
      </c>
      <c r="G1710">
        <v>0</v>
      </c>
      <c r="H1710">
        <v>1</v>
      </c>
      <c r="I1710">
        <v>1</v>
      </c>
      <c r="J1710">
        <v>50</v>
      </c>
      <c r="K1710">
        <v>1</v>
      </c>
      <c r="L1710">
        <f>_xlfn.XLOOKUP(C1710, dim_teams[team_name], dim_teams[team_id], "Not found", 0)</f>
        <v>7</v>
      </c>
    </row>
    <row r="1711" spans="1:12" x14ac:dyDescent="0.3">
      <c r="A1711" t="s">
        <v>468</v>
      </c>
      <c r="B1711">
        <v>2015</v>
      </c>
      <c r="C1711" t="s">
        <v>13</v>
      </c>
      <c r="D1711">
        <v>17</v>
      </c>
      <c r="E1711">
        <v>25</v>
      </c>
      <c r="F1711">
        <v>1</v>
      </c>
      <c r="G1711">
        <v>0</v>
      </c>
      <c r="H1711">
        <v>2</v>
      </c>
      <c r="I1711">
        <v>4</v>
      </c>
      <c r="J1711">
        <v>68</v>
      </c>
      <c r="K1711">
        <v>8.5</v>
      </c>
      <c r="L1711">
        <f>_xlfn.XLOOKUP(C1711, dim_teams[team_name], dim_teams[team_id], "Not found", 0)</f>
        <v>11</v>
      </c>
    </row>
    <row r="1712" spans="1:12" x14ac:dyDescent="0.3">
      <c r="A1712" t="s">
        <v>468</v>
      </c>
      <c r="B1712">
        <v>2016</v>
      </c>
      <c r="C1712" t="s">
        <v>66</v>
      </c>
      <c r="D1712">
        <v>24</v>
      </c>
      <c r="E1712">
        <v>26</v>
      </c>
      <c r="F1712">
        <v>3</v>
      </c>
      <c r="G1712">
        <v>0</v>
      </c>
      <c r="H1712">
        <v>4</v>
      </c>
      <c r="I1712">
        <v>6</v>
      </c>
      <c r="J1712">
        <v>92.31</v>
      </c>
      <c r="K1712">
        <v>6</v>
      </c>
      <c r="L1712">
        <f>_xlfn.XLOOKUP(C1712, dim_teams[team_name], dim_teams[team_id], "Not found", 0)</f>
        <v>13</v>
      </c>
    </row>
    <row r="1713" spans="1:12" x14ac:dyDescent="0.3">
      <c r="A1713" t="s">
        <v>468</v>
      </c>
      <c r="B1713">
        <v>2017</v>
      </c>
      <c r="C1713" t="s">
        <v>66</v>
      </c>
      <c r="D1713">
        <v>8</v>
      </c>
      <c r="E1713">
        <v>9</v>
      </c>
      <c r="F1713">
        <v>0</v>
      </c>
      <c r="G1713">
        <v>0</v>
      </c>
      <c r="H1713">
        <v>1</v>
      </c>
      <c r="I1713">
        <v>2</v>
      </c>
      <c r="J1713">
        <v>88.89</v>
      </c>
      <c r="K1713">
        <v>8</v>
      </c>
      <c r="L1713">
        <f>_xlfn.XLOOKUP(C1713, dim_teams[team_name], dim_teams[team_id], "Not found", 0)</f>
        <v>13</v>
      </c>
    </row>
    <row r="1714" spans="1:12" x14ac:dyDescent="0.3">
      <c r="A1714" t="s">
        <v>469</v>
      </c>
      <c r="B1714">
        <v>2012</v>
      </c>
      <c r="C1714" t="s">
        <v>32</v>
      </c>
      <c r="D1714">
        <v>36</v>
      </c>
      <c r="E1714">
        <v>29</v>
      </c>
      <c r="F1714">
        <v>4</v>
      </c>
      <c r="G1714">
        <v>1</v>
      </c>
      <c r="H1714">
        <v>2</v>
      </c>
      <c r="I1714">
        <v>4</v>
      </c>
      <c r="J1714">
        <v>124.14</v>
      </c>
      <c r="K1714">
        <v>18</v>
      </c>
      <c r="L1714">
        <f>_xlfn.XLOOKUP(C1714, dim_teams[team_name], dim_teams[team_id], "Not found", 0)</f>
        <v>6</v>
      </c>
    </row>
    <row r="1715" spans="1:12" x14ac:dyDescent="0.3">
      <c r="A1715" t="s">
        <v>469</v>
      </c>
      <c r="B1715">
        <v>2015</v>
      </c>
      <c r="C1715" t="s">
        <v>25</v>
      </c>
      <c r="D1715">
        <v>116</v>
      </c>
      <c r="E1715">
        <v>72</v>
      </c>
      <c r="F1715">
        <v>10</v>
      </c>
      <c r="G1715">
        <v>5</v>
      </c>
      <c r="H1715">
        <v>6</v>
      </c>
      <c r="I1715">
        <v>9</v>
      </c>
      <c r="J1715">
        <v>161.11000000000001</v>
      </c>
      <c r="K1715">
        <v>19.329999999999998</v>
      </c>
      <c r="L1715">
        <f>_xlfn.XLOOKUP(C1715, dim_teams[team_name], dim_teams[team_id], "Not found", 0)</f>
        <v>3</v>
      </c>
    </row>
    <row r="1716" spans="1:12" x14ac:dyDescent="0.3">
      <c r="A1716" t="s">
        <v>469</v>
      </c>
      <c r="B1716">
        <v>2016</v>
      </c>
      <c r="C1716" t="s">
        <v>32</v>
      </c>
      <c r="D1716">
        <v>57</v>
      </c>
      <c r="E1716">
        <v>59</v>
      </c>
      <c r="F1716">
        <v>2</v>
      </c>
      <c r="G1716">
        <v>3</v>
      </c>
      <c r="H1716">
        <v>3</v>
      </c>
      <c r="I1716">
        <v>6</v>
      </c>
      <c r="J1716">
        <v>96.61</v>
      </c>
      <c r="K1716">
        <v>19</v>
      </c>
      <c r="L1716">
        <f>_xlfn.XLOOKUP(C1716, dim_teams[team_name], dim_teams[team_id], "Not found", 0)</f>
        <v>6</v>
      </c>
    </row>
    <row r="1717" spans="1:12" x14ac:dyDescent="0.3">
      <c r="A1717" t="s">
        <v>469</v>
      </c>
      <c r="B1717">
        <v>2017</v>
      </c>
      <c r="C1717" t="s">
        <v>21</v>
      </c>
      <c r="D1717">
        <v>144</v>
      </c>
      <c r="E1717">
        <v>111</v>
      </c>
      <c r="F1717">
        <v>10</v>
      </c>
      <c r="G1717">
        <v>7</v>
      </c>
      <c r="H1717">
        <v>9</v>
      </c>
      <c r="I1717">
        <v>10</v>
      </c>
      <c r="J1717">
        <v>129.72999999999999</v>
      </c>
      <c r="K1717">
        <v>16</v>
      </c>
      <c r="L1717">
        <f>_xlfn.XLOOKUP(C1717, dim_teams[team_name], dim_teams[team_id], "Not found", 0)</f>
        <v>2</v>
      </c>
    </row>
    <row r="1718" spans="1:12" x14ac:dyDescent="0.3">
      <c r="A1718" t="s">
        <v>469</v>
      </c>
      <c r="B1718">
        <v>2018</v>
      </c>
      <c r="C1718" t="s">
        <v>21</v>
      </c>
      <c r="D1718">
        <v>3</v>
      </c>
      <c r="E1718">
        <v>5</v>
      </c>
      <c r="F1718">
        <v>0</v>
      </c>
      <c r="G1718">
        <v>0</v>
      </c>
      <c r="H1718">
        <v>2</v>
      </c>
      <c r="I1718">
        <v>2</v>
      </c>
      <c r="J1718">
        <v>60</v>
      </c>
      <c r="K1718">
        <v>1.5</v>
      </c>
      <c r="L1718">
        <f>_xlfn.XLOOKUP(C1718, dim_teams[team_name], dim_teams[team_id], "Not found", 0)</f>
        <v>2</v>
      </c>
    </row>
    <row r="1719" spans="1:12" x14ac:dyDescent="0.3">
      <c r="A1719" t="s">
        <v>469</v>
      </c>
      <c r="B1719">
        <v>2019</v>
      </c>
      <c r="C1719" t="s">
        <v>21</v>
      </c>
      <c r="D1719">
        <v>9</v>
      </c>
      <c r="E1719">
        <v>12</v>
      </c>
      <c r="F1719">
        <v>1</v>
      </c>
      <c r="G1719">
        <v>0</v>
      </c>
      <c r="H1719">
        <v>4</v>
      </c>
      <c r="I1719">
        <v>4</v>
      </c>
      <c r="J1719">
        <v>75</v>
      </c>
      <c r="K1719">
        <v>2.25</v>
      </c>
      <c r="L1719">
        <f>_xlfn.XLOOKUP(C1719, dim_teams[team_name], dim_teams[team_id], "Not found", 0)</f>
        <v>2</v>
      </c>
    </row>
    <row r="1720" spans="1:12" x14ac:dyDescent="0.3">
      <c r="A1720" t="s">
        <v>470</v>
      </c>
      <c r="B1720">
        <v>2011</v>
      </c>
      <c r="C1720" t="s">
        <v>122</v>
      </c>
      <c r="D1720">
        <v>1</v>
      </c>
      <c r="E1720">
        <v>1</v>
      </c>
      <c r="F1720">
        <v>0</v>
      </c>
      <c r="G1720">
        <v>0</v>
      </c>
      <c r="H1720">
        <v>0</v>
      </c>
      <c r="I1720">
        <v>1</v>
      </c>
      <c r="J1720">
        <v>100</v>
      </c>
      <c r="L1720">
        <f>_xlfn.XLOOKUP(C1720, dim_teams[team_name], dim_teams[team_id], "Not found", 0)</f>
        <v>9</v>
      </c>
    </row>
    <row r="1721" spans="1:12" x14ac:dyDescent="0.3">
      <c r="A1721" t="s">
        <v>470</v>
      </c>
      <c r="B1721">
        <v>2012</v>
      </c>
      <c r="C1721" t="s">
        <v>21</v>
      </c>
      <c r="D1721">
        <v>0</v>
      </c>
      <c r="E1721">
        <v>1</v>
      </c>
      <c r="F1721">
        <v>0</v>
      </c>
      <c r="G1721">
        <v>0</v>
      </c>
      <c r="H1721">
        <v>0</v>
      </c>
      <c r="I1721">
        <v>1</v>
      </c>
      <c r="J1721">
        <v>0</v>
      </c>
      <c r="L1721">
        <f>_xlfn.XLOOKUP(C1721, dim_teams[team_name], dim_teams[team_id], "Not found", 0)</f>
        <v>2</v>
      </c>
    </row>
    <row r="1722" spans="1:12" x14ac:dyDescent="0.3">
      <c r="A1722" t="s">
        <v>471</v>
      </c>
      <c r="B1722">
        <v>2019</v>
      </c>
      <c r="C1722" t="s">
        <v>21</v>
      </c>
      <c r="D1722">
        <v>19</v>
      </c>
      <c r="E1722">
        <v>24</v>
      </c>
      <c r="F1722">
        <v>2</v>
      </c>
      <c r="G1722">
        <v>0</v>
      </c>
      <c r="H1722">
        <v>1</v>
      </c>
      <c r="I1722">
        <v>1</v>
      </c>
      <c r="J1722">
        <v>79.17</v>
      </c>
      <c r="K1722">
        <v>19</v>
      </c>
      <c r="L1722">
        <f>_xlfn.XLOOKUP(C1722, dim_teams[team_name], dim_teams[team_id], "Not found", 0)</f>
        <v>2</v>
      </c>
    </row>
    <row r="1723" spans="1:12" x14ac:dyDescent="0.3">
      <c r="A1723" t="s">
        <v>472</v>
      </c>
      <c r="B1723">
        <v>2016</v>
      </c>
      <c r="C1723" t="s">
        <v>54</v>
      </c>
      <c r="D1723">
        <v>19</v>
      </c>
      <c r="E1723">
        <v>13</v>
      </c>
      <c r="F1723">
        <v>1</v>
      </c>
      <c r="G1723">
        <v>1</v>
      </c>
      <c r="H1723">
        <v>0</v>
      </c>
      <c r="I1723">
        <v>2</v>
      </c>
      <c r="J1723">
        <v>146.15</v>
      </c>
      <c r="L1723">
        <f>_xlfn.XLOOKUP(C1723, dim_teams[team_name], dim_teams[team_id], "Not found", 0)</f>
        <v>4</v>
      </c>
    </row>
    <row r="1724" spans="1:12" x14ac:dyDescent="0.3">
      <c r="A1724" t="s">
        <v>473</v>
      </c>
      <c r="B1724">
        <v>2019</v>
      </c>
      <c r="C1724" t="s">
        <v>54</v>
      </c>
      <c r="D1724">
        <v>16</v>
      </c>
      <c r="E1724">
        <v>17</v>
      </c>
      <c r="F1724">
        <v>1</v>
      </c>
      <c r="G1724">
        <v>1</v>
      </c>
      <c r="H1724">
        <v>1</v>
      </c>
      <c r="I1724">
        <v>1</v>
      </c>
      <c r="J1724">
        <v>94.12</v>
      </c>
      <c r="K1724">
        <v>16</v>
      </c>
      <c r="L1724">
        <f>_xlfn.XLOOKUP(C1724, dim_teams[team_name], dim_teams[team_id], "Not found", 0)</f>
        <v>4</v>
      </c>
    </row>
    <row r="1725" spans="1:12" x14ac:dyDescent="0.3">
      <c r="A1725" t="s">
        <v>473</v>
      </c>
      <c r="B1725">
        <v>2020</v>
      </c>
      <c r="C1725" t="s">
        <v>54</v>
      </c>
      <c r="D1725">
        <v>15</v>
      </c>
      <c r="E1725">
        <v>15</v>
      </c>
      <c r="F1725">
        <v>2</v>
      </c>
      <c r="G1725">
        <v>0</v>
      </c>
      <c r="H1725">
        <v>2</v>
      </c>
      <c r="I1725">
        <v>2</v>
      </c>
      <c r="J1725">
        <v>100</v>
      </c>
      <c r="K1725">
        <v>7.5</v>
      </c>
      <c r="L1725">
        <f>_xlfn.XLOOKUP(C1725, dim_teams[team_name], dim_teams[team_id], "Not found", 0)</f>
        <v>4</v>
      </c>
    </row>
    <row r="1726" spans="1:12" x14ac:dyDescent="0.3">
      <c r="A1726" t="s">
        <v>473</v>
      </c>
      <c r="B1726">
        <v>2021</v>
      </c>
      <c r="C1726" t="s">
        <v>76</v>
      </c>
      <c r="D1726">
        <v>19</v>
      </c>
      <c r="E1726">
        <v>23</v>
      </c>
      <c r="F1726">
        <v>1</v>
      </c>
      <c r="G1726">
        <v>1</v>
      </c>
      <c r="H1726">
        <v>2</v>
      </c>
      <c r="I1726">
        <v>2</v>
      </c>
      <c r="J1726">
        <v>82.61</v>
      </c>
      <c r="K1726">
        <v>9.5</v>
      </c>
      <c r="L1726">
        <f>_xlfn.XLOOKUP(C1726, dim_teams[team_name], dim_teams[team_id], "Not found", 0)</f>
        <v>16</v>
      </c>
    </row>
    <row r="1727" spans="1:12" x14ac:dyDescent="0.3">
      <c r="A1727" t="s">
        <v>473</v>
      </c>
      <c r="B1727">
        <v>2022</v>
      </c>
      <c r="C1727" t="s">
        <v>76</v>
      </c>
      <c r="D1727">
        <v>14</v>
      </c>
      <c r="E1727">
        <v>11</v>
      </c>
      <c r="F1727">
        <v>2</v>
      </c>
      <c r="G1727">
        <v>0</v>
      </c>
      <c r="H1727">
        <v>1</v>
      </c>
      <c r="I1727">
        <v>1</v>
      </c>
      <c r="J1727">
        <v>127.27</v>
      </c>
      <c r="K1727">
        <v>14</v>
      </c>
      <c r="L1727">
        <f>_xlfn.XLOOKUP(C1727, dim_teams[team_name], dim_teams[team_id], "Not found", 0)</f>
        <v>16</v>
      </c>
    </row>
    <row r="1728" spans="1:12" x14ac:dyDescent="0.3">
      <c r="A1728" t="s">
        <v>473</v>
      </c>
      <c r="B1728">
        <v>2023</v>
      </c>
      <c r="C1728" t="s">
        <v>76</v>
      </c>
      <c r="D1728">
        <v>358</v>
      </c>
      <c r="E1728">
        <v>238</v>
      </c>
      <c r="F1728">
        <v>38</v>
      </c>
      <c r="G1728">
        <v>19</v>
      </c>
      <c r="H1728">
        <v>15</v>
      </c>
      <c r="I1728">
        <v>14</v>
      </c>
      <c r="J1728">
        <v>150.41999999999999</v>
      </c>
      <c r="K1728">
        <v>23.87</v>
      </c>
      <c r="L1728">
        <f>_xlfn.XLOOKUP(C1728, dim_teams[team_name], dim_teams[team_id], "Not found", 0)</f>
        <v>16</v>
      </c>
    </row>
    <row r="1729" spans="1:12" x14ac:dyDescent="0.3">
      <c r="A1729" t="s">
        <v>473</v>
      </c>
      <c r="B1729">
        <v>2024</v>
      </c>
      <c r="C1729" t="s">
        <v>76</v>
      </c>
      <c r="D1729">
        <v>334</v>
      </c>
      <c r="E1729">
        <v>212</v>
      </c>
      <c r="F1729">
        <v>34</v>
      </c>
      <c r="G1729">
        <v>20</v>
      </c>
      <c r="H1729">
        <v>14</v>
      </c>
      <c r="I1729">
        <v>14</v>
      </c>
      <c r="J1729">
        <v>157.55000000000001</v>
      </c>
      <c r="K1729">
        <v>23.86</v>
      </c>
      <c r="L1729">
        <f>_xlfn.XLOOKUP(C1729, dim_teams[team_name], dim_teams[team_id], "Not found", 0)</f>
        <v>16</v>
      </c>
    </row>
    <row r="1730" spans="1:12" x14ac:dyDescent="0.3">
      <c r="A1730" t="s">
        <v>473</v>
      </c>
      <c r="B1730">
        <v>2025</v>
      </c>
      <c r="C1730" t="s">
        <v>76</v>
      </c>
      <c r="D1730">
        <v>599</v>
      </c>
      <c r="E1730">
        <v>368</v>
      </c>
      <c r="F1730">
        <v>63</v>
      </c>
      <c r="G1730">
        <v>30</v>
      </c>
      <c r="H1730">
        <v>17</v>
      </c>
      <c r="I1730">
        <v>18</v>
      </c>
      <c r="J1730">
        <v>162.77000000000001</v>
      </c>
      <c r="K1730">
        <v>35.24</v>
      </c>
      <c r="L1730">
        <f>_xlfn.XLOOKUP(C1730, dim_teams[team_name], dim_teams[team_id], "Not found", 0)</f>
        <v>16</v>
      </c>
    </row>
    <row r="1731" spans="1:12" x14ac:dyDescent="0.3">
      <c r="A1731" t="s">
        <v>474</v>
      </c>
      <c r="B1731">
        <v>2008</v>
      </c>
      <c r="C1731" t="s">
        <v>25</v>
      </c>
      <c r="D1731">
        <v>302</v>
      </c>
      <c r="E1731">
        <v>295</v>
      </c>
      <c r="F1731">
        <v>42</v>
      </c>
      <c r="G1731">
        <v>3</v>
      </c>
      <c r="H1731">
        <v>11</v>
      </c>
      <c r="I1731">
        <v>13</v>
      </c>
      <c r="J1731">
        <v>102.37</v>
      </c>
      <c r="K1731">
        <v>27.45</v>
      </c>
      <c r="L1731">
        <f>_xlfn.XLOOKUP(C1731, dim_teams[team_name], dim_teams[team_id], "Not found", 0)</f>
        <v>3</v>
      </c>
    </row>
    <row r="1732" spans="1:12" x14ac:dyDescent="0.3">
      <c r="A1732" t="s">
        <v>474</v>
      </c>
      <c r="B1732">
        <v>2009</v>
      </c>
      <c r="C1732" t="s">
        <v>25</v>
      </c>
      <c r="D1732">
        <v>142</v>
      </c>
      <c r="E1732">
        <v>126</v>
      </c>
      <c r="F1732">
        <v>19</v>
      </c>
      <c r="G1732">
        <v>2</v>
      </c>
      <c r="H1732">
        <v>8</v>
      </c>
      <c r="I1732">
        <v>9</v>
      </c>
      <c r="J1732">
        <v>112.7</v>
      </c>
      <c r="K1732">
        <v>17.75</v>
      </c>
      <c r="L1732">
        <f>_xlfn.XLOOKUP(C1732, dim_teams[team_name], dim_teams[team_id], "Not found", 0)</f>
        <v>3</v>
      </c>
    </row>
    <row r="1733" spans="1:12" x14ac:dyDescent="0.3">
      <c r="A1733" t="s">
        <v>474</v>
      </c>
      <c r="B1733">
        <v>2010</v>
      </c>
      <c r="C1733" t="s">
        <v>25</v>
      </c>
      <c r="D1733">
        <v>72</v>
      </c>
      <c r="E1733">
        <v>79</v>
      </c>
      <c r="F1733">
        <v>6</v>
      </c>
      <c r="G1733">
        <v>2</v>
      </c>
      <c r="H1733">
        <v>5</v>
      </c>
      <c r="I1733">
        <v>4</v>
      </c>
      <c r="J1733">
        <v>91.14</v>
      </c>
      <c r="K1733">
        <v>14.4</v>
      </c>
      <c r="L1733">
        <f>_xlfn.XLOOKUP(C1733, dim_teams[team_name], dim_teams[team_id], "Not found", 0)</f>
        <v>3</v>
      </c>
    </row>
    <row r="1734" spans="1:12" x14ac:dyDescent="0.3">
      <c r="A1734" t="s">
        <v>474</v>
      </c>
      <c r="B1734">
        <v>2011</v>
      </c>
      <c r="C1734" t="s">
        <v>122</v>
      </c>
      <c r="D1734">
        <v>202</v>
      </c>
      <c r="E1734">
        <v>182</v>
      </c>
      <c r="F1734">
        <v>25</v>
      </c>
      <c r="G1734">
        <v>2</v>
      </c>
      <c r="H1734">
        <v>9</v>
      </c>
      <c r="I1734">
        <v>13</v>
      </c>
      <c r="J1734">
        <v>110.99</v>
      </c>
      <c r="K1734">
        <v>22.44</v>
      </c>
      <c r="L1734">
        <f>_xlfn.XLOOKUP(C1734, dim_teams[team_name], dim_teams[team_id], "Not found", 0)</f>
        <v>9</v>
      </c>
    </row>
    <row r="1735" spans="1:12" x14ac:dyDescent="0.3">
      <c r="A1735" t="s">
        <v>474</v>
      </c>
      <c r="B1735">
        <v>2012</v>
      </c>
      <c r="C1735" t="s">
        <v>12</v>
      </c>
      <c r="D1735">
        <v>194</v>
      </c>
      <c r="E1735">
        <v>164</v>
      </c>
      <c r="F1735">
        <v>19</v>
      </c>
      <c r="G1735">
        <v>4</v>
      </c>
      <c r="H1735">
        <v>12</v>
      </c>
      <c r="I1735">
        <v>12</v>
      </c>
      <c r="J1735">
        <v>118.29</v>
      </c>
      <c r="K1735">
        <v>16.170000000000002</v>
      </c>
      <c r="L1735">
        <f>_xlfn.XLOOKUP(C1735, dim_teams[team_name], dim_teams[team_id], "Not found", 0)</f>
        <v>8</v>
      </c>
    </row>
    <row r="1736" spans="1:12" x14ac:dyDescent="0.3">
      <c r="A1736" t="s">
        <v>474</v>
      </c>
      <c r="B1736">
        <v>2013</v>
      </c>
      <c r="C1736" t="s">
        <v>13</v>
      </c>
      <c r="D1736">
        <v>294</v>
      </c>
      <c r="E1736">
        <v>255</v>
      </c>
      <c r="F1736">
        <v>37</v>
      </c>
      <c r="G1736">
        <v>4</v>
      </c>
      <c r="H1736">
        <v>13</v>
      </c>
      <c r="I1736">
        <v>13</v>
      </c>
      <c r="J1736">
        <v>115.29</v>
      </c>
      <c r="K1736">
        <v>22.62</v>
      </c>
      <c r="L1736">
        <f>_xlfn.XLOOKUP(C1736, dim_teams[team_name], dim_teams[team_id], "Not found", 0)</f>
        <v>11</v>
      </c>
    </row>
    <row r="1737" spans="1:12" x14ac:dyDescent="0.3">
      <c r="A1737" t="s">
        <v>474</v>
      </c>
      <c r="B1737">
        <v>2014</v>
      </c>
      <c r="C1737" t="s">
        <v>21</v>
      </c>
      <c r="D1737">
        <v>205</v>
      </c>
      <c r="E1737">
        <v>185</v>
      </c>
      <c r="F1737">
        <v>30</v>
      </c>
      <c r="G1737">
        <v>1</v>
      </c>
      <c r="H1737">
        <v>9</v>
      </c>
      <c r="I1737">
        <v>12</v>
      </c>
      <c r="J1737">
        <v>110.81</v>
      </c>
      <c r="K1737">
        <v>22.78</v>
      </c>
      <c r="L1737">
        <f>_xlfn.XLOOKUP(C1737, dim_teams[team_name], dim_teams[team_id], "Not found", 0)</f>
        <v>2</v>
      </c>
    </row>
    <row r="1738" spans="1:12" x14ac:dyDescent="0.3">
      <c r="A1738" t="s">
        <v>474</v>
      </c>
      <c r="B1738">
        <v>2015</v>
      </c>
      <c r="C1738" t="s">
        <v>23</v>
      </c>
      <c r="D1738">
        <v>339</v>
      </c>
      <c r="E1738">
        <v>246</v>
      </c>
      <c r="F1738">
        <v>47</v>
      </c>
      <c r="G1738">
        <v>5</v>
      </c>
      <c r="H1738">
        <v>12</v>
      </c>
      <c r="I1738">
        <v>14</v>
      </c>
      <c r="J1738">
        <v>137.80000000000001</v>
      </c>
      <c r="K1738">
        <v>28.25</v>
      </c>
      <c r="L1738">
        <f>_xlfn.XLOOKUP(C1738, dim_teams[team_name], dim_teams[team_id], "Not found", 0)</f>
        <v>7</v>
      </c>
    </row>
    <row r="1739" spans="1:12" x14ac:dyDescent="0.3">
      <c r="A1739" t="s">
        <v>474</v>
      </c>
      <c r="B1739">
        <v>2016</v>
      </c>
      <c r="C1739" t="s">
        <v>23</v>
      </c>
      <c r="D1739">
        <v>177</v>
      </c>
      <c r="E1739">
        <v>151</v>
      </c>
      <c r="F1739">
        <v>23</v>
      </c>
      <c r="G1739">
        <v>4</v>
      </c>
      <c r="H1739">
        <v>10</v>
      </c>
      <c r="I1739">
        <v>10</v>
      </c>
      <c r="J1739">
        <v>117.22</v>
      </c>
      <c r="K1739">
        <v>17.7</v>
      </c>
      <c r="L1739">
        <f>_xlfn.XLOOKUP(C1739, dim_teams[team_name], dim_teams[team_id], "Not found", 0)</f>
        <v>7</v>
      </c>
    </row>
    <row r="1740" spans="1:12" x14ac:dyDescent="0.3">
      <c r="A1740" t="s">
        <v>474</v>
      </c>
      <c r="B1740">
        <v>2017</v>
      </c>
      <c r="C1740" t="s">
        <v>23</v>
      </c>
      <c r="D1740">
        <v>395</v>
      </c>
      <c r="E1740">
        <v>293</v>
      </c>
      <c r="F1740">
        <v>49</v>
      </c>
      <c r="G1740">
        <v>8</v>
      </c>
      <c r="H1740">
        <v>18</v>
      </c>
      <c r="I1740">
        <v>16</v>
      </c>
      <c r="J1740">
        <v>134.81</v>
      </c>
      <c r="K1740">
        <v>21.94</v>
      </c>
      <c r="L1740">
        <f>_xlfn.XLOOKUP(C1740, dim_teams[team_name], dim_teams[team_id], "Not found", 0)</f>
        <v>7</v>
      </c>
    </row>
    <row r="1741" spans="1:12" x14ac:dyDescent="0.3">
      <c r="A1741" t="s">
        <v>474</v>
      </c>
      <c r="B1741">
        <v>2018</v>
      </c>
      <c r="C1741" t="s">
        <v>21</v>
      </c>
      <c r="D1741">
        <v>153</v>
      </c>
      <c r="E1741">
        <v>109</v>
      </c>
      <c r="F1741">
        <v>20</v>
      </c>
      <c r="G1741">
        <v>4</v>
      </c>
      <c r="H1741">
        <v>5</v>
      </c>
      <c r="I1741">
        <v>6</v>
      </c>
      <c r="J1741">
        <v>140.37</v>
      </c>
      <c r="K1741">
        <v>30.6</v>
      </c>
      <c r="L1741">
        <f>_xlfn.XLOOKUP(C1741, dim_teams[team_name], dim_teams[team_id], "Not found", 0)</f>
        <v>2</v>
      </c>
    </row>
    <row r="1742" spans="1:12" x14ac:dyDescent="0.3">
      <c r="A1742" t="s">
        <v>474</v>
      </c>
      <c r="B1742">
        <v>2019</v>
      </c>
      <c r="C1742" t="s">
        <v>21</v>
      </c>
      <c r="D1742">
        <v>373</v>
      </c>
      <c r="E1742">
        <v>265</v>
      </c>
      <c r="F1742">
        <v>48</v>
      </c>
      <c r="G1742">
        <v>10</v>
      </c>
      <c r="H1742">
        <v>15</v>
      </c>
      <c r="I1742">
        <v>14</v>
      </c>
      <c r="J1742">
        <v>140.75</v>
      </c>
      <c r="K1742">
        <v>24.87</v>
      </c>
      <c r="L1742">
        <f>_xlfn.XLOOKUP(C1742, dim_teams[team_name], dim_teams[team_id], "Not found", 0)</f>
        <v>2</v>
      </c>
    </row>
    <row r="1743" spans="1:12" x14ac:dyDescent="0.3">
      <c r="A1743" t="s">
        <v>475</v>
      </c>
      <c r="B1743">
        <v>2012</v>
      </c>
      <c r="C1743" t="s">
        <v>12</v>
      </c>
      <c r="D1743">
        <v>73</v>
      </c>
      <c r="E1743">
        <v>59</v>
      </c>
      <c r="F1743">
        <v>6</v>
      </c>
      <c r="G1743">
        <v>2</v>
      </c>
      <c r="H1743">
        <v>3</v>
      </c>
      <c r="I1743">
        <v>3</v>
      </c>
      <c r="J1743">
        <v>123.73</v>
      </c>
      <c r="K1743">
        <v>24.33</v>
      </c>
      <c r="L1743">
        <f>_xlfn.XLOOKUP(C1743, dim_teams[team_name], dim_teams[team_id], "Not found", 0)</f>
        <v>8</v>
      </c>
    </row>
    <row r="1744" spans="1:12" x14ac:dyDescent="0.3">
      <c r="A1744" t="s">
        <v>475</v>
      </c>
      <c r="B1744">
        <v>2013</v>
      </c>
      <c r="C1744" t="s">
        <v>13</v>
      </c>
      <c r="D1744">
        <v>91</v>
      </c>
      <c r="E1744">
        <v>101</v>
      </c>
      <c r="F1744">
        <v>9</v>
      </c>
      <c r="G1744">
        <v>0</v>
      </c>
      <c r="H1744">
        <v>7</v>
      </c>
      <c r="I1744">
        <v>7</v>
      </c>
      <c r="J1744">
        <v>90.1</v>
      </c>
      <c r="K1744">
        <v>13</v>
      </c>
      <c r="L1744">
        <f>_xlfn.XLOOKUP(C1744, dim_teams[team_name], dim_teams[team_id], "Not found", 0)</f>
        <v>11</v>
      </c>
    </row>
    <row r="1745" spans="1:12" x14ac:dyDescent="0.3">
      <c r="A1745" t="s">
        <v>476</v>
      </c>
      <c r="B1745">
        <v>2022</v>
      </c>
      <c r="C1745" t="s">
        <v>76</v>
      </c>
      <c r="D1745">
        <v>206</v>
      </c>
      <c r="E1745">
        <v>128</v>
      </c>
      <c r="F1745">
        <v>16</v>
      </c>
      <c r="G1745">
        <v>13</v>
      </c>
      <c r="H1745">
        <v>9</v>
      </c>
      <c r="I1745">
        <v>9</v>
      </c>
      <c r="J1745">
        <v>160.94</v>
      </c>
      <c r="K1745">
        <v>22.89</v>
      </c>
      <c r="L1745">
        <f>_xlfn.XLOOKUP(C1745, dim_teams[team_name], dim_teams[team_id], "Not found", 0)</f>
        <v>16</v>
      </c>
    </row>
    <row r="1746" spans="1:12" x14ac:dyDescent="0.3">
      <c r="A1746" t="s">
        <v>476</v>
      </c>
      <c r="B1746">
        <v>2023</v>
      </c>
      <c r="C1746" t="s">
        <v>76</v>
      </c>
      <c r="D1746">
        <v>71</v>
      </c>
      <c r="E1746">
        <v>62</v>
      </c>
      <c r="F1746">
        <v>6</v>
      </c>
      <c r="G1746">
        <v>2</v>
      </c>
      <c r="H1746">
        <v>3</v>
      </c>
      <c r="I1746">
        <v>4</v>
      </c>
      <c r="J1746">
        <v>114.52</v>
      </c>
      <c r="K1746">
        <v>23.67</v>
      </c>
      <c r="L1746">
        <f>_xlfn.XLOOKUP(C1746, dim_teams[team_name], dim_teams[team_id], "Not found", 0)</f>
        <v>16</v>
      </c>
    </row>
    <row r="1747" spans="1:12" x14ac:dyDescent="0.3">
      <c r="A1747" t="s">
        <v>477</v>
      </c>
      <c r="B1747">
        <v>2009</v>
      </c>
      <c r="C1747" t="s">
        <v>17</v>
      </c>
      <c r="D1747">
        <v>6</v>
      </c>
      <c r="E1747">
        <v>12</v>
      </c>
      <c r="F1747">
        <v>1</v>
      </c>
      <c r="G1747">
        <v>0</v>
      </c>
      <c r="H1747">
        <v>2</v>
      </c>
      <c r="I1747">
        <v>2</v>
      </c>
      <c r="J1747">
        <v>50</v>
      </c>
      <c r="K1747">
        <v>3</v>
      </c>
      <c r="L1747">
        <f>_xlfn.XLOOKUP(C1747, dim_teams[team_name], dim_teams[team_id], "Not found", 0)</f>
        <v>5</v>
      </c>
    </row>
    <row r="1748" spans="1:12" x14ac:dyDescent="0.3">
      <c r="A1748" t="s">
        <v>477</v>
      </c>
      <c r="B1748">
        <v>2011</v>
      </c>
      <c r="C1748" t="s">
        <v>54</v>
      </c>
      <c r="D1748">
        <v>463</v>
      </c>
      <c r="E1748">
        <v>334</v>
      </c>
      <c r="F1748">
        <v>56</v>
      </c>
      <c r="G1748">
        <v>20</v>
      </c>
      <c r="H1748">
        <v>13</v>
      </c>
      <c r="I1748">
        <v>14</v>
      </c>
      <c r="J1748">
        <v>138.62</v>
      </c>
      <c r="K1748">
        <v>35.619999999999997</v>
      </c>
      <c r="L1748">
        <f>_xlfn.XLOOKUP(C1748, dim_teams[team_name], dim_teams[team_id], "Not found", 0)</f>
        <v>4</v>
      </c>
    </row>
    <row r="1749" spans="1:12" x14ac:dyDescent="0.3">
      <c r="A1749" t="s">
        <v>477</v>
      </c>
      <c r="B1749">
        <v>2012</v>
      </c>
      <c r="C1749" t="s">
        <v>54</v>
      </c>
      <c r="D1749">
        <v>30</v>
      </c>
      <c r="E1749">
        <v>51</v>
      </c>
      <c r="F1749">
        <v>4</v>
      </c>
      <c r="G1749">
        <v>0</v>
      </c>
      <c r="H1749">
        <v>6</v>
      </c>
      <c r="I1749">
        <v>6</v>
      </c>
      <c r="J1749">
        <v>58.82</v>
      </c>
      <c r="K1749">
        <v>5</v>
      </c>
      <c r="L1749">
        <f>_xlfn.XLOOKUP(C1749, dim_teams[team_name], dim_teams[team_id], "Not found", 0)</f>
        <v>4</v>
      </c>
    </row>
    <row r="1750" spans="1:12" x14ac:dyDescent="0.3">
      <c r="A1750" t="s">
        <v>477</v>
      </c>
      <c r="B1750">
        <v>2013</v>
      </c>
      <c r="C1750" t="s">
        <v>54</v>
      </c>
      <c r="D1750">
        <v>6</v>
      </c>
      <c r="E1750">
        <v>17</v>
      </c>
      <c r="F1750">
        <v>0</v>
      </c>
      <c r="G1750">
        <v>0</v>
      </c>
      <c r="H1750">
        <v>1</v>
      </c>
      <c r="I1750">
        <v>1</v>
      </c>
      <c r="J1750">
        <v>35.29</v>
      </c>
      <c r="K1750">
        <v>6</v>
      </c>
      <c r="L1750">
        <f>_xlfn.XLOOKUP(C1750, dim_teams[team_name], dim_teams[team_id], "Not found", 0)</f>
        <v>4</v>
      </c>
    </row>
    <row r="1751" spans="1:12" x14ac:dyDescent="0.3">
      <c r="A1751" t="s">
        <v>478</v>
      </c>
      <c r="B1751">
        <v>2010</v>
      </c>
      <c r="C1751" t="s">
        <v>32</v>
      </c>
      <c r="D1751">
        <v>203</v>
      </c>
      <c r="E1751">
        <v>156</v>
      </c>
      <c r="F1751">
        <v>9</v>
      </c>
      <c r="G1751">
        <v>13</v>
      </c>
      <c r="H1751">
        <v>4</v>
      </c>
      <c r="I1751">
        <v>7</v>
      </c>
      <c r="J1751">
        <v>130.13</v>
      </c>
      <c r="K1751">
        <v>50.75</v>
      </c>
      <c r="L1751">
        <f>_xlfn.XLOOKUP(C1751, dim_teams[team_name], dim_teams[team_id], "Not found", 0)</f>
        <v>6</v>
      </c>
    </row>
    <row r="1752" spans="1:12" x14ac:dyDescent="0.3">
      <c r="A1752" t="s">
        <v>479</v>
      </c>
      <c r="B1752">
        <v>2023</v>
      </c>
      <c r="C1752" t="s">
        <v>33</v>
      </c>
      <c r="D1752">
        <v>218</v>
      </c>
      <c r="E1752">
        <v>133</v>
      </c>
      <c r="F1752">
        <v>24</v>
      </c>
      <c r="G1752">
        <v>10</v>
      </c>
      <c r="H1752">
        <v>8</v>
      </c>
      <c r="I1752">
        <v>9</v>
      </c>
      <c r="J1752">
        <v>163.91</v>
      </c>
      <c r="K1752">
        <v>27.25</v>
      </c>
      <c r="L1752">
        <f>_xlfn.XLOOKUP(C1752, dim_teams[team_name], dim_teams[team_id], "Not found", 0)</f>
        <v>15</v>
      </c>
    </row>
    <row r="1753" spans="1:12" x14ac:dyDescent="0.3">
      <c r="A1753" t="s">
        <v>479</v>
      </c>
      <c r="B1753">
        <v>2024</v>
      </c>
      <c r="C1753" t="s">
        <v>19</v>
      </c>
      <c r="D1753">
        <v>435</v>
      </c>
      <c r="E1753">
        <v>235</v>
      </c>
      <c r="F1753">
        <v>50</v>
      </c>
      <c r="G1753">
        <v>24</v>
      </c>
      <c r="H1753">
        <v>12</v>
      </c>
      <c r="I1753">
        <v>12</v>
      </c>
      <c r="J1753">
        <v>185.11</v>
      </c>
      <c r="K1753">
        <v>36.25</v>
      </c>
      <c r="L1753">
        <f>_xlfn.XLOOKUP(C1753, dim_teams[team_name], dim_teams[team_id], "Not found", 0)</f>
        <v>1</v>
      </c>
    </row>
    <row r="1754" spans="1:12" x14ac:dyDescent="0.3">
      <c r="A1754" t="s">
        <v>479</v>
      </c>
      <c r="B1754">
        <v>2025</v>
      </c>
      <c r="C1754" t="s">
        <v>102</v>
      </c>
      <c r="D1754">
        <v>403</v>
      </c>
      <c r="E1754">
        <v>227</v>
      </c>
      <c r="F1754">
        <v>48</v>
      </c>
      <c r="G1754">
        <v>22</v>
      </c>
      <c r="H1754">
        <v>12</v>
      </c>
      <c r="I1754">
        <v>13</v>
      </c>
      <c r="J1754">
        <v>177.53</v>
      </c>
      <c r="K1754">
        <v>33.58</v>
      </c>
      <c r="L1754">
        <f>_xlfn.XLOOKUP(C1754, dim_teams[team_name], dim_teams[team_id], "Not found", 0)</f>
        <v>19</v>
      </c>
    </row>
    <row r="1755" spans="1:12" x14ac:dyDescent="0.3">
      <c r="A1755" t="s">
        <v>480</v>
      </c>
      <c r="B1755">
        <v>2025</v>
      </c>
      <c r="C1755" t="s">
        <v>13</v>
      </c>
      <c r="D1755">
        <v>92</v>
      </c>
      <c r="E1755">
        <v>68</v>
      </c>
      <c r="F1755">
        <v>7</v>
      </c>
      <c r="G1755">
        <v>2</v>
      </c>
      <c r="H1755">
        <v>4</v>
      </c>
      <c r="I1755">
        <v>5</v>
      </c>
      <c r="J1755">
        <v>135.29</v>
      </c>
      <c r="K1755">
        <v>23</v>
      </c>
      <c r="L1755">
        <f>_xlfn.XLOOKUP(C1755, dim_teams[team_name], dim_teams[team_id], "Not found", 0)</f>
        <v>11</v>
      </c>
    </row>
    <row r="1756" spans="1:12" x14ac:dyDescent="0.3">
      <c r="A1756" t="s">
        <v>481</v>
      </c>
      <c r="B1756">
        <v>2015</v>
      </c>
      <c r="C1756" t="s">
        <v>19</v>
      </c>
      <c r="D1756">
        <v>0</v>
      </c>
      <c r="E1756">
        <v>2</v>
      </c>
      <c r="F1756">
        <v>0</v>
      </c>
      <c r="G1756">
        <v>0</v>
      </c>
      <c r="H1756">
        <v>1</v>
      </c>
      <c r="I1756">
        <v>1</v>
      </c>
      <c r="J1756">
        <v>0</v>
      </c>
      <c r="K1756">
        <v>0</v>
      </c>
      <c r="L1756">
        <f>_xlfn.XLOOKUP(C1756, dim_teams[team_name], dim_teams[team_id], "Not found", 0)</f>
        <v>1</v>
      </c>
    </row>
    <row r="1757" spans="1:12" x14ac:dyDescent="0.3">
      <c r="A1757" t="s">
        <v>481</v>
      </c>
      <c r="B1757">
        <v>2017</v>
      </c>
      <c r="C1757" t="s">
        <v>32</v>
      </c>
      <c r="D1757">
        <v>77</v>
      </c>
      <c r="E1757">
        <v>53</v>
      </c>
      <c r="F1757">
        <v>5</v>
      </c>
      <c r="G1757">
        <v>4</v>
      </c>
      <c r="H1757">
        <v>5</v>
      </c>
      <c r="I1757">
        <v>8</v>
      </c>
      <c r="J1757">
        <v>145.28</v>
      </c>
      <c r="K1757">
        <v>15.4</v>
      </c>
      <c r="L1757">
        <f>_xlfn.XLOOKUP(C1757, dim_teams[team_name], dim_teams[team_id], "Not found", 0)</f>
        <v>6</v>
      </c>
    </row>
    <row r="1758" spans="1:12" x14ac:dyDescent="0.3">
      <c r="A1758" t="s">
        <v>481</v>
      </c>
      <c r="B1758">
        <v>2020</v>
      </c>
      <c r="C1758" t="s">
        <v>19</v>
      </c>
      <c r="D1758">
        <v>146</v>
      </c>
      <c r="E1758">
        <v>114</v>
      </c>
      <c r="F1758">
        <v>9</v>
      </c>
      <c r="G1758">
        <v>8</v>
      </c>
      <c r="H1758">
        <v>7</v>
      </c>
      <c r="I1758">
        <v>10</v>
      </c>
      <c r="J1758">
        <v>128.07</v>
      </c>
      <c r="K1758">
        <v>20.86</v>
      </c>
      <c r="L1758">
        <f>_xlfn.XLOOKUP(C1758, dim_teams[team_name], dim_teams[team_id], "Not found", 0)</f>
        <v>1</v>
      </c>
    </row>
    <row r="1759" spans="1:12" x14ac:dyDescent="0.3">
      <c r="A1759" t="s">
        <v>481</v>
      </c>
      <c r="B1759">
        <v>2021</v>
      </c>
      <c r="C1759" t="s">
        <v>19</v>
      </c>
      <c r="D1759">
        <v>93</v>
      </c>
      <c r="E1759">
        <v>56</v>
      </c>
      <c r="F1759">
        <v>5</v>
      </c>
      <c r="G1759">
        <v>8</v>
      </c>
      <c r="H1759">
        <v>5</v>
      </c>
      <c r="I1759">
        <v>5</v>
      </c>
      <c r="J1759">
        <v>166.07</v>
      </c>
      <c r="K1759">
        <v>18.600000000000001</v>
      </c>
      <c r="L1759">
        <f>_xlfn.XLOOKUP(C1759, dim_teams[team_name], dim_teams[team_id], "Not found", 0)</f>
        <v>1</v>
      </c>
    </row>
    <row r="1760" spans="1:12" x14ac:dyDescent="0.3">
      <c r="A1760" t="s">
        <v>481</v>
      </c>
      <c r="B1760">
        <v>2022</v>
      </c>
      <c r="C1760" t="s">
        <v>19</v>
      </c>
      <c r="D1760">
        <v>63</v>
      </c>
      <c r="E1760">
        <v>23</v>
      </c>
      <c r="F1760">
        <v>5</v>
      </c>
      <c r="G1760">
        <v>6</v>
      </c>
      <c r="H1760">
        <v>4</v>
      </c>
      <c r="I1760">
        <v>5</v>
      </c>
      <c r="J1760">
        <v>273.91000000000003</v>
      </c>
      <c r="K1760">
        <v>15.75</v>
      </c>
      <c r="L1760">
        <f>_xlfn.XLOOKUP(C1760, dim_teams[team_name], dim_teams[team_id], "Not found", 0)</f>
        <v>1</v>
      </c>
    </row>
    <row r="1761" spans="1:12" x14ac:dyDescent="0.3">
      <c r="A1761" t="s">
        <v>481</v>
      </c>
      <c r="B1761">
        <v>2024</v>
      </c>
      <c r="C1761" t="s">
        <v>13</v>
      </c>
      <c r="D1761">
        <v>136</v>
      </c>
      <c r="E1761">
        <v>94</v>
      </c>
      <c r="F1761">
        <v>9</v>
      </c>
      <c r="G1761">
        <v>8</v>
      </c>
      <c r="H1761">
        <v>7</v>
      </c>
      <c r="I1761">
        <v>10</v>
      </c>
      <c r="J1761">
        <v>144.68</v>
      </c>
      <c r="K1761">
        <v>19.43</v>
      </c>
      <c r="L1761">
        <f>_xlfn.XLOOKUP(C1761, dim_teams[team_name], dim_teams[team_id], "Not found", 0)</f>
        <v>11</v>
      </c>
    </row>
    <row r="1762" spans="1:12" x14ac:dyDescent="0.3">
      <c r="A1762" t="s">
        <v>481</v>
      </c>
      <c r="B1762">
        <v>2025</v>
      </c>
      <c r="C1762" t="s">
        <v>13</v>
      </c>
      <c r="D1762">
        <v>97</v>
      </c>
      <c r="E1762">
        <v>58</v>
      </c>
      <c r="F1762">
        <v>6</v>
      </c>
      <c r="G1762">
        <v>7</v>
      </c>
      <c r="H1762">
        <v>4</v>
      </c>
      <c r="I1762">
        <v>9</v>
      </c>
      <c r="J1762">
        <v>167.24</v>
      </c>
      <c r="K1762">
        <v>24.25</v>
      </c>
      <c r="L1762">
        <f>_xlfn.XLOOKUP(C1762, dim_teams[team_name], dim_teams[team_id], "Not found", 0)</f>
        <v>11</v>
      </c>
    </row>
    <row r="1763" spans="1:12" x14ac:dyDescent="0.3">
      <c r="A1763" t="s">
        <v>482</v>
      </c>
      <c r="B1763">
        <v>2008</v>
      </c>
      <c r="C1763" t="s">
        <v>32</v>
      </c>
      <c r="D1763">
        <v>2</v>
      </c>
      <c r="E1763">
        <v>5</v>
      </c>
      <c r="F1763">
        <v>0</v>
      </c>
      <c r="G1763">
        <v>0</v>
      </c>
      <c r="H1763">
        <v>2</v>
      </c>
      <c r="I1763">
        <v>2</v>
      </c>
      <c r="J1763">
        <v>40</v>
      </c>
      <c r="K1763">
        <v>1</v>
      </c>
      <c r="L1763">
        <f>_xlfn.XLOOKUP(C1763, dim_teams[team_name], dim_teams[team_id], "Not found", 0)</f>
        <v>6</v>
      </c>
    </row>
    <row r="1764" spans="1:12" x14ac:dyDescent="0.3">
      <c r="A1764" t="s">
        <v>482</v>
      </c>
      <c r="B1764">
        <v>2009</v>
      </c>
      <c r="C1764" t="s">
        <v>32</v>
      </c>
      <c r="D1764">
        <v>6</v>
      </c>
      <c r="E1764">
        <v>10</v>
      </c>
      <c r="F1764">
        <v>0</v>
      </c>
      <c r="G1764">
        <v>0</v>
      </c>
      <c r="H1764">
        <v>2</v>
      </c>
      <c r="I1764">
        <v>4</v>
      </c>
      <c r="J1764">
        <v>60</v>
      </c>
      <c r="K1764">
        <v>3</v>
      </c>
      <c r="L1764">
        <f>_xlfn.XLOOKUP(C1764, dim_teams[team_name], dim_teams[team_id], "Not found", 0)</f>
        <v>6</v>
      </c>
    </row>
    <row r="1765" spans="1:12" x14ac:dyDescent="0.3">
      <c r="A1765" t="s">
        <v>482</v>
      </c>
      <c r="B1765">
        <v>2010</v>
      </c>
      <c r="C1765" t="s">
        <v>32</v>
      </c>
      <c r="D1765">
        <v>10</v>
      </c>
      <c r="E1765">
        <v>14</v>
      </c>
      <c r="F1765">
        <v>0</v>
      </c>
      <c r="G1765">
        <v>0</v>
      </c>
      <c r="H1765">
        <v>0</v>
      </c>
      <c r="I1765">
        <v>2</v>
      </c>
      <c r="J1765">
        <v>71.430000000000007</v>
      </c>
      <c r="L1765">
        <f>_xlfn.XLOOKUP(C1765, dim_teams[team_name], dim_teams[team_id], "Not found", 0)</f>
        <v>6</v>
      </c>
    </row>
    <row r="1766" spans="1:12" x14ac:dyDescent="0.3">
      <c r="A1766" t="s">
        <v>482</v>
      </c>
      <c r="B1766">
        <v>2013</v>
      </c>
      <c r="C1766" t="s">
        <v>19</v>
      </c>
      <c r="D1766">
        <v>4</v>
      </c>
      <c r="E1766">
        <v>2</v>
      </c>
      <c r="F1766">
        <v>1</v>
      </c>
      <c r="G1766">
        <v>0</v>
      </c>
      <c r="H1766">
        <v>0</v>
      </c>
      <c r="I1766">
        <v>1</v>
      </c>
      <c r="J1766">
        <v>200</v>
      </c>
      <c r="L1766">
        <f>_xlfn.XLOOKUP(C1766, dim_teams[team_name], dim_teams[team_id], "Not found", 0)</f>
        <v>1</v>
      </c>
    </row>
    <row r="1767" spans="1:12" x14ac:dyDescent="0.3">
      <c r="A1767" t="s">
        <v>482</v>
      </c>
      <c r="B1767">
        <v>2017</v>
      </c>
      <c r="C1767" t="s">
        <v>66</v>
      </c>
      <c r="D1767">
        <v>2</v>
      </c>
      <c r="E1767">
        <v>4</v>
      </c>
      <c r="F1767">
        <v>0</v>
      </c>
      <c r="G1767">
        <v>0</v>
      </c>
      <c r="H1767">
        <v>2</v>
      </c>
      <c r="I1767">
        <v>3</v>
      </c>
      <c r="J1767">
        <v>50</v>
      </c>
      <c r="K1767">
        <v>1</v>
      </c>
      <c r="L1767">
        <f>_xlfn.XLOOKUP(C1767, dim_teams[team_name], dim_teams[team_id], "Not found", 0)</f>
        <v>13</v>
      </c>
    </row>
    <row r="1768" spans="1:12" x14ac:dyDescent="0.3">
      <c r="A1768" t="s">
        <v>482</v>
      </c>
      <c r="B1768">
        <v>2018</v>
      </c>
      <c r="C1768" t="s">
        <v>23</v>
      </c>
      <c r="D1768">
        <v>0</v>
      </c>
      <c r="E1768">
        <v>4</v>
      </c>
      <c r="F1768">
        <v>0</v>
      </c>
      <c r="G1768">
        <v>0</v>
      </c>
      <c r="H1768">
        <v>1</v>
      </c>
      <c r="I1768">
        <v>1</v>
      </c>
      <c r="J1768">
        <v>0</v>
      </c>
      <c r="K1768">
        <v>0</v>
      </c>
      <c r="L1768">
        <f>_xlfn.XLOOKUP(C1768, dim_teams[team_name], dim_teams[team_id], "Not found", 0)</f>
        <v>7</v>
      </c>
    </row>
    <row r="1769" spans="1:12" x14ac:dyDescent="0.3">
      <c r="A1769" t="s">
        <v>482</v>
      </c>
      <c r="B1769">
        <v>2022</v>
      </c>
      <c r="C1769" t="s">
        <v>29</v>
      </c>
      <c r="D1769">
        <v>2</v>
      </c>
      <c r="E1769">
        <v>5</v>
      </c>
      <c r="F1769">
        <v>0</v>
      </c>
      <c r="G1769">
        <v>0</v>
      </c>
      <c r="H1769">
        <v>1</v>
      </c>
      <c r="I1769">
        <v>1</v>
      </c>
      <c r="J1769">
        <v>40</v>
      </c>
      <c r="K1769">
        <v>2</v>
      </c>
      <c r="L1769">
        <f>_xlfn.XLOOKUP(C1769, dim_teams[team_name], dim_teams[team_id], "Not found", 0)</f>
        <v>18</v>
      </c>
    </row>
    <row r="1770" spans="1:12" x14ac:dyDescent="0.3">
      <c r="A1770" t="s">
        <v>483</v>
      </c>
      <c r="B1770">
        <v>2020</v>
      </c>
      <c r="C1770" t="s">
        <v>13</v>
      </c>
      <c r="D1770">
        <v>133</v>
      </c>
      <c r="E1770">
        <v>109</v>
      </c>
      <c r="F1770">
        <v>9</v>
      </c>
      <c r="G1770">
        <v>4</v>
      </c>
      <c r="H1770">
        <v>9</v>
      </c>
      <c r="I1770">
        <v>10</v>
      </c>
      <c r="J1770">
        <v>122.02</v>
      </c>
      <c r="K1770">
        <v>14.78</v>
      </c>
      <c r="L1770">
        <f>_xlfn.XLOOKUP(C1770, dim_teams[team_name], dim_teams[team_id], "Not found", 0)</f>
        <v>11</v>
      </c>
    </row>
    <row r="1771" spans="1:12" x14ac:dyDescent="0.3">
      <c r="A1771" t="s">
        <v>483</v>
      </c>
      <c r="B1771">
        <v>2021</v>
      </c>
      <c r="C1771" t="s">
        <v>13</v>
      </c>
      <c r="D1771">
        <v>72</v>
      </c>
      <c r="E1771">
        <v>74</v>
      </c>
      <c r="F1771">
        <v>2</v>
      </c>
      <c r="G1771">
        <v>3</v>
      </c>
      <c r="H1771">
        <v>5</v>
      </c>
      <c r="I1771">
        <v>5</v>
      </c>
      <c r="J1771">
        <v>97.3</v>
      </c>
      <c r="K1771">
        <v>14.4</v>
      </c>
      <c r="L1771">
        <f>_xlfn.XLOOKUP(C1771, dim_teams[team_name], dim_teams[team_id], "Not found", 0)</f>
        <v>11</v>
      </c>
    </row>
    <row r="1772" spans="1:12" x14ac:dyDescent="0.3">
      <c r="A1772" t="s">
        <v>483</v>
      </c>
      <c r="B1772">
        <v>2022</v>
      </c>
      <c r="C1772" t="s">
        <v>13</v>
      </c>
      <c r="D1772">
        <v>46</v>
      </c>
      <c r="E1772">
        <v>33</v>
      </c>
      <c r="F1772">
        <v>4</v>
      </c>
      <c r="G1772">
        <v>2</v>
      </c>
      <c r="H1772">
        <v>2</v>
      </c>
      <c r="I1772">
        <v>2</v>
      </c>
      <c r="J1772">
        <v>139.38999999999999</v>
      </c>
      <c r="K1772">
        <v>23</v>
      </c>
      <c r="L1772">
        <f>_xlfn.XLOOKUP(C1772, dim_teams[team_name], dim_teams[team_id], "Not found", 0)</f>
        <v>11</v>
      </c>
    </row>
    <row r="1773" spans="1:12" x14ac:dyDescent="0.3">
      <c r="A1773" t="s">
        <v>483</v>
      </c>
      <c r="B1773">
        <v>2023</v>
      </c>
      <c r="C1773" t="s">
        <v>33</v>
      </c>
      <c r="D1773">
        <v>22</v>
      </c>
      <c r="E1773">
        <v>22</v>
      </c>
      <c r="F1773">
        <v>1</v>
      </c>
      <c r="G1773">
        <v>0</v>
      </c>
      <c r="H1773">
        <v>3</v>
      </c>
      <c r="I1773">
        <v>2</v>
      </c>
      <c r="J1773">
        <v>100</v>
      </c>
      <c r="K1773">
        <v>7.33</v>
      </c>
      <c r="L1773">
        <f>_xlfn.XLOOKUP(C1773, dim_teams[team_name], dim_teams[team_id], "Not found", 0)</f>
        <v>15</v>
      </c>
    </row>
    <row r="1774" spans="1:12" x14ac:dyDescent="0.3">
      <c r="A1774" t="s">
        <v>484</v>
      </c>
      <c r="B1774">
        <v>2008</v>
      </c>
      <c r="C1774" t="s">
        <v>12</v>
      </c>
      <c r="D1774">
        <v>1</v>
      </c>
      <c r="E1774">
        <v>2</v>
      </c>
      <c r="F1774">
        <v>0</v>
      </c>
      <c r="G1774">
        <v>0</v>
      </c>
      <c r="H1774">
        <v>0</v>
      </c>
      <c r="I1774">
        <v>1</v>
      </c>
      <c r="J1774">
        <v>50</v>
      </c>
      <c r="L1774">
        <f>_xlfn.XLOOKUP(C1774, dim_teams[team_name], dim_teams[team_id], "Not found", 0)</f>
        <v>8</v>
      </c>
    </row>
    <row r="1775" spans="1:12" x14ac:dyDescent="0.3">
      <c r="A1775" t="s">
        <v>485</v>
      </c>
      <c r="B1775">
        <v>2022</v>
      </c>
      <c r="C1775" t="s">
        <v>76</v>
      </c>
      <c r="D1775">
        <v>4</v>
      </c>
      <c r="E1775">
        <v>1</v>
      </c>
      <c r="F1775">
        <v>1</v>
      </c>
      <c r="G1775">
        <v>0</v>
      </c>
      <c r="H1775">
        <v>0</v>
      </c>
      <c r="I1775">
        <v>1</v>
      </c>
      <c r="J1775">
        <v>400</v>
      </c>
      <c r="L1775">
        <f>_xlfn.XLOOKUP(C1775, dim_teams[team_name], dim_teams[team_id], "Not found", 0)</f>
        <v>16</v>
      </c>
    </row>
    <row r="1776" spans="1:12" x14ac:dyDescent="0.3">
      <c r="A1776" t="s">
        <v>485</v>
      </c>
      <c r="B1776">
        <v>2023</v>
      </c>
      <c r="C1776" t="s">
        <v>15</v>
      </c>
      <c r="D1776">
        <v>93</v>
      </c>
      <c r="E1776">
        <v>71</v>
      </c>
      <c r="F1776">
        <v>12</v>
      </c>
      <c r="G1776">
        <v>2</v>
      </c>
      <c r="H1776">
        <v>3</v>
      </c>
      <c r="I1776">
        <v>4</v>
      </c>
      <c r="J1776">
        <v>130.99</v>
      </c>
      <c r="K1776">
        <v>31</v>
      </c>
      <c r="L1776">
        <f>_xlfn.XLOOKUP(C1776, dim_teams[team_name], dim_teams[team_id], "Not found", 0)</f>
        <v>17</v>
      </c>
    </row>
    <row r="1777" spans="1:12" x14ac:dyDescent="0.3">
      <c r="A1777" t="s">
        <v>486</v>
      </c>
      <c r="B1777">
        <v>2008</v>
      </c>
      <c r="C1777" t="s">
        <v>54</v>
      </c>
      <c r="D1777">
        <v>90</v>
      </c>
      <c r="E1777">
        <v>58</v>
      </c>
      <c r="F1777">
        <v>10</v>
      </c>
      <c r="G1777">
        <v>3</v>
      </c>
      <c r="H1777">
        <v>4</v>
      </c>
      <c r="I1777">
        <v>7</v>
      </c>
      <c r="J1777">
        <v>155.16999999999999</v>
      </c>
      <c r="K1777">
        <v>22.5</v>
      </c>
      <c r="L1777">
        <f>_xlfn.XLOOKUP(C1777, dim_teams[team_name], dim_teams[team_id], "Not found", 0)</f>
        <v>4</v>
      </c>
    </row>
    <row r="1778" spans="1:12" x14ac:dyDescent="0.3">
      <c r="A1778" t="s">
        <v>486</v>
      </c>
      <c r="B1778">
        <v>2009</v>
      </c>
      <c r="C1778" t="s">
        <v>54</v>
      </c>
      <c r="D1778">
        <v>31</v>
      </c>
      <c r="E1778">
        <v>36</v>
      </c>
      <c r="F1778">
        <v>3</v>
      </c>
      <c r="G1778">
        <v>0</v>
      </c>
      <c r="H1778">
        <v>3</v>
      </c>
      <c r="I1778">
        <v>8</v>
      </c>
      <c r="J1778">
        <v>86.11</v>
      </c>
      <c r="K1778">
        <v>10.33</v>
      </c>
      <c r="L1778">
        <f>_xlfn.XLOOKUP(C1778, dim_teams[team_name], dim_teams[team_id], "Not found", 0)</f>
        <v>4</v>
      </c>
    </row>
    <row r="1779" spans="1:12" x14ac:dyDescent="0.3">
      <c r="A1779" t="s">
        <v>486</v>
      </c>
      <c r="B1779">
        <v>2010</v>
      </c>
      <c r="C1779" t="s">
        <v>54</v>
      </c>
      <c r="D1779">
        <v>62</v>
      </c>
      <c r="E1779">
        <v>59</v>
      </c>
      <c r="F1779">
        <v>7</v>
      </c>
      <c r="G1779">
        <v>0</v>
      </c>
      <c r="H1779">
        <v>5</v>
      </c>
      <c r="I1779">
        <v>6</v>
      </c>
      <c r="J1779">
        <v>105.08</v>
      </c>
      <c r="K1779">
        <v>12.4</v>
      </c>
      <c r="L1779">
        <f>_xlfn.XLOOKUP(C1779, dim_teams[team_name], dim_teams[team_id], "Not found", 0)</f>
        <v>4</v>
      </c>
    </row>
    <row r="1780" spans="1:12" x14ac:dyDescent="0.3">
      <c r="A1780" t="s">
        <v>486</v>
      </c>
      <c r="B1780">
        <v>2011</v>
      </c>
      <c r="C1780" t="s">
        <v>54</v>
      </c>
      <c r="D1780">
        <v>48</v>
      </c>
      <c r="E1780">
        <v>55</v>
      </c>
      <c r="F1780">
        <v>2</v>
      </c>
      <c r="G1780">
        <v>2</v>
      </c>
      <c r="H1780">
        <v>4</v>
      </c>
      <c r="I1780">
        <v>6</v>
      </c>
      <c r="J1780">
        <v>87.27</v>
      </c>
      <c r="K1780">
        <v>12</v>
      </c>
      <c r="L1780">
        <f>_xlfn.XLOOKUP(C1780, dim_teams[team_name], dim_teams[team_id], "Not found", 0)</f>
        <v>4</v>
      </c>
    </row>
    <row r="1781" spans="1:12" x14ac:dyDescent="0.3">
      <c r="A1781" t="s">
        <v>486</v>
      </c>
      <c r="B1781">
        <v>2012</v>
      </c>
      <c r="C1781" t="s">
        <v>54</v>
      </c>
      <c r="D1781">
        <v>106</v>
      </c>
      <c r="E1781">
        <v>88</v>
      </c>
      <c r="F1781">
        <v>9</v>
      </c>
      <c r="G1781">
        <v>4</v>
      </c>
      <c r="H1781">
        <v>8</v>
      </c>
      <c r="I1781">
        <v>12</v>
      </c>
      <c r="J1781">
        <v>120.45</v>
      </c>
      <c r="K1781">
        <v>13.25</v>
      </c>
      <c r="L1781">
        <f>_xlfn.XLOOKUP(C1781, dim_teams[team_name], dim_teams[team_id], "Not found", 0)</f>
        <v>4</v>
      </c>
    </row>
    <row r="1782" spans="1:12" x14ac:dyDescent="0.3">
      <c r="A1782" t="s">
        <v>486</v>
      </c>
      <c r="B1782">
        <v>2013</v>
      </c>
      <c r="C1782" t="s">
        <v>54</v>
      </c>
      <c r="D1782">
        <v>64</v>
      </c>
      <c r="E1782">
        <v>57</v>
      </c>
      <c r="F1782">
        <v>5</v>
      </c>
      <c r="G1782">
        <v>3</v>
      </c>
      <c r="H1782">
        <v>6</v>
      </c>
      <c r="I1782">
        <v>10</v>
      </c>
      <c r="J1782">
        <v>112.28</v>
      </c>
      <c r="K1782">
        <v>10.67</v>
      </c>
      <c r="L1782">
        <f>_xlfn.XLOOKUP(C1782, dim_teams[team_name], dim_teams[team_id], "Not found", 0)</f>
        <v>4</v>
      </c>
    </row>
    <row r="1783" spans="1:12" x14ac:dyDescent="0.3">
      <c r="A1783" t="s">
        <v>486</v>
      </c>
      <c r="B1783">
        <v>2014</v>
      </c>
      <c r="C1783" t="s">
        <v>19</v>
      </c>
      <c r="D1783">
        <v>31</v>
      </c>
      <c r="E1783">
        <v>19</v>
      </c>
      <c r="F1783">
        <v>4</v>
      </c>
      <c r="G1783">
        <v>1</v>
      </c>
      <c r="H1783">
        <v>3</v>
      </c>
      <c r="I1783">
        <v>5</v>
      </c>
      <c r="J1783">
        <v>163.16</v>
      </c>
      <c r="K1783">
        <v>10.33</v>
      </c>
      <c r="L1783">
        <f>_xlfn.XLOOKUP(C1783, dim_teams[team_name], dim_teams[team_id], "Not found", 0)</f>
        <v>1</v>
      </c>
    </row>
    <row r="1784" spans="1:12" x14ac:dyDescent="0.3">
      <c r="A1784" t="s">
        <v>486</v>
      </c>
      <c r="B1784">
        <v>2015</v>
      </c>
      <c r="C1784" t="s">
        <v>19</v>
      </c>
      <c r="D1784">
        <v>54</v>
      </c>
      <c r="E1784">
        <v>47</v>
      </c>
      <c r="F1784">
        <v>5</v>
      </c>
      <c r="G1784">
        <v>2</v>
      </c>
      <c r="H1784">
        <v>5</v>
      </c>
      <c r="I1784">
        <v>7</v>
      </c>
      <c r="J1784">
        <v>114.89</v>
      </c>
      <c r="K1784">
        <v>10.8</v>
      </c>
      <c r="L1784">
        <f>_xlfn.XLOOKUP(C1784, dim_teams[team_name], dim_teams[team_id], "Not found", 0)</f>
        <v>1</v>
      </c>
    </row>
    <row r="1785" spans="1:12" x14ac:dyDescent="0.3">
      <c r="A1785" t="s">
        <v>486</v>
      </c>
      <c r="B1785">
        <v>2016</v>
      </c>
      <c r="C1785" t="s">
        <v>19</v>
      </c>
      <c r="D1785">
        <v>27</v>
      </c>
      <c r="E1785">
        <v>26</v>
      </c>
      <c r="F1785">
        <v>4</v>
      </c>
      <c r="G1785">
        <v>0</v>
      </c>
      <c r="H1785">
        <v>3</v>
      </c>
      <c r="I1785">
        <v>3</v>
      </c>
      <c r="J1785">
        <v>103.85</v>
      </c>
      <c r="K1785">
        <v>9</v>
      </c>
      <c r="L1785">
        <f>_xlfn.XLOOKUP(C1785, dim_teams[team_name], dim_teams[team_id], "Not found", 0)</f>
        <v>1</v>
      </c>
    </row>
    <row r="1786" spans="1:12" x14ac:dyDescent="0.3">
      <c r="A1786" t="s">
        <v>486</v>
      </c>
      <c r="B1786">
        <v>2017</v>
      </c>
      <c r="C1786" t="s">
        <v>19</v>
      </c>
      <c r="D1786">
        <v>2</v>
      </c>
      <c r="E1786">
        <v>6</v>
      </c>
      <c r="F1786">
        <v>0</v>
      </c>
      <c r="G1786">
        <v>0</v>
      </c>
      <c r="H1786">
        <v>1</v>
      </c>
      <c r="I1786">
        <v>1</v>
      </c>
      <c r="J1786">
        <v>33.33</v>
      </c>
      <c r="K1786">
        <v>2</v>
      </c>
      <c r="L1786">
        <f>_xlfn.XLOOKUP(C1786, dim_teams[team_name], dim_teams[team_id], "Not found", 0)</f>
        <v>1</v>
      </c>
    </row>
    <row r="1787" spans="1:12" x14ac:dyDescent="0.3">
      <c r="A1787" t="s">
        <v>486</v>
      </c>
      <c r="B1787">
        <v>2018</v>
      </c>
      <c r="C1787" t="s">
        <v>19</v>
      </c>
      <c r="D1787">
        <v>27</v>
      </c>
      <c r="E1787">
        <v>34</v>
      </c>
      <c r="F1787">
        <v>1</v>
      </c>
      <c r="G1787">
        <v>1</v>
      </c>
      <c r="H1787">
        <v>4</v>
      </c>
      <c r="I1787">
        <v>5</v>
      </c>
      <c r="J1787">
        <v>79.41</v>
      </c>
      <c r="K1787">
        <v>6.75</v>
      </c>
      <c r="L1787">
        <f>_xlfn.XLOOKUP(C1787, dim_teams[team_name], dim_teams[team_id], "Not found", 0)</f>
        <v>1</v>
      </c>
    </row>
    <row r="1788" spans="1:12" x14ac:dyDescent="0.3">
      <c r="A1788" t="s">
        <v>486</v>
      </c>
      <c r="B1788">
        <v>2019</v>
      </c>
      <c r="C1788" t="s">
        <v>19</v>
      </c>
      <c r="D1788">
        <v>42</v>
      </c>
      <c r="E1788">
        <v>37</v>
      </c>
      <c r="F1788">
        <v>4</v>
      </c>
      <c r="G1788">
        <v>2</v>
      </c>
      <c r="H1788">
        <v>4</v>
      </c>
      <c r="I1788">
        <v>5</v>
      </c>
      <c r="J1788">
        <v>113.51</v>
      </c>
      <c r="K1788">
        <v>10.5</v>
      </c>
      <c r="L1788">
        <f>_xlfn.XLOOKUP(C1788, dim_teams[team_name], dim_teams[team_id], "Not found", 0)</f>
        <v>1</v>
      </c>
    </row>
    <row r="1789" spans="1:12" x14ac:dyDescent="0.3">
      <c r="A1789" t="s">
        <v>486</v>
      </c>
      <c r="B1789">
        <v>2021</v>
      </c>
      <c r="C1789" t="s">
        <v>23</v>
      </c>
      <c r="D1789">
        <v>0</v>
      </c>
      <c r="E1789">
        <v>2</v>
      </c>
      <c r="F1789">
        <v>0</v>
      </c>
      <c r="G1789">
        <v>0</v>
      </c>
      <c r="H1789">
        <v>1</v>
      </c>
      <c r="I1789">
        <v>1</v>
      </c>
      <c r="J1789">
        <v>0</v>
      </c>
      <c r="K1789">
        <v>0</v>
      </c>
      <c r="L1789">
        <f>_xlfn.XLOOKUP(C1789, dim_teams[team_name], dim_teams[team_id], "Not found", 0)</f>
        <v>7</v>
      </c>
    </row>
    <row r="1790" spans="1:12" x14ac:dyDescent="0.3">
      <c r="A1790" t="s">
        <v>486</v>
      </c>
      <c r="B1790">
        <v>2023</v>
      </c>
      <c r="C1790" t="s">
        <v>23</v>
      </c>
      <c r="D1790">
        <v>25</v>
      </c>
      <c r="E1790">
        <v>22</v>
      </c>
      <c r="F1790">
        <v>1</v>
      </c>
      <c r="G1790">
        <v>1</v>
      </c>
      <c r="H1790">
        <v>2</v>
      </c>
      <c r="I1790">
        <v>4</v>
      </c>
      <c r="J1790">
        <v>113.64</v>
      </c>
      <c r="K1790">
        <v>12.5</v>
      </c>
      <c r="L1790">
        <f>_xlfn.XLOOKUP(C1790, dim_teams[team_name], dim_teams[team_id], "Not found", 0)</f>
        <v>7</v>
      </c>
    </row>
    <row r="1791" spans="1:12" x14ac:dyDescent="0.3">
      <c r="A1791" t="s">
        <v>486</v>
      </c>
      <c r="B1791">
        <v>2024</v>
      </c>
      <c r="C1791" t="s">
        <v>23</v>
      </c>
      <c r="D1791">
        <v>15</v>
      </c>
      <c r="E1791">
        <v>15</v>
      </c>
      <c r="F1791">
        <v>1</v>
      </c>
      <c r="G1791">
        <v>1</v>
      </c>
      <c r="H1791">
        <v>4</v>
      </c>
      <c r="I1791">
        <v>6</v>
      </c>
      <c r="J1791">
        <v>100</v>
      </c>
      <c r="K1791">
        <v>3.75</v>
      </c>
      <c r="L1791">
        <f>_xlfn.XLOOKUP(C1791, dim_teams[team_name], dim_teams[team_id], "Not found", 0)</f>
        <v>7</v>
      </c>
    </row>
    <row r="1792" spans="1:12" x14ac:dyDescent="0.3">
      <c r="A1792" t="s">
        <v>487</v>
      </c>
      <c r="B1792">
        <v>2008</v>
      </c>
      <c r="C1792" t="s">
        <v>12</v>
      </c>
      <c r="D1792">
        <v>2</v>
      </c>
      <c r="E1792">
        <v>4</v>
      </c>
      <c r="F1792">
        <v>0</v>
      </c>
      <c r="G1792">
        <v>0</v>
      </c>
      <c r="H1792">
        <v>1</v>
      </c>
      <c r="I1792">
        <v>3</v>
      </c>
      <c r="J1792">
        <v>50</v>
      </c>
      <c r="K1792">
        <v>2</v>
      </c>
      <c r="L1792">
        <f>_xlfn.XLOOKUP(C1792, dim_teams[team_name], dim_teams[team_id], "Not found", 0)</f>
        <v>8</v>
      </c>
    </row>
    <row r="1793" spans="1:12" x14ac:dyDescent="0.3">
      <c r="A1793" t="s">
        <v>487</v>
      </c>
      <c r="B1793">
        <v>2009</v>
      </c>
      <c r="C1793" t="s">
        <v>12</v>
      </c>
      <c r="D1793">
        <v>1</v>
      </c>
      <c r="E1793">
        <v>7</v>
      </c>
      <c r="F1793">
        <v>0</v>
      </c>
      <c r="G1793">
        <v>0</v>
      </c>
      <c r="H1793">
        <v>3</v>
      </c>
      <c r="I1793">
        <v>4</v>
      </c>
      <c r="J1793">
        <v>14.29</v>
      </c>
      <c r="K1793">
        <v>0.33</v>
      </c>
      <c r="L1793">
        <f>_xlfn.XLOOKUP(C1793, dim_teams[team_name], dim_teams[team_id], "Not found", 0)</f>
        <v>8</v>
      </c>
    </row>
    <row r="1794" spans="1:12" x14ac:dyDescent="0.3">
      <c r="A1794" t="s">
        <v>487</v>
      </c>
      <c r="B1794">
        <v>2010</v>
      </c>
      <c r="C1794" t="s">
        <v>12</v>
      </c>
      <c r="D1794">
        <v>3</v>
      </c>
      <c r="E1794">
        <v>8</v>
      </c>
      <c r="F1794">
        <v>0</v>
      </c>
      <c r="G1794">
        <v>0</v>
      </c>
      <c r="H1794">
        <v>3</v>
      </c>
      <c r="I1794">
        <v>3</v>
      </c>
      <c r="J1794">
        <v>37.5</v>
      </c>
      <c r="K1794">
        <v>1</v>
      </c>
      <c r="L1794">
        <f>_xlfn.XLOOKUP(C1794, dim_teams[team_name], dim_teams[team_id], "Not found", 0)</f>
        <v>8</v>
      </c>
    </row>
    <row r="1795" spans="1:12" x14ac:dyDescent="0.3">
      <c r="A1795" t="s">
        <v>487</v>
      </c>
      <c r="B1795">
        <v>2012</v>
      </c>
      <c r="C1795" t="s">
        <v>23</v>
      </c>
      <c r="D1795">
        <v>4</v>
      </c>
      <c r="E1795">
        <v>13</v>
      </c>
      <c r="F1795">
        <v>0</v>
      </c>
      <c r="G1795">
        <v>0</v>
      </c>
      <c r="H1795">
        <v>1</v>
      </c>
      <c r="I1795">
        <v>3</v>
      </c>
      <c r="J1795">
        <v>30.77</v>
      </c>
      <c r="K1795">
        <v>4</v>
      </c>
      <c r="L1795">
        <f>_xlfn.XLOOKUP(C1795, dim_teams[team_name], dim_teams[team_id], "Not found", 0)</f>
        <v>7</v>
      </c>
    </row>
    <row r="1796" spans="1:12" x14ac:dyDescent="0.3">
      <c r="A1796" t="s">
        <v>487</v>
      </c>
      <c r="B1796">
        <v>2013</v>
      </c>
      <c r="C1796" t="s">
        <v>23</v>
      </c>
      <c r="D1796">
        <v>2</v>
      </c>
      <c r="E1796">
        <v>4</v>
      </c>
      <c r="F1796">
        <v>0</v>
      </c>
      <c r="G1796">
        <v>0</v>
      </c>
      <c r="H1796">
        <v>1</v>
      </c>
      <c r="I1796">
        <v>3</v>
      </c>
      <c r="J1796">
        <v>50</v>
      </c>
      <c r="K1796">
        <v>2</v>
      </c>
      <c r="L1796">
        <f>_xlfn.XLOOKUP(C1796, dim_teams[team_name], dim_teams[team_id], "Not found", 0)</f>
        <v>7</v>
      </c>
    </row>
    <row r="1797" spans="1:12" x14ac:dyDescent="0.3">
      <c r="A1797" t="s">
        <v>487</v>
      </c>
      <c r="B1797">
        <v>2014</v>
      </c>
      <c r="C1797" t="s">
        <v>23</v>
      </c>
      <c r="D1797">
        <v>4</v>
      </c>
      <c r="E1797">
        <v>8</v>
      </c>
      <c r="F1797">
        <v>0</v>
      </c>
      <c r="G1797">
        <v>0</v>
      </c>
      <c r="H1797">
        <v>1</v>
      </c>
      <c r="I1797">
        <v>3</v>
      </c>
      <c r="J1797">
        <v>50</v>
      </c>
      <c r="K1797">
        <v>4</v>
      </c>
      <c r="L1797">
        <f>_xlfn.XLOOKUP(C1797, dim_teams[team_name], dim_teams[team_id], "Not found", 0)</f>
        <v>7</v>
      </c>
    </row>
    <row r="1798" spans="1:12" x14ac:dyDescent="0.3">
      <c r="A1798" t="s">
        <v>488</v>
      </c>
      <c r="B1798">
        <v>2018</v>
      </c>
      <c r="C1798" t="s">
        <v>32</v>
      </c>
      <c r="D1798">
        <v>245</v>
      </c>
      <c r="E1798">
        <v>160</v>
      </c>
      <c r="F1798">
        <v>27</v>
      </c>
      <c r="G1798">
        <v>10</v>
      </c>
      <c r="H1798">
        <v>9</v>
      </c>
      <c r="I1798">
        <v>9</v>
      </c>
      <c r="J1798">
        <v>153.12</v>
      </c>
      <c r="K1798">
        <v>27.22</v>
      </c>
      <c r="L1798">
        <f>_xlfn.XLOOKUP(C1798, dim_teams[team_name], dim_teams[team_id], "Not found", 0)</f>
        <v>6</v>
      </c>
    </row>
    <row r="1799" spans="1:12" x14ac:dyDescent="0.3">
      <c r="A1799" t="s">
        <v>488</v>
      </c>
      <c r="B1799">
        <v>2019</v>
      </c>
      <c r="C1799" t="s">
        <v>33</v>
      </c>
      <c r="D1799">
        <v>353</v>
      </c>
      <c r="E1799">
        <v>263</v>
      </c>
      <c r="F1799">
        <v>45</v>
      </c>
      <c r="G1799">
        <v>9</v>
      </c>
      <c r="H1799">
        <v>15</v>
      </c>
      <c r="I1799">
        <v>16</v>
      </c>
      <c r="J1799">
        <v>134.22</v>
      </c>
      <c r="K1799">
        <v>23.53</v>
      </c>
      <c r="L1799">
        <f>_xlfn.XLOOKUP(C1799, dim_teams[team_name], dim_teams[team_id], "Not found", 0)</f>
        <v>15</v>
      </c>
    </row>
    <row r="1800" spans="1:12" x14ac:dyDescent="0.3">
      <c r="A1800" t="s">
        <v>488</v>
      </c>
      <c r="B1800">
        <v>2020</v>
      </c>
      <c r="C1800" t="s">
        <v>33</v>
      </c>
      <c r="D1800">
        <v>228</v>
      </c>
      <c r="E1800">
        <v>167</v>
      </c>
      <c r="F1800">
        <v>27</v>
      </c>
      <c r="G1800">
        <v>8</v>
      </c>
      <c r="H1800">
        <v>13</v>
      </c>
      <c r="I1800">
        <v>13</v>
      </c>
      <c r="J1800">
        <v>136.53</v>
      </c>
      <c r="K1800">
        <v>17.54</v>
      </c>
      <c r="L1800">
        <f>_xlfn.XLOOKUP(C1800, dim_teams[team_name], dim_teams[team_id], "Not found", 0)</f>
        <v>15</v>
      </c>
    </row>
    <row r="1801" spans="1:12" x14ac:dyDescent="0.3">
      <c r="A1801" t="s">
        <v>488</v>
      </c>
      <c r="B1801">
        <v>2021</v>
      </c>
      <c r="C1801" t="s">
        <v>33</v>
      </c>
      <c r="D1801">
        <v>479</v>
      </c>
      <c r="E1801">
        <v>300</v>
      </c>
      <c r="F1801">
        <v>56</v>
      </c>
      <c r="G1801">
        <v>18</v>
      </c>
      <c r="H1801">
        <v>14</v>
      </c>
      <c r="I1801">
        <v>15</v>
      </c>
      <c r="J1801">
        <v>159.66999999999999</v>
      </c>
      <c r="K1801">
        <v>34.21</v>
      </c>
      <c r="L1801">
        <f>_xlfn.XLOOKUP(C1801, dim_teams[team_name], dim_teams[team_id], "Not found", 0)</f>
        <v>15</v>
      </c>
    </row>
    <row r="1802" spans="1:12" x14ac:dyDescent="0.3">
      <c r="A1802" t="s">
        <v>488</v>
      </c>
      <c r="B1802">
        <v>2022</v>
      </c>
      <c r="C1802" t="s">
        <v>33</v>
      </c>
      <c r="D1802">
        <v>283</v>
      </c>
      <c r="E1802">
        <v>184</v>
      </c>
      <c r="F1802">
        <v>37</v>
      </c>
      <c r="G1802">
        <v>10</v>
      </c>
      <c r="H1802">
        <v>10</v>
      </c>
      <c r="I1802">
        <v>10</v>
      </c>
      <c r="J1802">
        <v>153.80000000000001</v>
      </c>
      <c r="K1802">
        <v>28.3</v>
      </c>
      <c r="L1802">
        <f>_xlfn.XLOOKUP(C1802, dim_teams[team_name], dim_teams[team_id], "Not found", 0)</f>
        <v>15</v>
      </c>
    </row>
    <row r="1803" spans="1:12" x14ac:dyDescent="0.3">
      <c r="A1803" t="s">
        <v>488</v>
      </c>
      <c r="B1803">
        <v>2023</v>
      </c>
      <c r="C1803" t="s">
        <v>33</v>
      </c>
      <c r="D1803">
        <v>106</v>
      </c>
      <c r="E1803">
        <v>84</v>
      </c>
      <c r="F1803">
        <v>16</v>
      </c>
      <c r="G1803">
        <v>1</v>
      </c>
      <c r="H1803">
        <v>8</v>
      </c>
      <c r="I1803">
        <v>8</v>
      </c>
      <c r="J1803">
        <v>126.19</v>
      </c>
      <c r="K1803">
        <v>13.25</v>
      </c>
      <c r="L1803">
        <f>_xlfn.XLOOKUP(C1803, dim_teams[team_name], dim_teams[team_id], "Not found", 0)</f>
        <v>15</v>
      </c>
    </row>
    <row r="1804" spans="1:12" x14ac:dyDescent="0.3">
      <c r="A1804" t="s">
        <v>488</v>
      </c>
      <c r="B1804">
        <v>2024</v>
      </c>
      <c r="C1804" t="s">
        <v>33</v>
      </c>
      <c r="D1804">
        <v>198</v>
      </c>
      <c r="E1804">
        <v>121</v>
      </c>
      <c r="F1804">
        <v>30</v>
      </c>
      <c r="G1804">
        <v>5</v>
      </c>
      <c r="H1804">
        <v>8</v>
      </c>
      <c r="I1804">
        <v>8</v>
      </c>
      <c r="J1804">
        <v>163.63999999999999</v>
      </c>
      <c r="K1804">
        <v>24.75</v>
      </c>
      <c r="L1804">
        <f>_xlfn.XLOOKUP(C1804, dim_teams[team_name], dim_teams[team_id], "Not found", 0)</f>
        <v>15</v>
      </c>
    </row>
    <row r="1805" spans="1:12" x14ac:dyDescent="0.3">
      <c r="A1805" t="s">
        <v>489</v>
      </c>
      <c r="B1805">
        <v>2008</v>
      </c>
      <c r="C1805" t="s">
        <v>23</v>
      </c>
      <c r="D1805">
        <v>34</v>
      </c>
      <c r="E1805">
        <v>34</v>
      </c>
      <c r="F1805">
        <v>4</v>
      </c>
      <c r="G1805">
        <v>0</v>
      </c>
      <c r="H1805">
        <v>4</v>
      </c>
      <c r="I1805">
        <v>4</v>
      </c>
      <c r="J1805">
        <v>100</v>
      </c>
      <c r="K1805">
        <v>8.5</v>
      </c>
      <c r="L1805">
        <f>_xlfn.XLOOKUP(C1805, dim_teams[team_name], dim_teams[team_id], "Not found", 0)</f>
        <v>7</v>
      </c>
    </row>
    <row r="1806" spans="1:12" x14ac:dyDescent="0.3">
      <c r="A1806" t="s">
        <v>489</v>
      </c>
      <c r="B1806">
        <v>2009</v>
      </c>
      <c r="C1806" t="s">
        <v>23</v>
      </c>
      <c r="D1806">
        <v>53</v>
      </c>
      <c r="E1806">
        <v>51</v>
      </c>
      <c r="F1806">
        <v>4</v>
      </c>
      <c r="G1806">
        <v>2</v>
      </c>
      <c r="H1806">
        <v>3</v>
      </c>
      <c r="I1806">
        <v>4</v>
      </c>
      <c r="J1806">
        <v>103.92</v>
      </c>
      <c r="K1806">
        <v>17.670000000000002</v>
      </c>
      <c r="L1806">
        <f>_xlfn.XLOOKUP(C1806, dim_teams[team_name], dim_teams[team_id], "Not found", 0)</f>
        <v>7</v>
      </c>
    </row>
    <row r="1807" spans="1:12" x14ac:dyDescent="0.3">
      <c r="A1807" t="s">
        <v>489</v>
      </c>
      <c r="B1807">
        <v>2011</v>
      </c>
      <c r="C1807" t="s">
        <v>17</v>
      </c>
      <c r="D1807">
        <v>5</v>
      </c>
      <c r="E1807">
        <v>5</v>
      </c>
      <c r="F1807">
        <v>1</v>
      </c>
      <c r="G1807">
        <v>0</v>
      </c>
      <c r="H1807">
        <v>1</v>
      </c>
      <c r="I1807">
        <v>1</v>
      </c>
      <c r="J1807">
        <v>100</v>
      </c>
      <c r="K1807">
        <v>5</v>
      </c>
      <c r="L1807">
        <f>_xlfn.XLOOKUP(C1807, dim_teams[team_name], dim_teams[team_id], "Not found", 0)</f>
        <v>5</v>
      </c>
    </row>
    <row r="1808" spans="1:12" x14ac:dyDescent="0.3">
      <c r="A1808" t="s">
        <v>490</v>
      </c>
      <c r="B1808">
        <v>2016</v>
      </c>
      <c r="C1808" t="s">
        <v>45</v>
      </c>
      <c r="D1808">
        <v>6</v>
      </c>
      <c r="E1808">
        <v>12</v>
      </c>
      <c r="F1808">
        <v>0</v>
      </c>
      <c r="G1808">
        <v>0</v>
      </c>
      <c r="H1808">
        <v>1</v>
      </c>
      <c r="I1808">
        <v>1</v>
      </c>
      <c r="J1808">
        <v>50</v>
      </c>
      <c r="K1808">
        <v>6</v>
      </c>
      <c r="L1808">
        <f>_xlfn.XLOOKUP(C1808, dim_teams[team_name], dim_teams[team_id], "Not found", 0)</f>
        <v>12</v>
      </c>
    </row>
    <row r="1809" spans="1:12" x14ac:dyDescent="0.3">
      <c r="A1809" t="s">
        <v>491</v>
      </c>
      <c r="B1809">
        <v>2013</v>
      </c>
      <c r="C1809" t="s">
        <v>17</v>
      </c>
      <c r="D1809">
        <v>3</v>
      </c>
      <c r="E1809">
        <v>6</v>
      </c>
      <c r="F1809">
        <v>0</v>
      </c>
      <c r="G1809">
        <v>0</v>
      </c>
      <c r="H1809">
        <v>0</v>
      </c>
      <c r="I1809">
        <v>1</v>
      </c>
      <c r="J1809">
        <v>50</v>
      </c>
      <c r="L1809">
        <f>_xlfn.XLOOKUP(C1809, dim_teams[team_name], dim_teams[team_id], "Not found", 0)</f>
        <v>5</v>
      </c>
    </row>
    <row r="1810" spans="1:12" x14ac:dyDescent="0.3">
      <c r="A1810" t="s">
        <v>491</v>
      </c>
      <c r="B1810">
        <v>2014</v>
      </c>
      <c r="C1810" t="s">
        <v>17</v>
      </c>
      <c r="D1810">
        <v>5</v>
      </c>
      <c r="E1810">
        <v>9</v>
      </c>
      <c r="F1810">
        <v>0</v>
      </c>
      <c r="G1810">
        <v>0</v>
      </c>
      <c r="H1810">
        <v>1</v>
      </c>
      <c r="I1810">
        <v>2</v>
      </c>
      <c r="J1810">
        <v>55.56</v>
      </c>
      <c r="K1810">
        <v>5</v>
      </c>
      <c r="L1810">
        <f>_xlfn.XLOOKUP(C1810, dim_teams[team_name], dim_teams[team_id], "Not found", 0)</f>
        <v>5</v>
      </c>
    </row>
    <row r="1811" spans="1:12" x14ac:dyDescent="0.3">
      <c r="A1811" t="s">
        <v>491</v>
      </c>
      <c r="B1811">
        <v>2015</v>
      </c>
      <c r="C1811" t="s">
        <v>17</v>
      </c>
      <c r="D1811">
        <v>3</v>
      </c>
      <c r="E1811">
        <v>5</v>
      </c>
      <c r="F1811">
        <v>0</v>
      </c>
      <c r="G1811">
        <v>0</v>
      </c>
      <c r="H1811">
        <v>0</v>
      </c>
      <c r="I1811">
        <v>2</v>
      </c>
      <c r="J1811">
        <v>60</v>
      </c>
      <c r="L1811">
        <f>_xlfn.XLOOKUP(C1811, dim_teams[team_name], dim_teams[team_id], "Not found", 0)</f>
        <v>5</v>
      </c>
    </row>
    <row r="1812" spans="1:12" x14ac:dyDescent="0.3">
      <c r="A1812" t="s">
        <v>491</v>
      </c>
      <c r="B1812">
        <v>2016</v>
      </c>
      <c r="C1812" t="s">
        <v>66</v>
      </c>
      <c r="D1812">
        <v>7</v>
      </c>
      <c r="E1812">
        <v>18</v>
      </c>
      <c r="F1812">
        <v>1</v>
      </c>
      <c r="G1812">
        <v>0</v>
      </c>
      <c r="H1812">
        <v>0</v>
      </c>
      <c r="I1812">
        <v>1</v>
      </c>
      <c r="J1812">
        <v>38.89</v>
      </c>
      <c r="L1812">
        <f>_xlfn.XLOOKUP(C1812, dim_teams[team_name], dim_teams[team_id], "Not found", 0)</f>
        <v>13</v>
      </c>
    </row>
    <row r="1813" spans="1:12" x14ac:dyDescent="0.3">
      <c r="A1813" t="s">
        <v>492</v>
      </c>
      <c r="B1813">
        <v>2022</v>
      </c>
      <c r="C1813" t="s">
        <v>15</v>
      </c>
      <c r="D1813">
        <v>43</v>
      </c>
      <c r="E1813">
        <v>28</v>
      </c>
      <c r="F1813">
        <v>3</v>
      </c>
      <c r="G1813">
        <v>3</v>
      </c>
      <c r="H1813">
        <v>3</v>
      </c>
      <c r="I1813">
        <v>7</v>
      </c>
      <c r="J1813">
        <v>153.57</v>
      </c>
      <c r="K1813">
        <v>14.33</v>
      </c>
      <c r="L1813">
        <f>_xlfn.XLOOKUP(C1813, dim_teams[team_name], dim_teams[team_id], "Not found", 0)</f>
        <v>17</v>
      </c>
    </row>
    <row r="1814" spans="1:12" x14ac:dyDescent="0.3">
      <c r="A1814" t="s">
        <v>492</v>
      </c>
      <c r="B1814">
        <v>2025</v>
      </c>
      <c r="C1814" t="s">
        <v>33</v>
      </c>
      <c r="D1814">
        <v>10</v>
      </c>
      <c r="E1814">
        <v>14</v>
      </c>
      <c r="F1814">
        <v>0</v>
      </c>
      <c r="G1814">
        <v>0</v>
      </c>
      <c r="H1814">
        <v>0</v>
      </c>
      <c r="I1814">
        <v>3</v>
      </c>
      <c r="J1814">
        <v>71.430000000000007</v>
      </c>
      <c r="L1814">
        <f>_xlfn.XLOOKUP(C1814, dim_teams[team_name], dim_teams[team_id], "Not found", 0)</f>
        <v>15</v>
      </c>
    </row>
    <row r="1815" spans="1:12" x14ac:dyDescent="0.3">
      <c r="A1815" t="s">
        <v>493</v>
      </c>
      <c r="B1815">
        <v>2025</v>
      </c>
      <c r="C1815" t="s">
        <v>23</v>
      </c>
      <c r="D1815">
        <v>1</v>
      </c>
      <c r="E1815">
        <v>1</v>
      </c>
      <c r="F1815">
        <v>0</v>
      </c>
      <c r="G1815">
        <v>0</v>
      </c>
      <c r="H1815">
        <v>0</v>
      </c>
      <c r="I1815">
        <v>1</v>
      </c>
      <c r="J1815">
        <v>100</v>
      </c>
      <c r="L1815">
        <f>_xlfn.XLOOKUP(C1815, dim_teams[team_name], dim_teams[team_id], "Not found", 0)</f>
        <v>7</v>
      </c>
    </row>
    <row r="1816" spans="1:12" x14ac:dyDescent="0.3">
      <c r="A1816" t="s">
        <v>494</v>
      </c>
      <c r="B1816">
        <v>2025</v>
      </c>
      <c r="C1816" t="s">
        <v>13</v>
      </c>
      <c r="D1816">
        <v>9</v>
      </c>
      <c r="E1816">
        <v>11</v>
      </c>
      <c r="F1816">
        <v>1</v>
      </c>
      <c r="G1816">
        <v>0</v>
      </c>
      <c r="H1816">
        <v>1</v>
      </c>
      <c r="I1816">
        <v>1</v>
      </c>
      <c r="J1816">
        <v>81.819999999999993</v>
      </c>
      <c r="K1816">
        <v>9</v>
      </c>
      <c r="L1816">
        <f>_xlfn.XLOOKUP(C1816, dim_teams[team_name], dim_teams[team_id], "Not found", 0)</f>
        <v>11</v>
      </c>
    </row>
    <row r="1817" spans="1:12" x14ac:dyDescent="0.3">
      <c r="A1817" t="s">
        <v>495</v>
      </c>
      <c r="B1817">
        <v>2021</v>
      </c>
      <c r="C1817" t="s">
        <v>21</v>
      </c>
      <c r="D1817">
        <v>1</v>
      </c>
      <c r="E1817">
        <v>2</v>
      </c>
      <c r="F1817">
        <v>0</v>
      </c>
      <c r="G1817">
        <v>0</v>
      </c>
      <c r="H1817">
        <v>1</v>
      </c>
      <c r="I1817">
        <v>2</v>
      </c>
      <c r="J1817">
        <v>50</v>
      </c>
      <c r="K1817">
        <v>1</v>
      </c>
      <c r="L1817">
        <f>_xlfn.XLOOKUP(C1817, dim_teams[team_name], dim_teams[team_id], "Not found", 0)</f>
        <v>2</v>
      </c>
    </row>
    <row r="1818" spans="1:12" x14ac:dyDescent="0.3">
      <c r="A1818" t="s">
        <v>495</v>
      </c>
      <c r="B1818">
        <v>2022</v>
      </c>
      <c r="C1818" t="s">
        <v>21</v>
      </c>
      <c r="D1818">
        <v>38</v>
      </c>
      <c r="E1818">
        <v>43</v>
      </c>
      <c r="F1818">
        <v>4</v>
      </c>
      <c r="G1818">
        <v>1</v>
      </c>
      <c r="H1818">
        <v>7</v>
      </c>
      <c r="I1818">
        <v>7</v>
      </c>
      <c r="J1818">
        <v>88.37</v>
      </c>
      <c r="K1818">
        <v>5.43</v>
      </c>
      <c r="L1818">
        <f>_xlfn.XLOOKUP(C1818, dim_teams[team_name], dim_teams[team_id], "Not found", 0)</f>
        <v>2</v>
      </c>
    </row>
    <row r="1819" spans="1:12" x14ac:dyDescent="0.3">
      <c r="A1819" t="s">
        <v>495</v>
      </c>
      <c r="B1819">
        <v>2023</v>
      </c>
      <c r="C1819" t="s">
        <v>21</v>
      </c>
      <c r="D1819">
        <v>33</v>
      </c>
      <c r="E1819">
        <v>28</v>
      </c>
      <c r="F1819">
        <v>3</v>
      </c>
      <c r="G1819">
        <v>0</v>
      </c>
      <c r="H1819">
        <v>3</v>
      </c>
      <c r="I1819">
        <v>5</v>
      </c>
      <c r="J1819">
        <v>117.86</v>
      </c>
      <c r="K1819">
        <v>11</v>
      </c>
      <c r="L1819">
        <f>_xlfn.XLOOKUP(C1819, dim_teams[team_name], dim_teams[team_id], "Not found", 0)</f>
        <v>2</v>
      </c>
    </row>
    <row r="1820" spans="1:12" x14ac:dyDescent="0.3">
      <c r="A1820" t="s">
        <v>495</v>
      </c>
      <c r="B1820">
        <v>2025</v>
      </c>
      <c r="C1820" t="s">
        <v>17</v>
      </c>
      <c r="D1820">
        <v>9</v>
      </c>
      <c r="E1820">
        <v>15</v>
      </c>
      <c r="F1820">
        <v>0</v>
      </c>
      <c r="G1820">
        <v>0</v>
      </c>
      <c r="H1820">
        <v>5</v>
      </c>
      <c r="I1820">
        <v>5</v>
      </c>
      <c r="J1820">
        <v>60</v>
      </c>
      <c r="K1820">
        <v>1.8</v>
      </c>
      <c r="L1820">
        <f>_xlfn.XLOOKUP(C1820, dim_teams[team_name], dim_teams[team_id], "Not found", 0)</f>
        <v>5</v>
      </c>
    </row>
    <row r="1821" spans="1:12" x14ac:dyDescent="0.3">
      <c r="A1821" t="s">
        <v>496</v>
      </c>
      <c r="B1821">
        <v>2008</v>
      </c>
      <c r="C1821" t="s">
        <v>17</v>
      </c>
      <c r="D1821">
        <v>5</v>
      </c>
      <c r="E1821">
        <v>8</v>
      </c>
      <c r="F1821">
        <v>0</v>
      </c>
      <c r="G1821">
        <v>0</v>
      </c>
      <c r="H1821">
        <v>0</v>
      </c>
      <c r="I1821">
        <v>2</v>
      </c>
      <c r="J1821">
        <v>62.5</v>
      </c>
      <c r="L1821">
        <f>_xlfn.XLOOKUP(C1821, dim_teams[team_name], dim_teams[team_id], "Not found", 0)</f>
        <v>5</v>
      </c>
    </row>
    <row r="1822" spans="1:12" x14ac:dyDescent="0.3">
      <c r="A1822" t="s">
        <v>496</v>
      </c>
      <c r="B1822">
        <v>2009</v>
      </c>
      <c r="C1822" t="s">
        <v>21</v>
      </c>
      <c r="D1822">
        <v>1</v>
      </c>
      <c r="E1822">
        <v>2</v>
      </c>
      <c r="F1822">
        <v>0</v>
      </c>
      <c r="G1822">
        <v>0</v>
      </c>
      <c r="H1822">
        <v>1</v>
      </c>
      <c r="I1822">
        <v>2</v>
      </c>
      <c r="J1822">
        <v>50</v>
      </c>
      <c r="K1822">
        <v>1</v>
      </c>
      <c r="L1822">
        <f>_xlfn.XLOOKUP(C1822, dim_teams[team_name], dim_teams[team_id], "Not found", 0)</f>
        <v>2</v>
      </c>
    </row>
    <row r="1823" spans="1:12" x14ac:dyDescent="0.3">
      <c r="A1823" t="s">
        <v>496</v>
      </c>
      <c r="B1823">
        <v>2010</v>
      </c>
      <c r="C1823" t="s">
        <v>21</v>
      </c>
      <c r="D1823">
        <v>1</v>
      </c>
      <c r="E1823">
        <v>2</v>
      </c>
      <c r="F1823">
        <v>0</v>
      </c>
      <c r="G1823">
        <v>0</v>
      </c>
      <c r="H1823">
        <v>1</v>
      </c>
      <c r="I1823">
        <v>1</v>
      </c>
      <c r="J1823">
        <v>50</v>
      </c>
      <c r="K1823">
        <v>1</v>
      </c>
      <c r="L1823">
        <f>_xlfn.XLOOKUP(C1823, dim_teams[team_name], dim_teams[team_id], "Not found", 0)</f>
        <v>2</v>
      </c>
    </row>
    <row r="1824" spans="1:12" x14ac:dyDescent="0.3">
      <c r="A1824" t="s">
        <v>497</v>
      </c>
      <c r="B1824">
        <v>2013</v>
      </c>
      <c r="C1824" t="s">
        <v>37</v>
      </c>
      <c r="D1824">
        <v>5</v>
      </c>
      <c r="E1824">
        <v>9</v>
      </c>
      <c r="F1824">
        <v>0</v>
      </c>
      <c r="G1824">
        <v>0</v>
      </c>
      <c r="H1824">
        <v>1</v>
      </c>
      <c r="I1824">
        <v>2</v>
      </c>
      <c r="J1824">
        <v>55.56</v>
      </c>
      <c r="K1824">
        <v>5</v>
      </c>
      <c r="L1824">
        <f>_xlfn.XLOOKUP(C1824, dim_teams[team_name], dim_teams[team_id], "Not found", 0)</f>
        <v>10</v>
      </c>
    </row>
    <row r="1825" spans="1:12" x14ac:dyDescent="0.3">
      <c r="A1825" t="s">
        <v>497</v>
      </c>
      <c r="B1825">
        <v>2015</v>
      </c>
      <c r="C1825" t="s">
        <v>13</v>
      </c>
      <c r="D1825">
        <v>2</v>
      </c>
      <c r="E1825">
        <v>2</v>
      </c>
      <c r="F1825">
        <v>0</v>
      </c>
      <c r="G1825">
        <v>0</v>
      </c>
      <c r="H1825">
        <v>0</v>
      </c>
      <c r="I1825">
        <v>1</v>
      </c>
      <c r="J1825">
        <v>100</v>
      </c>
      <c r="L1825">
        <f>_xlfn.XLOOKUP(C1825, dim_teams[team_name], dim_teams[team_id], "Not found", 0)</f>
        <v>11</v>
      </c>
    </row>
    <row r="1826" spans="1:12" x14ac:dyDescent="0.3">
      <c r="A1826" t="s">
        <v>497</v>
      </c>
      <c r="B1826">
        <v>2016</v>
      </c>
      <c r="C1826" t="s">
        <v>21</v>
      </c>
      <c r="D1826">
        <v>10</v>
      </c>
      <c r="E1826">
        <v>9</v>
      </c>
      <c r="F1826">
        <v>1</v>
      </c>
      <c r="G1826">
        <v>0</v>
      </c>
      <c r="H1826">
        <v>1</v>
      </c>
      <c r="I1826">
        <v>1</v>
      </c>
      <c r="J1826">
        <v>111.11</v>
      </c>
      <c r="K1826">
        <v>10</v>
      </c>
      <c r="L1826">
        <f>_xlfn.XLOOKUP(C1826, dim_teams[team_name], dim_teams[team_id], "Not found", 0)</f>
        <v>2</v>
      </c>
    </row>
    <row r="1827" spans="1:12" x14ac:dyDescent="0.3">
      <c r="A1827" t="s">
        <v>498</v>
      </c>
      <c r="B1827">
        <v>2025</v>
      </c>
      <c r="C1827" t="s">
        <v>15</v>
      </c>
      <c r="D1827">
        <v>5</v>
      </c>
      <c r="E1827">
        <v>10</v>
      </c>
      <c r="F1827">
        <v>0</v>
      </c>
      <c r="G1827">
        <v>0</v>
      </c>
      <c r="H1827">
        <v>0</v>
      </c>
      <c r="I1827">
        <v>2</v>
      </c>
      <c r="J1827">
        <v>50</v>
      </c>
      <c r="L1827">
        <f>_xlfn.XLOOKUP(C1827, dim_teams[team_name], dim_teams[team_id], "Not found", 0)</f>
        <v>17</v>
      </c>
    </row>
    <row r="1828" spans="1:12" x14ac:dyDescent="0.3">
      <c r="A1828" t="s">
        <v>499</v>
      </c>
      <c r="B1828">
        <v>2025</v>
      </c>
      <c r="C1828" t="s">
        <v>76</v>
      </c>
      <c r="D1828">
        <v>545</v>
      </c>
      <c r="E1828">
        <v>298</v>
      </c>
      <c r="F1828">
        <v>60</v>
      </c>
      <c r="G1828">
        <v>31</v>
      </c>
      <c r="H1828">
        <v>18</v>
      </c>
      <c r="I1828">
        <v>18</v>
      </c>
      <c r="J1828">
        <v>182.89</v>
      </c>
      <c r="K1828">
        <v>30.28</v>
      </c>
      <c r="L1828">
        <f>_xlfn.XLOOKUP(C1828, dim_teams[team_name], dim_teams[team_id], "Not found", 0)</f>
        <v>16</v>
      </c>
    </row>
    <row r="1829" spans="1:12" x14ac:dyDescent="0.3">
      <c r="A1829" t="s">
        <v>500</v>
      </c>
      <c r="B1829">
        <v>2013</v>
      </c>
      <c r="C1829" t="s">
        <v>13</v>
      </c>
      <c r="D1829">
        <v>6</v>
      </c>
      <c r="E1829">
        <v>15</v>
      </c>
      <c r="F1829">
        <v>1</v>
      </c>
      <c r="G1829">
        <v>0</v>
      </c>
      <c r="H1829">
        <v>3</v>
      </c>
      <c r="I1829">
        <v>3</v>
      </c>
      <c r="J1829">
        <v>40</v>
      </c>
      <c r="K1829">
        <v>2</v>
      </c>
      <c r="L1829">
        <f>_xlfn.XLOOKUP(C1829, dim_teams[team_name], dim_teams[team_id], "Not found", 0)</f>
        <v>11</v>
      </c>
    </row>
    <row r="1830" spans="1:12" x14ac:dyDescent="0.3">
      <c r="A1830" t="s">
        <v>500</v>
      </c>
      <c r="B1830">
        <v>2014</v>
      </c>
      <c r="C1830" t="s">
        <v>32</v>
      </c>
      <c r="D1830">
        <v>153</v>
      </c>
      <c r="E1830">
        <v>130</v>
      </c>
      <c r="F1830">
        <v>19</v>
      </c>
      <c r="G1830">
        <v>4</v>
      </c>
      <c r="H1830">
        <v>6</v>
      </c>
      <c r="I1830">
        <v>7</v>
      </c>
      <c r="J1830">
        <v>117.69</v>
      </c>
      <c r="K1830">
        <v>25.5</v>
      </c>
      <c r="L1830">
        <f>_xlfn.XLOOKUP(C1830, dim_teams[team_name], dim_teams[team_id], "Not found", 0)</f>
        <v>6</v>
      </c>
    </row>
    <row r="1831" spans="1:12" x14ac:dyDescent="0.3">
      <c r="A1831" t="s">
        <v>500</v>
      </c>
      <c r="B1831">
        <v>2015</v>
      </c>
      <c r="C1831" t="s">
        <v>32</v>
      </c>
      <c r="D1831">
        <v>122</v>
      </c>
      <c r="E1831">
        <v>77</v>
      </c>
      <c r="F1831">
        <v>18</v>
      </c>
      <c r="G1831">
        <v>4</v>
      </c>
      <c r="H1831">
        <v>3</v>
      </c>
      <c r="I1831">
        <v>3</v>
      </c>
      <c r="J1831">
        <v>158.44</v>
      </c>
      <c r="K1831">
        <v>40.67</v>
      </c>
      <c r="L1831">
        <f>_xlfn.XLOOKUP(C1831, dim_teams[team_name], dim_teams[team_id], "Not found", 0)</f>
        <v>6</v>
      </c>
    </row>
    <row r="1832" spans="1:12" x14ac:dyDescent="0.3">
      <c r="A1832" t="s">
        <v>500</v>
      </c>
      <c r="B1832">
        <v>2016</v>
      </c>
      <c r="C1832" t="s">
        <v>32</v>
      </c>
      <c r="D1832">
        <v>445</v>
      </c>
      <c r="E1832">
        <v>326</v>
      </c>
      <c r="F1832">
        <v>52</v>
      </c>
      <c r="G1832">
        <v>13</v>
      </c>
      <c r="H1832">
        <v>13</v>
      </c>
      <c r="I1832">
        <v>13</v>
      </c>
      <c r="J1832">
        <v>136.5</v>
      </c>
      <c r="K1832">
        <v>34.229999999999997</v>
      </c>
      <c r="L1832">
        <f>_xlfn.XLOOKUP(C1832, dim_teams[team_name], dim_teams[team_id], "Not found", 0)</f>
        <v>6</v>
      </c>
    </row>
    <row r="1833" spans="1:12" x14ac:dyDescent="0.3">
      <c r="A1833" t="s">
        <v>500</v>
      </c>
      <c r="B1833">
        <v>2018</v>
      </c>
      <c r="C1833" t="s">
        <v>21</v>
      </c>
      <c r="D1833">
        <v>201</v>
      </c>
      <c r="E1833">
        <v>162</v>
      </c>
      <c r="F1833">
        <v>20</v>
      </c>
      <c r="G1833">
        <v>8</v>
      </c>
      <c r="H1833">
        <v>7</v>
      </c>
      <c r="I1833">
        <v>8</v>
      </c>
      <c r="J1833">
        <v>124.07</v>
      </c>
      <c r="K1833">
        <v>28.71</v>
      </c>
      <c r="L1833">
        <f>_xlfn.XLOOKUP(C1833, dim_teams[team_name], dim_teams[team_id], "Not found", 0)</f>
        <v>2</v>
      </c>
    </row>
    <row r="1834" spans="1:12" x14ac:dyDescent="0.3">
      <c r="A1834" t="s">
        <v>500</v>
      </c>
      <c r="B1834">
        <v>2019</v>
      </c>
      <c r="C1834" t="s">
        <v>23</v>
      </c>
      <c r="D1834">
        <v>529</v>
      </c>
      <c r="E1834">
        <v>396</v>
      </c>
      <c r="F1834">
        <v>45</v>
      </c>
      <c r="G1834">
        <v>25</v>
      </c>
      <c r="H1834">
        <v>14</v>
      </c>
      <c r="I1834">
        <v>16</v>
      </c>
      <c r="J1834">
        <v>133.59</v>
      </c>
      <c r="K1834">
        <v>37.79</v>
      </c>
      <c r="L1834">
        <f>_xlfn.XLOOKUP(C1834, dim_teams[team_name], dim_teams[team_id], "Not found", 0)</f>
        <v>7</v>
      </c>
    </row>
    <row r="1835" spans="1:12" x14ac:dyDescent="0.3">
      <c r="A1835" t="s">
        <v>500</v>
      </c>
      <c r="B1835">
        <v>2020</v>
      </c>
      <c r="C1835" t="s">
        <v>23</v>
      </c>
      <c r="D1835">
        <v>506</v>
      </c>
      <c r="E1835">
        <v>361</v>
      </c>
      <c r="F1835">
        <v>46</v>
      </c>
      <c r="G1835">
        <v>22</v>
      </c>
      <c r="H1835">
        <v>15</v>
      </c>
      <c r="I1835">
        <v>16</v>
      </c>
      <c r="J1835">
        <v>140.16999999999999</v>
      </c>
      <c r="K1835">
        <v>33.729999999999997</v>
      </c>
      <c r="L1835">
        <f>_xlfn.XLOOKUP(C1835, dim_teams[team_name], dim_teams[team_id], "Not found", 0)</f>
        <v>7</v>
      </c>
    </row>
    <row r="1836" spans="1:12" x14ac:dyDescent="0.3">
      <c r="A1836" t="s">
        <v>500</v>
      </c>
      <c r="B1836">
        <v>2021</v>
      </c>
      <c r="C1836" t="s">
        <v>23</v>
      </c>
      <c r="D1836">
        <v>297</v>
      </c>
      <c r="E1836">
        <v>255</v>
      </c>
      <c r="F1836">
        <v>29</v>
      </c>
      <c r="G1836">
        <v>7</v>
      </c>
      <c r="H1836">
        <v>10</v>
      </c>
      <c r="I1836">
        <v>11</v>
      </c>
      <c r="J1836">
        <v>116.47</v>
      </c>
      <c r="K1836">
        <v>29.7</v>
      </c>
      <c r="L1836">
        <f>_xlfn.XLOOKUP(C1836, dim_teams[team_name], dim_teams[team_id], "Not found", 0)</f>
        <v>7</v>
      </c>
    </row>
    <row r="1837" spans="1:12" x14ac:dyDescent="0.3">
      <c r="A1837" t="s">
        <v>500</v>
      </c>
      <c r="B1837">
        <v>2022</v>
      </c>
      <c r="C1837" t="s">
        <v>15</v>
      </c>
      <c r="D1837">
        <v>508</v>
      </c>
      <c r="E1837">
        <v>340</v>
      </c>
      <c r="F1837">
        <v>47</v>
      </c>
      <c r="G1837">
        <v>23</v>
      </c>
      <c r="H1837">
        <v>15</v>
      </c>
      <c r="I1837">
        <v>15</v>
      </c>
      <c r="J1837">
        <v>149.41</v>
      </c>
      <c r="K1837">
        <v>33.869999999999997</v>
      </c>
      <c r="L1837">
        <f>_xlfn.XLOOKUP(C1837, dim_teams[team_name], dim_teams[team_id], "Not found", 0)</f>
        <v>17</v>
      </c>
    </row>
    <row r="1838" spans="1:12" x14ac:dyDescent="0.3">
      <c r="A1838" t="s">
        <v>500</v>
      </c>
      <c r="B1838">
        <v>2023</v>
      </c>
      <c r="C1838" t="s">
        <v>15</v>
      </c>
      <c r="D1838">
        <v>143</v>
      </c>
      <c r="E1838">
        <v>101</v>
      </c>
      <c r="F1838">
        <v>10</v>
      </c>
      <c r="G1838">
        <v>8</v>
      </c>
      <c r="H1838">
        <v>4</v>
      </c>
      <c r="I1838">
        <v>4</v>
      </c>
      <c r="J1838">
        <v>141.58000000000001</v>
      </c>
      <c r="K1838">
        <v>35.75</v>
      </c>
      <c r="L1838">
        <f>_xlfn.XLOOKUP(C1838, dim_teams[team_name], dim_teams[team_id], "Not found", 0)</f>
        <v>17</v>
      </c>
    </row>
    <row r="1839" spans="1:12" x14ac:dyDescent="0.3">
      <c r="A1839" t="s">
        <v>500</v>
      </c>
      <c r="B1839">
        <v>2024</v>
      </c>
      <c r="C1839" t="s">
        <v>15</v>
      </c>
      <c r="D1839">
        <v>250</v>
      </c>
      <c r="E1839">
        <v>186</v>
      </c>
      <c r="F1839">
        <v>29</v>
      </c>
      <c r="G1839">
        <v>9</v>
      </c>
      <c r="H1839">
        <v>11</v>
      </c>
      <c r="I1839">
        <v>11</v>
      </c>
      <c r="J1839">
        <v>134.41</v>
      </c>
      <c r="K1839">
        <v>22.73</v>
      </c>
      <c r="L1839">
        <f>_xlfn.XLOOKUP(C1839, dim_teams[team_name], dim_teams[team_id], "Not found", 0)</f>
        <v>17</v>
      </c>
    </row>
    <row r="1840" spans="1:12" x14ac:dyDescent="0.3">
      <c r="A1840" t="s">
        <v>500</v>
      </c>
      <c r="B1840">
        <v>2025</v>
      </c>
      <c r="C1840" t="s">
        <v>19</v>
      </c>
      <c r="D1840">
        <v>152</v>
      </c>
      <c r="E1840">
        <v>116</v>
      </c>
      <c r="F1840">
        <v>9</v>
      </c>
      <c r="G1840">
        <v>11</v>
      </c>
      <c r="H1840">
        <v>7</v>
      </c>
      <c r="I1840">
        <v>8</v>
      </c>
      <c r="J1840">
        <v>131.03</v>
      </c>
      <c r="K1840">
        <v>21.71</v>
      </c>
      <c r="L1840">
        <f>_xlfn.XLOOKUP(C1840, dim_teams[team_name], dim_teams[team_id], "Not found", 0)</f>
        <v>1</v>
      </c>
    </row>
    <row r="1841" spans="1:12" x14ac:dyDescent="0.3">
      <c r="A1841" t="s">
        <v>501</v>
      </c>
      <c r="B1841">
        <v>2009</v>
      </c>
      <c r="C1841" t="s">
        <v>25</v>
      </c>
      <c r="D1841">
        <v>8</v>
      </c>
      <c r="E1841">
        <v>15</v>
      </c>
      <c r="F1841">
        <v>1</v>
      </c>
      <c r="G1841">
        <v>0</v>
      </c>
      <c r="H1841">
        <v>1</v>
      </c>
      <c r="I1841">
        <v>1</v>
      </c>
      <c r="J1841">
        <v>53.33</v>
      </c>
      <c r="K1841">
        <v>8</v>
      </c>
      <c r="L1841">
        <f>_xlfn.XLOOKUP(C1841, dim_teams[team_name], dim_teams[team_id], "Not found", 0)</f>
        <v>3</v>
      </c>
    </row>
    <row r="1842" spans="1:12" x14ac:dyDescent="0.3">
      <c r="A1842" t="s">
        <v>501</v>
      </c>
      <c r="B1842">
        <v>2010</v>
      </c>
      <c r="C1842" t="s">
        <v>25</v>
      </c>
      <c r="D1842">
        <v>30</v>
      </c>
      <c r="E1842">
        <v>40</v>
      </c>
      <c r="F1842">
        <v>2</v>
      </c>
      <c r="G1842">
        <v>0</v>
      </c>
      <c r="H1842">
        <v>3</v>
      </c>
      <c r="I1842">
        <v>6</v>
      </c>
      <c r="J1842">
        <v>75</v>
      </c>
      <c r="K1842">
        <v>10</v>
      </c>
      <c r="L1842">
        <f>_xlfn.XLOOKUP(C1842, dim_teams[team_name], dim_teams[team_id], "Not found", 0)</f>
        <v>3</v>
      </c>
    </row>
    <row r="1843" spans="1:12" x14ac:dyDescent="0.3">
      <c r="A1843" t="s">
        <v>501</v>
      </c>
      <c r="B1843">
        <v>2011</v>
      </c>
      <c r="C1843" t="s">
        <v>25</v>
      </c>
      <c r="D1843">
        <v>2</v>
      </c>
      <c r="E1843">
        <v>6</v>
      </c>
      <c r="F1843">
        <v>0</v>
      </c>
      <c r="G1843">
        <v>0</v>
      </c>
      <c r="H1843">
        <v>2</v>
      </c>
      <c r="I1843">
        <v>2</v>
      </c>
      <c r="J1843">
        <v>33.33</v>
      </c>
      <c r="K1843">
        <v>1</v>
      </c>
      <c r="L1843">
        <f>_xlfn.XLOOKUP(C1843, dim_teams[team_name], dim_teams[team_id], "Not found", 0)</f>
        <v>3</v>
      </c>
    </row>
    <row r="1844" spans="1:12" x14ac:dyDescent="0.3">
      <c r="A1844" t="s">
        <v>501</v>
      </c>
      <c r="B1844">
        <v>2012</v>
      </c>
      <c r="C1844" t="s">
        <v>25</v>
      </c>
      <c r="D1844">
        <v>18</v>
      </c>
      <c r="E1844">
        <v>15</v>
      </c>
      <c r="F1844">
        <v>2</v>
      </c>
      <c r="G1844">
        <v>0</v>
      </c>
      <c r="H1844">
        <v>3</v>
      </c>
      <c r="I1844">
        <v>5</v>
      </c>
      <c r="J1844">
        <v>120</v>
      </c>
      <c r="K1844">
        <v>6</v>
      </c>
      <c r="L1844">
        <f>_xlfn.XLOOKUP(C1844, dim_teams[team_name], dim_teams[team_id], "Not found", 0)</f>
        <v>3</v>
      </c>
    </row>
    <row r="1845" spans="1:12" x14ac:dyDescent="0.3">
      <c r="A1845" t="s">
        <v>501</v>
      </c>
      <c r="B1845">
        <v>2013</v>
      </c>
      <c r="C1845" t="s">
        <v>25</v>
      </c>
      <c r="D1845">
        <v>35</v>
      </c>
      <c r="E1845">
        <v>49</v>
      </c>
      <c r="F1845">
        <v>4</v>
      </c>
      <c r="G1845">
        <v>0</v>
      </c>
      <c r="H1845">
        <v>4</v>
      </c>
      <c r="I1845">
        <v>5</v>
      </c>
      <c r="J1845">
        <v>71.430000000000007</v>
      </c>
      <c r="K1845">
        <v>8.75</v>
      </c>
      <c r="L1845">
        <f>_xlfn.XLOOKUP(C1845, dim_teams[team_name], dim_teams[team_id], "Not found", 0)</f>
        <v>3</v>
      </c>
    </row>
    <row r="1846" spans="1:12" x14ac:dyDescent="0.3">
      <c r="A1846" t="s">
        <v>501</v>
      </c>
      <c r="B1846">
        <v>2014</v>
      </c>
      <c r="C1846" t="s">
        <v>25</v>
      </c>
      <c r="D1846">
        <v>45</v>
      </c>
      <c r="E1846">
        <v>45</v>
      </c>
      <c r="F1846">
        <v>4</v>
      </c>
      <c r="G1846">
        <v>0</v>
      </c>
      <c r="H1846">
        <v>2</v>
      </c>
      <c r="I1846">
        <v>5</v>
      </c>
      <c r="J1846">
        <v>100</v>
      </c>
      <c r="K1846">
        <v>22.5</v>
      </c>
      <c r="L1846">
        <f>_xlfn.XLOOKUP(C1846, dim_teams[team_name], dim_teams[team_id], "Not found", 0)</f>
        <v>3</v>
      </c>
    </row>
    <row r="1847" spans="1:12" x14ac:dyDescent="0.3">
      <c r="A1847" t="s">
        <v>501</v>
      </c>
      <c r="B1847">
        <v>2015</v>
      </c>
      <c r="C1847" t="s">
        <v>25</v>
      </c>
      <c r="D1847">
        <v>52</v>
      </c>
      <c r="E1847">
        <v>32</v>
      </c>
      <c r="F1847">
        <v>6</v>
      </c>
      <c r="G1847">
        <v>1</v>
      </c>
      <c r="H1847">
        <v>3</v>
      </c>
      <c r="I1847">
        <v>6</v>
      </c>
      <c r="J1847">
        <v>162.5</v>
      </c>
      <c r="K1847">
        <v>17.329999999999998</v>
      </c>
      <c r="L1847">
        <f>_xlfn.XLOOKUP(C1847, dim_teams[team_name], dim_teams[team_id], "Not found", 0)</f>
        <v>3</v>
      </c>
    </row>
    <row r="1848" spans="1:12" x14ac:dyDescent="0.3">
      <c r="A1848" t="s">
        <v>501</v>
      </c>
      <c r="B1848">
        <v>2016</v>
      </c>
      <c r="C1848" t="s">
        <v>45</v>
      </c>
      <c r="D1848">
        <v>41</v>
      </c>
      <c r="E1848">
        <v>38</v>
      </c>
      <c r="F1848">
        <v>3</v>
      </c>
      <c r="G1848">
        <v>1</v>
      </c>
      <c r="H1848">
        <v>2</v>
      </c>
      <c r="I1848">
        <v>6</v>
      </c>
      <c r="J1848">
        <v>107.89</v>
      </c>
      <c r="K1848">
        <v>20.5</v>
      </c>
      <c r="L1848">
        <f>_xlfn.XLOOKUP(C1848, dim_teams[team_name], dim_teams[team_id], "Not found", 0)</f>
        <v>12</v>
      </c>
    </row>
    <row r="1849" spans="1:12" x14ac:dyDescent="0.3">
      <c r="A1849" t="s">
        <v>501</v>
      </c>
      <c r="B1849">
        <v>2018</v>
      </c>
      <c r="C1849" t="s">
        <v>54</v>
      </c>
      <c r="D1849">
        <v>102</v>
      </c>
      <c r="E1849">
        <v>71</v>
      </c>
      <c r="F1849">
        <v>7</v>
      </c>
      <c r="G1849">
        <v>5</v>
      </c>
      <c r="H1849">
        <v>8</v>
      </c>
      <c r="I1849">
        <v>8</v>
      </c>
      <c r="J1849">
        <v>143.66</v>
      </c>
      <c r="K1849">
        <v>12.75</v>
      </c>
      <c r="L1849">
        <f>_xlfn.XLOOKUP(C1849, dim_teams[team_name], dim_teams[team_id], "Not found", 0)</f>
        <v>4</v>
      </c>
    </row>
    <row r="1850" spans="1:12" x14ac:dyDescent="0.3">
      <c r="A1850" t="s">
        <v>501</v>
      </c>
      <c r="B1850">
        <v>2019</v>
      </c>
      <c r="C1850" t="s">
        <v>54</v>
      </c>
      <c r="D1850">
        <v>42</v>
      </c>
      <c r="E1850">
        <v>28</v>
      </c>
      <c r="F1850">
        <v>3</v>
      </c>
      <c r="G1850">
        <v>3</v>
      </c>
      <c r="H1850">
        <v>5</v>
      </c>
      <c r="I1850">
        <v>6</v>
      </c>
      <c r="J1850">
        <v>150</v>
      </c>
      <c r="K1850">
        <v>8.4</v>
      </c>
      <c r="L1850">
        <f>_xlfn.XLOOKUP(C1850, dim_teams[team_name], dim_teams[team_id], "Not found", 0)</f>
        <v>4</v>
      </c>
    </row>
    <row r="1851" spans="1:12" x14ac:dyDescent="0.3">
      <c r="A1851" t="s">
        <v>501</v>
      </c>
      <c r="B1851">
        <v>2020</v>
      </c>
      <c r="C1851" t="s">
        <v>33</v>
      </c>
      <c r="D1851">
        <v>37</v>
      </c>
      <c r="E1851">
        <v>34</v>
      </c>
      <c r="F1851">
        <v>3</v>
      </c>
      <c r="G1851">
        <v>1</v>
      </c>
      <c r="H1851">
        <v>3</v>
      </c>
      <c r="I1851">
        <v>5</v>
      </c>
      <c r="J1851">
        <v>108.82</v>
      </c>
      <c r="K1851">
        <v>12.33</v>
      </c>
      <c r="L1851">
        <f>_xlfn.XLOOKUP(C1851, dim_teams[team_name], dim_teams[team_id], "Not found", 0)</f>
        <v>15</v>
      </c>
    </row>
    <row r="1852" spans="1:12" x14ac:dyDescent="0.3">
      <c r="A1852" t="s">
        <v>501</v>
      </c>
      <c r="B1852">
        <v>2021</v>
      </c>
      <c r="C1852" t="s">
        <v>33</v>
      </c>
      <c r="D1852">
        <v>44</v>
      </c>
      <c r="E1852">
        <v>42</v>
      </c>
      <c r="F1852">
        <v>2</v>
      </c>
      <c r="G1852">
        <v>1</v>
      </c>
      <c r="H1852">
        <v>3</v>
      </c>
      <c r="I1852">
        <v>5</v>
      </c>
      <c r="J1852">
        <v>104.76</v>
      </c>
      <c r="K1852">
        <v>14.67</v>
      </c>
      <c r="L1852">
        <f>_xlfn.XLOOKUP(C1852, dim_teams[team_name], dim_teams[team_id], "Not found", 0)</f>
        <v>15</v>
      </c>
    </row>
    <row r="1853" spans="1:12" x14ac:dyDescent="0.3">
      <c r="A1853" t="s">
        <v>501</v>
      </c>
      <c r="B1853">
        <v>2022</v>
      </c>
      <c r="C1853" t="s">
        <v>17</v>
      </c>
      <c r="D1853">
        <v>191</v>
      </c>
      <c r="E1853">
        <v>134</v>
      </c>
      <c r="F1853">
        <v>14</v>
      </c>
      <c r="G1853">
        <v>9</v>
      </c>
      <c r="H1853">
        <v>9</v>
      </c>
      <c r="I1853">
        <v>12</v>
      </c>
      <c r="J1853">
        <v>142.54</v>
      </c>
      <c r="K1853">
        <v>21.22</v>
      </c>
      <c r="L1853">
        <f>_xlfn.XLOOKUP(C1853, dim_teams[team_name], dim_teams[team_id], "Not found", 0)</f>
        <v>5</v>
      </c>
    </row>
    <row r="1854" spans="1:12" x14ac:dyDescent="0.3">
      <c r="A1854" t="s">
        <v>501</v>
      </c>
      <c r="B1854">
        <v>2023</v>
      </c>
      <c r="C1854" t="s">
        <v>17</v>
      </c>
      <c r="D1854">
        <v>67</v>
      </c>
      <c r="E1854">
        <v>51</v>
      </c>
      <c r="F1854">
        <v>5</v>
      </c>
      <c r="G1854">
        <v>3</v>
      </c>
      <c r="H1854">
        <v>5</v>
      </c>
      <c r="I1854">
        <v>9</v>
      </c>
      <c r="J1854">
        <v>131.37</v>
      </c>
      <c r="K1854">
        <v>13.4</v>
      </c>
      <c r="L1854">
        <f>_xlfn.XLOOKUP(C1854, dim_teams[team_name], dim_teams[team_id], "Not found", 0)</f>
        <v>5</v>
      </c>
    </row>
    <row r="1855" spans="1:12" x14ac:dyDescent="0.3">
      <c r="A1855" t="s">
        <v>501</v>
      </c>
      <c r="B1855">
        <v>2024</v>
      </c>
      <c r="C1855" t="s">
        <v>17</v>
      </c>
      <c r="D1855">
        <v>86</v>
      </c>
      <c r="E1855">
        <v>74</v>
      </c>
      <c r="F1855">
        <v>5</v>
      </c>
      <c r="G1855">
        <v>4</v>
      </c>
      <c r="H1855">
        <v>6</v>
      </c>
      <c r="I1855">
        <v>8</v>
      </c>
      <c r="J1855">
        <v>116.22</v>
      </c>
      <c r="K1855">
        <v>14.33</v>
      </c>
      <c r="L1855">
        <f>_xlfn.XLOOKUP(C1855, dim_teams[team_name], dim_teams[team_id], "Not found", 0)</f>
        <v>5</v>
      </c>
    </row>
    <row r="1856" spans="1:12" x14ac:dyDescent="0.3">
      <c r="A1856" t="s">
        <v>501</v>
      </c>
      <c r="B1856">
        <v>2025</v>
      </c>
      <c r="C1856" t="s">
        <v>25</v>
      </c>
      <c r="D1856">
        <v>33</v>
      </c>
      <c r="E1856">
        <v>29</v>
      </c>
      <c r="F1856">
        <v>3</v>
      </c>
      <c r="G1856">
        <v>1</v>
      </c>
      <c r="H1856">
        <v>4</v>
      </c>
      <c r="I1856">
        <v>4</v>
      </c>
      <c r="J1856">
        <v>113.79</v>
      </c>
      <c r="K1856">
        <v>8.25</v>
      </c>
      <c r="L1856">
        <f>_xlfn.XLOOKUP(C1856, dim_teams[team_name], dim_teams[team_id], "Not found", 0)</f>
        <v>3</v>
      </c>
    </row>
    <row r="1857" spans="1:12" x14ac:dyDescent="0.3">
      <c r="A1857" t="s">
        <v>502</v>
      </c>
      <c r="B1857">
        <v>2008</v>
      </c>
      <c r="C1857" t="s">
        <v>32</v>
      </c>
      <c r="D1857">
        <v>34</v>
      </c>
      <c r="E1857">
        <v>28</v>
      </c>
      <c r="F1857">
        <v>2</v>
      </c>
      <c r="G1857">
        <v>2</v>
      </c>
      <c r="H1857">
        <v>2</v>
      </c>
      <c r="I1857">
        <v>3</v>
      </c>
      <c r="J1857">
        <v>121.43</v>
      </c>
      <c r="K1857">
        <v>17</v>
      </c>
      <c r="L1857">
        <f>_xlfn.XLOOKUP(C1857, dim_teams[team_name], dim_teams[team_id], "Not found", 0)</f>
        <v>6</v>
      </c>
    </row>
    <row r="1858" spans="1:12" x14ac:dyDescent="0.3">
      <c r="A1858" t="s">
        <v>502</v>
      </c>
      <c r="B1858">
        <v>2009</v>
      </c>
      <c r="C1858" t="s">
        <v>32</v>
      </c>
      <c r="D1858">
        <v>8</v>
      </c>
      <c r="E1858">
        <v>18</v>
      </c>
      <c r="F1858">
        <v>1</v>
      </c>
      <c r="G1858">
        <v>0</v>
      </c>
      <c r="H1858">
        <v>5</v>
      </c>
      <c r="I1858">
        <v>5</v>
      </c>
      <c r="J1858">
        <v>44.44</v>
      </c>
      <c r="K1858">
        <v>1.6</v>
      </c>
      <c r="L1858">
        <f>_xlfn.XLOOKUP(C1858, dim_teams[team_name], dim_teams[team_id], "Not found", 0)</f>
        <v>6</v>
      </c>
    </row>
    <row r="1859" spans="1:12" x14ac:dyDescent="0.3">
      <c r="A1859" t="s">
        <v>502</v>
      </c>
      <c r="B1859">
        <v>2010</v>
      </c>
      <c r="C1859" t="s">
        <v>32</v>
      </c>
      <c r="D1859">
        <v>24</v>
      </c>
      <c r="E1859">
        <v>17</v>
      </c>
      <c r="F1859">
        <v>1</v>
      </c>
      <c r="G1859">
        <v>2</v>
      </c>
      <c r="H1859">
        <v>3</v>
      </c>
      <c r="I1859">
        <v>3</v>
      </c>
      <c r="J1859">
        <v>141.18</v>
      </c>
      <c r="K1859">
        <v>8</v>
      </c>
      <c r="L1859">
        <f>_xlfn.XLOOKUP(C1859, dim_teams[team_name], dim_teams[team_id], "Not found", 0)</f>
        <v>6</v>
      </c>
    </row>
    <row r="1860" spans="1:12" x14ac:dyDescent="0.3">
      <c r="A1860" t="s">
        <v>502</v>
      </c>
      <c r="B1860">
        <v>2011</v>
      </c>
      <c r="C1860" t="s">
        <v>19</v>
      </c>
      <c r="D1860">
        <v>25</v>
      </c>
      <c r="E1860">
        <v>22</v>
      </c>
      <c r="F1860">
        <v>3</v>
      </c>
      <c r="G1860">
        <v>0</v>
      </c>
      <c r="H1860">
        <v>2</v>
      </c>
      <c r="I1860">
        <v>6</v>
      </c>
      <c r="J1860">
        <v>113.64</v>
      </c>
      <c r="K1860">
        <v>12.5</v>
      </c>
      <c r="L1860">
        <f>_xlfn.XLOOKUP(C1860, dim_teams[team_name], dim_teams[team_id], "Not found", 0)</f>
        <v>1</v>
      </c>
    </row>
    <row r="1861" spans="1:12" x14ac:dyDescent="0.3">
      <c r="A1861" t="s">
        <v>502</v>
      </c>
      <c r="B1861">
        <v>2012</v>
      </c>
      <c r="C1861" t="s">
        <v>19</v>
      </c>
      <c r="D1861">
        <v>35</v>
      </c>
      <c r="E1861">
        <v>28</v>
      </c>
      <c r="F1861">
        <v>4</v>
      </c>
      <c r="G1861">
        <v>0</v>
      </c>
      <c r="H1861">
        <v>3</v>
      </c>
      <c r="I1861">
        <v>6</v>
      </c>
      <c r="J1861">
        <v>125</v>
      </c>
      <c r="K1861">
        <v>11.67</v>
      </c>
      <c r="L1861">
        <f>_xlfn.XLOOKUP(C1861, dim_teams[team_name], dim_teams[team_id], "Not found", 0)</f>
        <v>1</v>
      </c>
    </row>
    <row r="1862" spans="1:12" x14ac:dyDescent="0.3">
      <c r="A1862" t="s">
        <v>502</v>
      </c>
      <c r="B1862">
        <v>2013</v>
      </c>
      <c r="C1862" t="s">
        <v>19</v>
      </c>
      <c r="D1862">
        <v>99</v>
      </c>
      <c r="E1862">
        <v>80</v>
      </c>
      <c r="F1862">
        <v>8</v>
      </c>
      <c r="G1862">
        <v>3</v>
      </c>
      <c r="H1862">
        <v>6</v>
      </c>
      <c r="I1862">
        <v>10</v>
      </c>
      <c r="J1862">
        <v>123.75</v>
      </c>
      <c r="K1862">
        <v>16.5</v>
      </c>
      <c r="L1862">
        <f>_xlfn.XLOOKUP(C1862, dim_teams[team_name], dim_teams[team_id], "Not found", 0)</f>
        <v>1</v>
      </c>
    </row>
    <row r="1863" spans="1:12" x14ac:dyDescent="0.3">
      <c r="A1863" t="s">
        <v>502</v>
      </c>
      <c r="B1863">
        <v>2014</v>
      </c>
      <c r="C1863" t="s">
        <v>17</v>
      </c>
      <c r="D1863">
        <v>67</v>
      </c>
      <c r="E1863">
        <v>53</v>
      </c>
      <c r="F1863">
        <v>4</v>
      </c>
      <c r="G1863">
        <v>3</v>
      </c>
      <c r="H1863">
        <v>5</v>
      </c>
      <c r="I1863">
        <v>7</v>
      </c>
      <c r="J1863">
        <v>126.42</v>
      </c>
      <c r="K1863">
        <v>13.4</v>
      </c>
      <c r="L1863">
        <f>_xlfn.XLOOKUP(C1863, dim_teams[team_name], dim_teams[team_id], "Not found", 0)</f>
        <v>5</v>
      </c>
    </row>
    <row r="1864" spans="1:12" x14ac:dyDescent="0.3">
      <c r="A1864" t="s">
        <v>502</v>
      </c>
      <c r="B1864">
        <v>2015</v>
      </c>
      <c r="C1864" t="s">
        <v>17</v>
      </c>
      <c r="D1864">
        <v>0</v>
      </c>
      <c r="E1864">
        <v>1</v>
      </c>
      <c r="F1864">
        <v>0</v>
      </c>
      <c r="G1864">
        <v>0</v>
      </c>
      <c r="H1864">
        <v>1</v>
      </c>
      <c r="I1864">
        <v>1</v>
      </c>
      <c r="J1864">
        <v>0</v>
      </c>
      <c r="K1864">
        <v>0</v>
      </c>
      <c r="L1864">
        <f>_xlfn.XLOOKUP(C1864, dim_teams[team_name], dim_teams[team_id], "Not found", 0)</f>
        <v>5</v>
      </c>
    </row>
    <row r="1865" spans="1:12" x14ac:dyDescent="0.3">
      <c r="A1865" t="s">
        <v>502</v>
      </c>
      <c r="B1865">
        <v>2016</v>
      </c>
      <c r="C1865" t="s">
        <v>45</v>
      </c>
      <c r="D1865">
        <v>34</v>
      </c>
      <c r="E1865">
        <v>20</v>
      </c>
      <c r="F1865">
        <v>1</v>
      </c>
      <c r="G1865">
        <v>2</v>
      </c>
      <c r="H1865">
        <v>1</v>
      </c>
      <c r="I1865">
        <v>5</v>
      </c>
      <c r="J1865">
        <v>170</v>
      </c>
      <c r="K1865">
        <v>34</v>
      </c>
      <c r="L1865">
        <f>_xlfn.XLOOKUP(C1865, dim_teams[team_name], dim_teams[team_id], "Not found", 0)</f>
        <v>12</v>
      </c>
    </row>
    <row r="1866" spans="1:12" x14ac:dyDescent="0.3">
      <c r="A1866" t="s">
        <v>502</v>
      </c>
      <c r="B1866">
        <v>2017</v>
      </c>
      <c r="C1866" t="s">
        <v>46</v>
      </c>
      <c r="D1866">
        <v>16</v>
      </c>
      <c r="E1866">
        <v>17</v>
      </c>
      <c r="F1866">
        <v>0</v>
      </c>
      <c r="G1866">
        <v>1</v>
      </c>
      <c r="H1866">
        <v>1</v>
      </c>
      <c r="I1866">
        <v>1</v>
      </c>
      <c r="J1866">
        <v>94.12</v>
      </c>
      <c r="K1866">
        <v>16</v>
      </c>
      <c r="L1866">
        <f>_xlfn.XLOOKUP(C1866, dim_teams[team_name], dim_teams[team_id], "Not found", 0)</f>
        <v>14</v>
      </c>
    </row>
    <row r="1867" spans="1:12" x14ac:dyDescent="0.3">
      <c r="A1867" t="s">
        <v>503</v>
      </c>
      <c r="B1867">
        <v>2009</v>
      </c>
      <c r="C1867" t="s">
        <v>21</v>
      </c>
      <c r="D1867">
        <v>19</v>
      </c>
      <c r="E1867">
        <v>17</v>
      </c>
      <c r="F1867">
        <v>1</v>
      </c>
      <c r="G1867">
        <v>2</v>
      </c>
      <c r="H1867">
        <v>3</v>
      </c>
      <c r="I1867">
        <v>3</v>
      </c>
      <c r="J1867">
        <v>111.76</v>
      </c>
      <c r="K1867">
        <v>6.33</v>
      </c>
      <c r="L1867">
        <f>_xlfn.XLOOKUP(C1867, dim_teams[team_name], dim_teams[team_id], "Not found", 0)</f>
        <v>2</v>
      </c>
    </row>
    <row r="1868" spans="1:12" x14ac:dyDescent="0.3">
      <c r="A1868" t="s">
        <v>504</v>
      </c>
      <c r="B1868">
        <v>2013</v>
      </c>
      <c r="C1868" t="s">
        <v>23</v>
      </c>
      <c r="D1868">
        <v>21</v>
      </c>
      <c r="E1868">
        <v>21</v>
      </c>
      <c r="F1868">
        <v>3</v>
      </c>
      <c r="G1868">
        <v>0</v>
      </c>
      <c r="H1868">
        <v>3</v>
      </c>
      <c r="I1868">
        <v>4</v>
      </c>
      <c r="J1868">
        <v>100</v>
      </c>
      <c r="K1868">
        <v>7</v>
      </c>
      <c r="L1868">
        <f>_xlfn.XLOOKUP(C1868, dim_teams[team_name], dim_teams[team_id], "Not found", 0)</f>
        <v>7</v>
      </c>
    </row>
    <row r="1869" spans="1:12" x14ac:dyDescent="0.3">
      <c r="A1869" t="s">
        <v>504</v>
      </c>
      <c r="B1869">
        <v>2014</v>
      </c>
      <c r="C1869" t="s">
        <v>54</v>
      </c>
      <c r="D1869">
        <v>82</v>
      </c>
      <c r="E1869">
        <v>75</v>
      </c>
      <c r="F1869">
        <v>8</v>
      </c>
      <c r="G1869">
        <v>1</v>
      </c>
      <c r="H1869">
        <v>2</v>
      </c>
      <c r="I1869">
        <v>6</v>
      </c>
      <c r="J1869">
        <v>109.33</v>
      </c>
      <c r="K1869">
        <v>41</v>
      </c>
      <c r="L1869">
        <f>_xlfn.XLOOKUP(C1869, dim_teams[team_name], dim_teams[team_id], "Not found", 0)</f>
        <v>4</v>
      </c>
    </row>
    <row r="1870" spans="1:12" x14ac:dyDescent="0.3">
      <c r="A1870" t="s">
        <v>504</v>
      </c>
      <c r="B1870">
        <v>2015</v>
      </c>
      <c r="C1870" t="s">
        <v>54</v>
      </c>
      <c r="D1870">
        <v>36</v>
      </c>
      <c r="E1870">
        <v>33</v>
      </c>
      <c r="F1870">
        <v>2</v>
      </c>
      <c r="G1870">
        <v>2</v>
      </c>
      <c r="H1870">
        <v>2</v>
      </c>
      <c r="I1870">
        <v>4</v>
      </c>
      <c r="J1870">
        <v>109.09</v>
      </c>
      <c r="K1870">
        <v>18</v>
      </c>
      <c r="L1870">
        <f>_xlfn.XLOOKUP(C1870, dim_teams[team_name], dim_teams[team_id], "Not found", 0)</f>
        <v>4</v>
      </c>
    </row>
    <row r="1871" spans="1:12" x14ac:dyDescent="0.3">
      <c r="A1871" t="s">
        <v>504</v>
      </c>
      <c r="B1871">
        <v>2016</v>
      </c>
      <c r="C1871" t="s">
        <v>54</v>
      </c>
      <c r="D1871">
        <v>14</v>
      </c>
      <c r="E1871">
        <v>6</v>
      </c>
      <c r="F1871">
        <v>0</v>
      </c>
      <c r="G1871">
        <v>1</v>
      </c>
      <c r="H1871">
        <v>0</v>
      </c>
      <c r="I1871">
        <v>2</v>
      </c>
      <c r="J1871">
        <v>233.33</v>
      </c>
      <c r="L1871">
        <f>_xlfn.XLOOKUP(C1871, dim_teams[team_name], dim_teams[team_id], "Not found", 0)</f>
        <v>4</v>
      </c>
    </row>
    <row r="1872" spans="1:12" x14ac:dyDescent="0.3">
      <c r="A1872" t="s">
        <v>504</v>
      </c>
      <c r="B1872">
        <v>2022</v>
      </c>
      <c r="C1872" t="s">
        <v>76</v>
      </c>
      <c r="D1872">
        <v>37</v>
      </c>
      <c r="E1872">
        <v>40</v>
      </c>
      <c r="F1872">
        <v>4</v>
      </c>
      <c r="G1872">
        <v>2</v>
      </c>
      <c r="H1872">
        <v>2</v>
      </c>
      <c r="I1872">
        <v>4</v>
      </c>
      <c r="J1872">
        <v>92.5</v>
      </c>
      <c r="K1872">
        <v>18.5</v>
      </c>
      <c r="L1872">
        <f>_xlfn.XLOOKUP(C1872, dim_teams[team_name], dim_teams[team_id], "Not found", 0)</f>
        <v>16</v>
      </c>
    </row>
    <row r="1873" spans="1:12" x14ac:dyDescent="0.3">
      <c r="A1873" t="s">
        <v>504</v>
      </c>
      <c r="B1873">
        <v>2023</v>
      </c>
      <c r="C1873" t="s">
        <v>76</v>
      </c>
      <c r="D1873">
        <v>20</v>
      </c>
      <c r="E1873">
        <v>12</v>
      </c>
      <c r="F1873">
        <v>1</v>
      </c>
      <c r="G1873">
        <v>1</v>
      </c>
      <c r="H1873">
        <v>1</v>
      </c>
      <c r="I1873">
        <v>2</v>
      </c>
      <c r="J1873">
        <v>166.67</v>
      </c>
      <c r="K1873">
        <v>20</v>
      </c>
      <c r="L1873">
        <f>_xlfn.XLOOKUP(C1873, dim_teams[team_name], dim_teams[team_id], "Not found", 0)</f>
        <v>16</v>
      </c>
    </row>
    <row r="1874" spans="1:12" x14ac:dyDescent="0.3">
      <c r="A1874" t="s">
        <v>505</v>
      </c>
      <c r="B1874">
        <v>2008</v>
      </c>
      <c r="C1874" t="s">
        <v>21</v>
      </c>
      <c r="D1874">
        <v>371</v>
      </c>
      <c r="E1874">
        <v>297</v>
      </c>
      <c r="F1874">
        <v>35</v>
      </c>
      <c r="G1874">
        <v>11</v>
      </c>
      <c r="H1874">
        <v>14</v>
      </c>
      <c r="I1874">
        <v>14</v>
      </c>
      <c r="J1874">
        <v>124.92</v>
      </c>
      <c r="K1874">
        <v>26.5</v>
      </c>
      <c r="L1874">
        <f>_xlfn.XLOOKUP(C1874, dim_teams[team_name], dim_teams[team_id], "Not found", 0)</f>
        <v>2</v>
      </c>
    </row>
    <row r="1875" spans="1:12" x14ac:dyDescent="0.3">
      <c r="A1875" t="s">
        <v>505</v>
      </c>
      <c r="B1875">
        <v>2009</v>
      </c>
      <c r="C1875" t="s">
        <v>21</v>
      </c>
      <c r="D1875">
        <v>271</v>
      </c>
      <c r="E1875">
        <v>234</v>
      </c>
      <c r="F1875">
        <v>28</v>
      </c>
      <c r="G1875">
        <v>3</v>
      </c>
      <c r="H1875">
        <v>11</v>
      </c>
      <c r="I1875">
        <v>12</v>
      </c>
      <c r="J1875">
        <v>115.81</v>
      </c>
      <c r="K1875">
        <v>24.64</v>
      </c>
      <c r="L1875">
        <f>_xlfn.XLOOKUP(C1875, dim_teams[team_name], dim_teams[team_id], "Not found", 0)</f>
        <v>2</v>
      </c>
    </row>
    <row r="1876" spans="1:12" x14ac:dyDescent="0.3">
      <c r="A1876" t="s">
        <v>505</v>
      </c>
      <c r="B1876">
        <v>2010</v>
      </c>
      <c r="C1876" t="s">
        <v>21</v>
      </c>
      <c r="D1876">
        <v>256</v>
      </c>
      <c r="E1876">
        <v>199</v>
      </c>
      <c r="F1876">
        <v>34</v>
      </c>
      <c r="G1876">
        <v>3</v>
      </c>
      <c r="H1876">
        <v>9</v>
      </c>
      <c r="I1876">
        <v>11</v>
      </c>
      <c r="J1876">
        <v>128.63999999999999</v>
      </c>
      <c r="K1876">
        <v>28.44</v>
      </c>
      <c r="L1876">
        <f>_xlfn.XLOOKUP(C1876, dim_teams[team_name], dim_teams[team_id], "Not found", 0)</f>
        <v>2</v>
      </c>
    </row>
    <row r="1877" spans="1:12" x14ac:dyDescent="0.3">
      <c r="A1877" t="s">
        <v>505</v>
      </c>
      <c r="B1877">
        <v>2011</v>
      </c>
      <c r="C1877" t="s">
        <v>17</v>
      </c>
      <c r="D1877">
        <v>343</v>
      </c>
      <c r="E1877">
        <v>312</v>
      </c>
      <c r="F1877">
        <v>45</v>
      </c>
      <c r="G1877">
        <v>2</v>
      </c>
      <c r="H1877">
        <v>11</v>
      </c>
      <c r="I1877">
        <v>12</v>
      </c>
      <c r="J1877">
        <v>109.94</v>
      </c>
      <c r="K1877">
        <v>31.18</v>
      </c>
      <c r="L1877">
        <f>_xlfn.XLOOKUP(C1877, dim_teams[team_name], dim_teams[team_id], "Not found", 0)</f>
        <v>5</v>
      </c>
    </row>
    <row r="1878" spans="1:12" x14ac:dyDescent="0.3">
      <c r="A1878" t="s">
        <v>505</v>
      </c>
      <c r="B1878">
        <v>2012</v>
      </c>
      <c r="C1878" t="s">
        <v>17</v>
      </c>
      <c r="D1878">
        <v>462</v>
      </c>
      <c r="E1878">
        <v>412</v>
      </c>
      <c r="F1878">
        <v>63</v>
      </c>
      <c r="G1878">
        <v>4</v>
      </c>
      <c r="H1878">
        <v>16</v>
      </c>
      <c r="I1878">
        <v>16</v>
      </c>
      <c r="J1878">
        <v>112.14</v>
      </c>
      <c r="K1878">
        <v>28.88</v>
      </c>
      <c r="L1878">
        <f>_xlfn.XLOOKUP(C1878, dim_teams[team_name], dim_teams[team_id], "Not found", 0)</f>
        <v>5</v>
      </c>
    </row>
    <row r="1879" spans="1:12" x14ac:dyDescent="0.3">
      <c r="A1879" t="s">
        <v>505</v>
      </c>
      <c r="B1879">
        <v>2013</v>
      </c>
      <c r="C1879" t="s">
        <v>17</v>
      </c>
      <c r="D1879">
        <v>471</v>
      </c>
      <c r="E1879">
        <v>424</v>
      </c>
      <c r="F1879">
        <v>64</v>
      </c>
      <c r="G1879">
        <v>5</v>
      </c>
      <c r="H1879">
        <v>16</v>
      </c>
      <c r="I1879">
        <v>17</v>
      </c>
      <c r="J1879">
        <v>111.08</v>
      </c>
      <c r="K1879">
        <v>29.44</v>
      </c>
      <c r="L1879">
        <f>_xlfn.XLOOKUP(C1879, dim_teams[team_name], dim_teams[team_id], "Not found", 0)</f>
        <v>5</v>
      </c>
    </row>
    <row r="1880" spans="1:12" x14ac:dyDescent="0.3">
      <c r="A1880" t="s">
        <v>506</v>
      </c>
      <c r="B1880">
        <v>2010</v>
      </c>
      <c r="C1880" t="s">
        <v>23</v>
      </c>
      <c r="D1880">
        <v>66</v>
      </c>
      <c r="E1880">
        <v>69</v>
      </c>
      <c r="F1880">
        <v>7</v>
      </c>
      <c r="G1880">
        <v>0</v>
      </c>
      <c r="H1880">
        <v>3</v>
      </c>
      <c r="I1880">
        <v>7</v>
      </c>
      <c r="J1880">
        <v>95.65</v>
      </c>
      <c r="K1880">
        <v>22</v>
      </c>
      <c r="L1880">
        <f>_xlfn.XLOOKUP(C1880, dim_teams[team_name], dim_teams[team_id], "Not found", 0)</f>
        <v>7</v>
      </c>
    </row>
    <row r="1881" spans="1:12" x14ac:dyDescent="0.3">
      <c r="A1881" t="s">
        <v>506</v>
      </c>
      <c r="B1881">
        <v>2011</v>
      </c>
      <c r="C1881" t="s">
        <v>54</v>
      </c>
      <c r="D1881">
        <v>90</v>
      </c>
      <c r="E1881">
        <v>96</v>
      </c>
      <c r="F1881">
        <v>7</v>
      </c>
      <c r="G1881">
        <v>1</v>
      </c>
      <c r="H1881">
        <v>3</v>
      </c>
      <c r="I1881">
        <v>4</v>
      </c>
      <c r="J1881">
        <v>93.75</v>
      </c>
      <c r="K1881">
        <v>30</v>
      </c>
      <c r="L1881">
        <f>_xlfn.XLOOKUP(C1881, dim_teams[team_name], dim_teams[team_id], "Not found", 0)</f>
        <v>4</v>
      </c>
    </row>
    <row r="1882" spans="1:12" x14ac:dyDescent="0.3">
      <c r="A1882" t="s">
        <v>506</v>
      </c>
      <c r="B1882">
        <v>2013</v>
      </c>
      <c r="C1882" t="s">
        <v>19</v>
      </c>
      <c r="D1882">
        <v>3</v>
      </c>
      <c r="E1882">
        <v>6</v>
      </c>
      <c r="F1882">
        <v>0</v>
      </c>
      <c r="G1882">
        <v>0</v>
      </c>
      <c r="H1882">
        <v>2</v>
      </c>
      <c r="I1882">
        <v>2</v>
      </c>
      <c r="J1882">
        <v>50</v>
      </c>
      <c r="K1882">
        <v>1.5</v>
      </c>
      <c r="L1882">
        <f>_xlfn.XLOOKUP(C1882, dim_teams[team_name], dim_teams[team_id], "Not found", 0)</f>
        <v>1</v>
      </c>
    </row>
    <row r="1883" spans="1:12" x14ac:dyDescent="0.3">
      <c r="A1883" t="s">
        <v>507</v>
      </c>
      <c r="B1883">
        <v>2025</v>
      </c>
      <c r="C1883" t="s">
        <v>23</v>
      </c>
      <c r="D1883">
        <v>6</v>
      </c>
      <c r="E1883">
        <v>15</v>
      </c>
      <c r="F1883">
        <v>0</v>
      </c>
      <c r="G1883">
        <v>0</v>
      </c>
      <c r="H1883">
        <v>2</v>
      </c>
      <c r="I1883">
        <v>2</v>
      </c>
      <c r="J1883">
        <v>40</v>
      </c>
      <c r="K1883">
        <v>3</v>
      </c>
      <c r="L1883">
        <f>_xlfn.XLOOKUP(C1883, dim_teams[team_name], dim_teams[team_id], "Not found", 0)</f>
        <v>7</v>
      </c>
    </row>
    <row r="1884" spans="1:12" x14ac:dyDescent="0.3">
      <c r="A1884" t="s">
        <v>508</v>
      </c>
      <c r="B1884">
        <v>2011</v>
      </c>
      <c r="C1884" t="s">
        <v>21</v>
      </c>
      <c r="D1884">
        <v>3</v>
      </c>
      <c r="E1884">
        <v>5</v>
      </c>
      <c r="F1884">
        <v>0</v>
      </c>
      <c r="G1884">
        <v>0</v>
      </c>
      <c r="H1884">
        <v>1</v>
      </c>
      <c r="I1884">
        <v>1</v>
      </c>
      <c r="J1884">
        <v>60</v>
      </c>
      <c r="K1884">
        <v>3</v>
      </c>
      <c r="L1884">
        <f>_xlfn.XLOOKUP(C1884, dim_teams[team_name], dim_teams[team_id], "Not found", 0)</f>
        <v>2</v>
      </c>
    </row>
    <row r="1885" spans="1:12" x14ac:dyDescent="0.3">
      <c r="A1885" t="s">
        <v>509</v>
      </c>
      <c r="B1885">
        <v>2019</v>
      </c>
      <c r="C1885" t="s">
        <v>17</v>
      </c>
      <c r="D1885">
        <v>160</v>
      </c>
      <c r="E1885">
        <v>126</v>
      </c>
      <c r="F1885">
        <v>17</v>
      </c>
      <c r="G1885">
        <v>5</v>
      </c>
      <c r="H1885">
        <v>4</v>
      </c>
      <c r="I1885">
        <v>5</v>
      </c>
      <c r="J1885">
        <v>126.98</v>
      </c>
      <c r="K1885">
        <v>40</v>
      </c>
      <c r="L1885">
        <f>_xlfn.XLOOKUP(C1885, dim_teams[team_name], dim_teams[team_id], "Not found", 0)</f>
        <v>5</v>
      </c>
    </row>
    <row r="1886" spans="1:12" x14ac:dyDescent="0.3">
      <c r="A1886" t="s">
        <v>509</v>
      </c>
      <c r="B1886">
        <v>2020</v>
      </c>
      <c r="C1886" t="s">
        <v>17</v>
      </c>
      <c r="D1886">
        <v>86</v>
      </c>
      <c r="E1886">
        <v>77</v>
      </c>
      <c r="F1886">
        <v>6</v>
      </c>
      <c r="G1886">
        <v>3</v>
      </c>
      <c r="H1886">
        <v>6</v>
      </c>
      <c r="I1886">
        <v>8</v>
      </c>
      <c r="J1886">
        <v>111.69</v>
      </c>
      <c r="K1886">
        <v>14.33</v>
      </c>
      <c r="L1886">
        <f>_xlfn.XLOOKUP(C1886, dim_teams[team_name], dim_teams[team_id], "Not found", 0)</f>
        <v>5</v>
      </c>
    </row>
    <row r="1887" spans="1:12" x14ac:dyDescent="0.3">
      <c r="A1887" t="s">
        <v>509</v>
      </c>
      <c r="B1887">
        <v>2021</v>
      </c>
      <c r="C1887" t="s">
        <v>17</v>
      </c>
      <c r="D1887">
        <v>93</v>
      </c>
      <c r="E1887">
        <v>82</v>
      </c>
      <c r="F1887">
        <v>6</v>
      </c>
      <c r="G1887">
        <v>4</v>
      </c>
      <c r="H1887">
        <v>8</v>
      </c>
      <c r="I1887">
        <v>10</v>
      </c>
      <c r="J1887">
        <v>113.41</v>
      </c>
      <c r="K1887">
        <v>11.62</v>
      </c>
      <c r="L1887">
        <f>_xlfn.XLOOKUP(C1887, dim_teams[team_name], dim_teams[team_id], "Not found", 0)</f>
        <v>5</v>
      </c>
    </row>
    <row r="1888" spans="1:12" x14ac:dyDescent="0.3">
      <c r="A1888" t="s">
        <v>509</v>
      </c>
      <c r="B1888">
        <v>2022</v>
      </c>
      <c r="C1888" t="s">
        <v>17</v>
      </c>
      <c r="D1888">
        <v>183</v>
      </c>
      <c r="E1888">
        <v>132</v>
      </c>
      <c r="F1888">
        <v>11</v>
      </c>
      <c r="G1888">
        <v>10</v>
      </c>
      <c r="H1888">
        <v>11</v>
      </c>
      <c r="I1888">
        <v>14</v>
      </c>
      <c r="J1888">
        <v>138.63999999999999</v>
      </c>
      <c r="K1888">
        <v>16.64</v>
      </c>
      <c r="L1888">
        <f>_xlfn.XLOOKUP(C1888, dim_teams[team_name], dim_teams[team_id], "Not found", 0)</f>
        <v>5</v>
      </c>
    </row>
    <row r="1889" spans="1:12" x14ac:dyDescent="0.3">
      <c r="A1889" t="s">
        <v>509</v>
      </c>
      <c r="B1889">
        <v>2023</v>
      </c>
      <c r="C1889" t="s">
        <v>17</v>
      </c>
      <c r="D1889">
        <v>78</v>
      </c>
      <c r="E1889">
        <v>65</v>
      </c>
      <c r="F1889">
        <v>4</v>
      </c>
      <c r="G1889">
        <v>5</v>
      </c>
      <c r="H1889">
        <v>6</v>
      </c>
      <c r="I1889">
        <v>7</v>
      </c>
      <c r="J1889">
        <v>120</v>
      </c>
      <c r="K1889">
        <v>13</v>
      </c>
      <c r="L1889">
        <f>_xlfn.XLOOKUP(C1889, dim_teams[team_name], dim_teams[team_id], "Not found", 0)</f>
        <v>5</v>
      </c>
    </row>
    <row r="1890" spans="1:12" x14ac:dyDescent="0.3">
      <c r="A1890" t="s">
        <v>509</v>
      </c>
      <c r="B1890">
        <v>2024</v>
      </c>
      <c r="C1890" t="s">
        <v>17</v>
      </c>
      <c r="D1890">
        <v>573</v>
      </c>
      <c r="E1890">
        <v>383</v>
      </c>
      <c r="F1890">
        <v>40</v>
      </c>
      <c r="G1890">
        <v>33</v>
      </c>
      <c r="H1890">
        <v>12</v>
      </c>
      <c r="I1890">
        <v>14</v>
      </c>
      <c r="J1890">
        <v>149.61000000000001</v>
      </c>
      <c r="K1890">
        <v>47.75</v>
      </c>
      <c r="L1890">
        <f>_xlfn.XLOOKUP(C1890, dim_teams[team_name], dim_teams[team_id], "Not found", 0)</f>
        <v>5</v>
      </c>
    </row>
    <row r="1891" spans="1:12" x14ac:dyDescent="0.3">
      <c r="A1891" t="s">
        <v>509</v>
      </c>
      <c r="B1891">
        <v>2025</v>
      </c>
      <c r="C1891" t="s">
        <v>17</v>
      </c>
      <c r="D1891">
        <v>397</v>
      </c>
      <c r="E1891">
        <v>236</v>
      </c>
      <c r="F1891">
        <v>28</v>
      </c>
      <c r="G1891">
        <v>27</v>
      </c>
      <c r="H1891">
        <v>13</v>
      </c>
      <c r="I1891">
        <v>14</v>
      </c>
      <c r="J1891">
        <v>168.22</v>
      </c>
      <c r="K1891">
        <v>30.54</v>
      </c>
      <c r="L1891">
        <f>_xlfn.XLOOKUP(C1891, dim_teams[team_name], dim_teams[team_id], "Not found", 0)</f>
        <v>5</v>
      </c>
    </row>
    <row r="1892" spans="1:12" x14ac:dyDescent="0.3">
      <c r="A1892" t="s">
        <v>510</v>
      </c>
      <c r="B1892">
        <v>2022</v>
      </c>
      <c r="C1892" t="s">
        <v>33</v>
      </c>
      <c r="D1892">
        <v>250</v>
      </c>
      <c r="E1892">
        <v>167</v>
      </c>
      <c r="F1892">
        <v>10</v>
      </c>
      <c r="G1892">
        <v>22</v>
      </c>
      <c r="H1892">
        <v>11</v>
      </c>
      <c r="I1892">
        <v>12</v>
      </c>
      <c r="J1892">
        <v>149.69999999999999</v>
      </c>
      <c r="K1892">
        <v>22.73</v>
      </c>
      <c r="L1892">
        <f>_xlfn.XLOOKUP(C1892, dim_teams[team_name], dim_teams[team_id], "Not found", 0)</f>
        <v>15</v>
      </c>
    </row>
    <row r="1893" spans="1:12" x14ac:dyDescent="0.3">
      <c r="A1893" t="s">
        <v>510</v>
      </c>
      <c r="B1893">
        <v>2023</v>
      </c>
      <c r="C1893" t="s">
        <v>33</v>
      </c>
      <c r="D1893">
        <v>7</v>
      </c>
      <c r="E1893">
        <v>9</v>
      </c>
      <c r="F1893">
        <v>1</v>
      </c>
      <c r="G1893">
        <v>0</v>
      </c>
      <c r="H1893">
        <v>3</v>
      </c>
      <c r="I1893">
        <v>3</v>
      </c>
      <c r="J1893">
        <v>77.78</v>
      </c>
      <c r="K1893">
        <v>2.33</v>
      </c>
      <c r="L1893">
        <f>_xlfn.XLOOKUP(C1893, dim_teams[team_name], dim_teams[team_id], "Not found", 0)</f>
        <v>15</v>
      </c>
    </row>
    <row r="1894" spans="1:12" x14ac:dyDescent="0.3">
      <c r="A1894" t="s">
        <v>510</v>
      </c>
      <c r="B1894">
        <v>2024</v>
      </c>
      <c r="C1894" t="s">
        <v>17</v>
      </c>
      <c r="D1894">
        <v>103</v>
      </c>
      <c r="E1894">
        <v>68</v>
      </c>
      <c r="F1894">
        <v>10</v>
      </c>
      <c r="G1894">
        <v>6</v>
      </c>
      <c r="H1894">
        <v>6</v>
      </c>
      <c r="I1894">
        <v>7</v>
      </c>
      <c r="J1894">
        <v>151.47</v>
      </c>
      <c r="K1894">
        <v>17.170000000000002</v>
      </c>
      <c r="L1894">
        <f>_xlfn.XLOOKUP(C1894, dim_teams[team_name], dim_teams[team_id], "Not found", 0)</f>
        <v>5</v>
      </c>
    </row>
    <row r="1895" spans="1:12" x14ac:dyDescent="0.3">
      <c r="A1895" t="s">
        <v>510</v>
      </c>
      <c r="B1895">
        <v>2025</v>
      </c>
      <c r="C1895" t="s">
        <v>19</v>
      </c>
      <c r="D1895">
        <v>5</v>
      </c>
      <c r="E1895">
        <v>5</v>
      </c>
      <c r="F1895">
        <v>1</v>
      </c>
      <c r="G1895">
        <v>0</v>
      </c>
      <c r="H1895">
        <v>1</v>
      </c>
      <c r="I1895">
        <v>1</v>
      </c>
      <c r="J1895">
        <v>100</v>
      </c>
      <c r="K1895">
        <v>5</v>
      </c>
      <c r="L1895">
        <f>_xlfn.XLOOKUP(C1895, dim_teams[team_name], dim_teams[team_id], "Not found", 0)</f>
        <v>1</v>
      </c>
    </row>
    <row r="1896" spans="1:12" x14ac:dyDescent="0.3">
      <c r="A1896" t="s">
        <v>511</v>
      </c>
      <c r="B1896">
        <v>2013</v>
      </c>
      <c r="C1896" t="s">
        <v>21</v>
      </c>
      <c r="D1896">
        <v>38</v>
      </c>
      <c r="E1896">
        <v>36</v>
      </c>
      <c r="F1896">
        <v>3</v>
      </c>
      <c r="G1896">
        <v>1</v>
      </c>
      <c r="H1896">
        <v>4</v>
      </c>
      <c r="I1896">
        <v>6</v>
      </c>
      <c r="J1896">
        <v>105.56</v>
      </c>
      <c r="K1896">
        <v>9.5</v>
      </c>
      <c r="L1896">
        <f>_xlfn.XLOOKUP(C1896, dim_teams[team_name], dim_teams[team_id], "Not found", 0)</f>
        <v>2</v>
      </c>
    </row>
    <row r="1897" spans="1:12" x14ac:dyDescent="0.3">
      <c r="A1897" t="s">
        <v>511</v>
      </c>
      <c r="B1897">
        <v>2014</v>
      </c>
      <c r="C1897" t="s">
        <v>21</v>
      </c>
      <c r="D1897">
        <v>13</v>
      </c>
      <c r="E1897">
        <v>13</v>
      </c>
      <c r="F1897">
        <v>0</v>
      </c>
      <c r="G1897">
        <v>1</v>
      </c>
      <c r="H1897">
        <v>1</v>
      </c>
      <c r="I1897">
        <v>1</v>
      </c>
      <c r="J1897">
        <v>100</v>
      </c>
      <c r="K1897">
        <v>13</v>
      </c>
      <c r="L1897">
        <f>_xlfn.XLOOKUP(C1897, dim_teams[team_name], dim_teams[team_id], "Not found", 0)</f>
        <v>2</v>
      </c>
    </row>
    <row r="1898" spans="1:12" x14ac:dyDescent="0.3">
      <c r="A1898" t="s">
        <v>512</v>
      </c>
      <c r="B1898">
        <v>2024</v>
      </c>
      <c r="C1898" t="s">
        <v>25</v>
      </c>
      <c r="D1898">
        <v>222</v>
      </c>
      <c r="E1898">
        <v>137</v>
      </c>
      <c r="F1898">
        <v>22</v>
      </c>
      <c r="G1898">
        <v>12</v>
      </c>
      <c r="H1898">
        <v>9</v>
      </c>
      <c r="I1898">
        <v>10</v>
      </c>
      <c r="J1898">
        <v>162.04</v>
      </c>
      <c r="K1898">
        <v>24.67</v>
      </c>
      <c r="L1898">
        <f>_xlfn.XLOOKUP(C1898, dim_teams[team_name], dim_teams[team_id], "Not found", 0)</f>
        <v>3</v>
      </c>
    </row>
    <row r="1899" spans="1:12" x14ac:dyDescent="0.3">
      <c r="A1899" t="s">
        <v>512</v>
      </c>
      <c r="B1899">
        <v>2025</v>
      </c>
      <c r="C1899" t="s">
        <v>25</v>
      </c>
      <c r="D1899">
        <v>191</v>
      </c>
      <c r="E1899">
        <v>147</v>
      </c>
      <c r="F1899">
        <v>18</v>
      </c>
      <c r="G1899">
        <v>4</v>
      </c>
      <c r="H1899">
        <v>7</v>
      </c>
      <c r="I1899">
        <v>8</v>
      </c>
      <c r="J1899">
        <v>129.93</v>
      </c>
      <c r="K1899">
        <v>27.29</v>
      </c>
      <c r="L1899">
        <f>_xlfn.XLOOKUP(C1899, dim_teams[team_name], dim_teams[team_id], "Not found", 0)</f>
        <v>3</v>
      </c>
    </row>
    <row r="1900" spans="1:12" x14ac:dyDescent="0.3">
      <c r="A1900" t="s">
        <v>513</v>
      </c>
      <c r="B1900">
        <v>2024</v>
      </c>
      <c r="C1900" t="s">
        <v>29</v>
      </c>
      <c r="D1900">
        <v>13</v>
      </c>
      <c r="E1900">
        <v>6</v>
      </c>
      <c r="F1900">
        <v>0</v>
      </c>
      <c r="G1900">
        <v>2</v>
      </c>
      <c r="H1900">
        <v>1</v>
      </c>
      <c r="I1900">
        <v>1</v>
      </c>
      <c r="J1900">
        <v>216.67</v>
      </c>
      <c r="K1900">
        <v>13</v>
      </c>
      <c r="L1900">
        <f>_xlfn.XLOOKUP(C1900, dim_teams[team_name], dim_teams[team_id], "Not found", 0)</f>
        <v>18</v>
      </c>
    </row>
    <row r="1901" spans="1:12" x14ac:dyDescent="0.3">
      <c r="A1901" t="s">
        <v>513</v>
      </c>
      <c r="B1901">
        <v>2025</v>
      </c>
      <c r="C1901" t="s">
        <v>29</v>
      </c>
      <c r="D1901">
        <v>5</v>
      </c>
      <c r="E1901">
        <v>10</v>
      </c>
      <c r="F1901">
        <v>0</v>
      </c>
      <c r="G1901">
        <v>0</v>
      </c>
      <c r="H1901">
        <v>2</v>
      </c>
      <c r="I1901">
        <v>3</v>
      </c>
      <c r="J1901">
        <v>50</v>
      </c>
      <c r="K1901">
        <v>2.5</v>
      </c>
      <c r="L1901">
        <f>_xlfn.XLOOKUP(C1901, dim_teams[team_name], dim_teams[team_id], "Not found", 0)</f>
        <v>18</v>
      </c>
    </row>
    <row r="1902" spans="1:12" x14ac:dyDescent="0.3">
      <c r="A1902" t="s">
        <v>514</v>
      </c>
      <c r="B1902">
        <v>2022</v>
      </c>
      <c r="C1902" t="s">
        <v>23</v>
      </c>
      <c r="D1902">
        <v>0</v>
      </c>
      <c r="E1902">
        <v>2</v>
      </c>
      <c r="F1902">
        <v>0</v>
      </c>
      <c r="G1902">
        <v>0</v>
      </c>
      <c r="H1902">
        <v>1</v>
      </c>
      <c r="I1902">
        <v>1</v>
      </c>
      <c r="J1902">
        <v>0</v>
      </c>
      <c r="K1902">
        <v>0</v>
      </c>
      <c r="L1902">
        <f>_xlfn.XLOOKUP(C1902, dim_teams[team_name], dim_teams[team_id], "Not found", 0)</f>
        <v>7</v>
      </c>
    </row>
    <row r="1903" spans="1:12" x14ac:dyDescent="0.3">
      <c r="A1903" t="s">
        <v>515</v>
      </c>
      <c r="B1903">
        <v>2010</v>
      </c>
      <c r="C1903" t="s">
        <v>23</v>
      </c>
      <c r="D1903">
        <v>112</v>
      </c>
      <c r="E1903">
        <v>96</v>
      </c>
      <c r="F1903">
        <v>11</v>
      </c>
      <c r="G1903">
        <v>0</v>
      </c>
      <c r="H1903">
        <v>6</v>
      </c>
      <c r="I1903">
        <v>10</v>
      </c>
      <c r="J1903">
        <v>116.67</v>
      </c>
      <c r="K1903">
        <v>18.670000000000002</v>
      </c>
      <c r="L1903">
        <f>_xlfn.XLOOKUP(C1903, dim_teams[team_name], dim_teams[team_id], "Not found", 0)</f>
        <v>7</v>
      </c>
    </row>
    <row r="1904" spans="1:12" x14ac:dyDescent="0.3">
      <c r="A1904" t="s">
        <v>515</v>
      </c>
      <c r="B1904">
        <v>2011</v>
      </c>
      <c r="C1904" t="s">
        <v>23</v>
      </c>
      <c r="D1904">
        <v>25</v>
      </c>
      <c r="E1904">
        <v>34</v>
      </c>
      <c r="F1904">
        <v>1</v>
      </c>
      <c r="G1904">
        <v>0</v>
      </c>
      <c r="H1904">
        <v>2</v>
      </c>
      <c r="I1904">
        <v>3</v>
      </c>
      <c r="J1904">
        <v>73.53</v>
      </c>
      <c r="K1904">
        <v>12.5</v>
      </c>
      <c r="L1904">
        <f>_xlfn.XLOOKUP(C1904, dim_teams[team_name], dim_teams[team_id], "Not found", 0)</f>
        <v>7</v>
      </c>
    </row>
    <row r="1905" spans="1:12" x14ac:dyDescent="0.3">
      <c r="A1905" t="s">
        <v>515</v>
      </c>
      <c r="B1905">
        <v>2013</v>
      </c>
      <c r="C1905" t="s">
        <v>54</v>
      </c>
      <c r="D1905">
        <v>109</v>
      </c>
      <c r="E1905">
        <v>76</v>
      </c>
      <c r="F1905">
        <v>9</v>
      </c>
      <c r="G1905">
        <v>5</v>
      </c>
      <c r="H1905">
        <v>5</v>
      </c>
      <c r="I1905">
        <v>8</v>
      </c>
      <c r="J1905">
        <v>143.41999999999999</v>
      </c>
      <c r="K1905">
        <v>21.8</v>
      </c>
      <c r="L1905">
        <f>_xlfn.XLOOKUP(C1905, dim_teams[team_name], dim_teams[team_id], "Not found", 0)</f>
        <v>4</v>
      </c>
    </row>
    <row r="1906" spans="1:12" x14ac:dyDescent="0.3">
      <c r="A1906" t="s">
        <v>515</v>
      </c>
      <c r="B1906">
        <v>2016</v>
      </c>
      <c r="C1906" t="s">
        <v>19</v>
      </c>
      <c r="D1906">
        <v>24</v>
      </c>
      <c r="E1906">
        <v>24</v>
      </c>
      <c r="F1906">
        <v>1</v>
      </c>
      <c r="G1906">
        <v>1</v>
      </c>
      <c r="H1906">
        <v>3</v>
      </c>
      <c r="I1906">
        <v>3</v>
      </c>
      <c r="J1906">
        <v>100</v>
      </c>
      <c r="K1906">
        <v>8</v>
      </c>
      <c r="L1906">
        <f>_xlfn.XLOOKUP(C1906, dim_teams[team_name], dim_teams[team_id], "Not found", 0)</f>
        <v>1</v>
      </c>
    </row>
    <row r="1907" spans="1:12" x14ac:dyDescent="0.3">
      <c r="A1907" t="s">
        <v>516</v>
      </c>
      <c r="B1907">
        <v>2010</v>
      </c>
      <c r="C1907" t="s">
        <v>12</v>
      </c>
      <c r="D1907">
        <v>29</v>
      </c>
      <c r="E1907">
        <v>26</v>
      </c>
      <c r="F1907">
        <v>3</v>
      </c>
      <c r="G1907">
        <v>1</v>
      </c>
      <c r="H1907">
        <v>3</v>
      </c>
      <c r="I1907">
        <v>4</v>
      </c>
      <c r="J1907">
        <v>111.54</v>
      </c>
      <c r="K1907">
        <v>9.67</v>
      </c>
      <c r="L1907">
        <f>_xlfn.XLOOKUP(C1907, dim_teams[team_name], dim_teams[team_id], "Not found", 0)</f>
        <v>8</v>
      </c>
    </row>
    <row r="1908" spans="1:12" x14ac:dyDescent="0.3">
      <c r="A1908" t="s">
        <v>516</v>
      </c>
      <c r="B1908">
        <v>2011</v>
      </c>
      <c r="C1908" t="s">
        <v>37</v>
      </c>
      <c r="D1908">
        <v>24</v>
      </c>
      <c r="E1908">
        <v>21</v>
      </c>
      <c r="F1908">
        <v>1</v>
      </c>
      <c r="G1908">
        <v>2</v>
      </c>
      <c r="H1908">
        <v>2</v>
      </c>
      <c r="I1908">
        <v>5</v>
      </c>
      <c r="J1908">
        <v>114.29</v>
      </c>
      <c r="K1908">
        <v>12</v>
      </c>
      <c r="L1908">
        <f>_xlfn.XLOOKUP(C1908, dim_teams[team_name], dim_teams[team_id], "Not found", 0)</f>
        <v>10</v>
      </c>
    </row>
    <row r="1909" spans="1:12" x14ac:dyDescent="0.3">
      <c r="A1909" t="s">
        <v>516</v>
      </c>
      <c r="B1909">
        <v>2012</v>
      </c>
      <c r="C1909" t="s">
        <v>37</v>
      </c>
      <c r="D1909">
        <v>2</v>
      </c>
      <c r="E1909">
        <v>11</v>
      </c>
      <c r="F1909">
        <v>0</v>
      </c>
      <c r="G1909">
        <v>0</v>
      </c>
      <c r="H1909">
        <v>3</v>
      </c>
      <c r="I1909">
        <v>4</v>
      </c>
      <c r="J1909">
        <v>18.18</v>
      </c>
      <c r="K1909">
        <v>0.67</v>
      </c>
      <c r="L1909">
        <f>_xlfn.XLOOKUP(C1909, dim_teams[team_name], dim_teams[team_id], "Not found", 0)</f>
        <v>10</v>
      </c>
    </row>
    <row r="1910" spans="1:12" x14ac:dyDescent="0.3">
      <c r="A1910" t="s">
        <v>516</v>
      </c>
      <c r="B1910">
        <v>2013</v>
      </c>
      <c r="C1910" t="s">
        <v>37</v>
      </c>
      <c r="D1910">
        <v>11</v>
      </c>
      <c r="E1910">
        <v>17</v>
      </c>
      <c r="F1910">
        <v>1</v>
      </c>
      <c r="G1910">
        <v>0</v>
      </c>
      <c r="H1910">
        <v>3</v>
      </c>
      <c r="I1910">
        <v>6</v>
      </c>
      <c r="J1910">
        <v>64.709999999999994</v>
      </c>
      <c r="K1910">
        <v>3.67</v>
      </c>
      <c r="L1910">
        <f>_xlfn.XLOOKUP(C1910, dim_teams[team_name], dim_teams[team_id], "Not found", 0)</f>
        <v>10</v>
      </c>
    </row>
    <row r="1911" spans="1:12" x14ac:dyDescent="0.3">
      <c r="A1911" t="s">
        <v>517</v>
      </c>
      <c r="B1911">
        <v>2022</v>
      </c>
      <c r="C1911" t="s">
        <v>13</v>
      </c>
      <c r="D1911">
        <v>58</v>
      </c>
      <c r="E1911">
        <v>40</v>
      </c>
      <c r="F1911">
        <v>2</v>
      </c>
      <c r="G1911">
        <v>5</v>
      </c>
      <c r="H1911">
        <v>3</v>
      </c>
      <c r="I1911">
        <v>3</v>
      </c>
      <c r="J1911">
        <v>145</v>
      </c>
      <c r="K1911">
        <v>19.329999999999998</v>
      </c>
      <c r="L1911">
        <f>_xlfn.XLOOKUP(C1911, dim_teams[team_name], dim_teams[team_id], "Not found", 0)</f>
        <v>11</v>
      </c>
    </row>
    <row r="1912" spans="1:12" x14ac:dyDescent="0.3">
      <c r="A1912" t="s">
        <v>517</v>
      </c>
      <c r="B1912">
        <v>2023</v>
      </c>
      <c r="C1912" t="s">
        <v>15</v>
      </c>
      <c r="D1912">
        <v>0</v>
      </c>
      <c r="E1912">
        <v>1</v>
      </c>
      <c r="F1912">
        <v>0</v>
      </c>
      <c r="G1912">
        <v>0</v>
      </c>
      <c r="H1912">
        <v>1</v>
      </c>
      <c r="I1912">
        <v>1</v>
      </c>
      <c r="J1912">
        <v>0</v>
      </c>
      <c r="K1912">
        <v>0</v>
      </c>
      <c r="L1912">
        <f>_xlfn.XLOOKUP(C1912, dim_teams[team_name], dim_teams[team_id], "Not found", 0)</f>
        <v>17</v>
      </c>
    </row>
    <row r="1913" spans="1:12" x14ac:dyDescent="0.3">
      <c r="A1913" t="s">
        <v>517</v>
      </c>
      <c r="B1913">
        <v>2024</v>
      </c>
      <c r="C1913" t="s">
        <v>23</v>
      </c>
      <c r="D1913">
        <v>57</v>
      </c>
      <c r="E1913">
        <v>21</v>
      </c>
      <c r="F1913">
        <v>5</v>
      </c>
      <c r="G1913">
        <v>5</v>
      </c>
      <c r="H1913">
        <v>2</v>
      </c>
      <c r="I1913">
        <v>5</v>
      </c>
      <c r="J1913">
        <v>271.43</v>
      </c>
      <c r="K1913">
        <v>28.5</v>
      </c>
      <c r="L1913">
        <f>_xlfn.XLOOKUP(C1913, dim_teams[team_name], dim_teams[team_id], "Not found", 0)</f>
        <v>7</v>
      </c>
    </row>
    <row r="1914" spans="1:12" x14ac:dyDescent="0.3">
      <c r="A1914" t="s">
        <v>517</v>
      </c>
      <c r="B1914">
        <v>2025</v>
      </c>
      <c r="C1914" t="s">
        <v>102</v>
      </c>
      <c r="D1914">
        <v>70</v>
      </c>
      <c r="E1914">
        <v>23</v>
      </c>
      <c r="F1914">
        <v>5</v>
      </c>
      <c r="G1914">
        <v>7</v>
      </c>
      <c r="H1914">
        <v>2</v>
      </c>
      <c r="I1914">
        <v>3</v>
      </c>
      <c r="J1914">
        <v>304.35000000000002</v>
      </c>
      <c r="K1914">
        <v>35</v>
      </c>
      <c r="L1914">
        <f>_xlfn.XLOOKUP(C1914, dim_teams[team_name], dim_teams[team_id], "Not found", 0)</f>
        <v>19</v>
      </c>
    </row>
    <row r="1915" spans="1:12" x14ac:dyDescent="0.3">
      <c r="A1915" t="s">
        <v>518</v>
      </c>
      <c r="B1915">
        <v>2013</v>
      </c>
      <c r="C1915" t="s">
        <v>17</v>
      </c>
      <c r="D1915">
        <v>1</v>
      </c>
      <c r="E1915">
        <v>2</v>
      </c>
      <c r="F1915">
        <v>0</v>
      </c>
      <c r="G1915">
        <v>0</v>
      </c>
      <c r="H1915">
        <v>0</v>
      </c>
      <c r="I1915">
        <v>1</v>
      </c>
      <c r="J1915">
        <v>50</v>
      </c>
      <c r="L1915">
        <f>_xlfn.XLOOKUP(C1915, dim_teams[team_name], dim_teams[team_id], "Not found", 0)</f>
        <v>5</v>
      </c>
    </row>
    <row r="1916" spans="1:12" x14ac:dyDescent="0.3">
      <c r="A1916" t="s">
        <v>518</v>
      </c>
      <c r="B1916">
        <v>2014</v>
      </c>
      <c r="C1916" t="s">
        <v>32</v>
      </c>
      <c r="D1916">
        <v>18</v>
      </c>
      <c r="E1916">
        <v>21</v>
      </c>
      <c r="F1916">
        <v>2</v>
      </c>
      <c r="G1916">
        <v>0</v>
      </c>
      <c r="H1916">
        <v>2</v>
      </c>
      <c r="I1916">
        <v>3</v>
      </c>
      <c r="J1916">
        <v>85.71</v>
      </c>
      <c r="K1916">
        <v>9</v>
      </c>
      <c r="L1916">
        <f>_xlfn.XLOOKUP(C1916, dim_teams[team_name], dim_teams[team_id], "Not found", 0)</f>
        <v>6</v>
      </c>
    </row>
    <row r="1917" spans="1:12" x14ac:dyDescent="0.3">
      <c r="A1917" t="s">
        <v>519</v>
      </c>
      <c r="B1917">
        <v>2014</v>
      </c>
      <c r="C1917" t="s">
        <v>17</v>
      </c>
      <c r="D1917">
        <v>16</v>
      </c>
      <c r="E1917">
        <v>13</v>
      </c>
      <c r="F1917">
        <v>0</v>
      </c>
      <c r="G1917">
        <v>1</v>
      </c>
      <c r="H1917">
        <v>1</v>
      </c>
      <c r="I1917">
        <v>1</v>
      </c>
      <c r="J1917">
        <v>123.08</v>
      </c>
      <c r="K1917">
        <v>16</v>
      </c>
      <c r="L1917">
        <f>_xlfn.XLOOKUP(C1917, dim_teams[team_name], dim_teams[team_id], "Not found", 0)</f>
        <v>5</v>
      </c>
    </row>
    <row r="1918" spans="1:12" x14ac:dyDescent="0.3">
      <c r="A1918" t="s">
        <v>519</v>
      </c>
      <c r="B1918">
        <v>2017</v>
      </c>
      <c r="C1918" t="s">
        <v>54</v>
      </c>
      <c r="D1918">
        <v>19</v>
      </c>
      <c r="E1918">
        <v>11</v>
      </c>
      <c r="F1918">
        <v>4</v>
      </c>
      <c r="G1918">
        <v>0</v>
      </c>
      <c r="H1918">
        <v>1</v>
      </c>
      <c r="I1918">
        <v>2</v>
      </c>
      <c r="J1918">
        <v>172.73</v>
      </c>
      <c r="K1918">
        <v>19</v>
      </c>
      <c r="L1918">
        <f>_xlfn.XLOOKUP(C1918, dim_teams[team_name], dim_teams[team_id], "Not found", 0)</f>
        <v>4</v>
      </c>
    </row>
    <row r="1919" spans="1:12" x14ac:dyDescent="0.3">
      <c r="A1919" t="s">
        <v>519</v>
      </c>
      <c r="B1919">
        <v>2018</v>
      </c>
      <c r="C1919" t="s">
        <v>32</v>
      </c>
      <c r="D1919">
        <v>50</v>
      </c>
      <c r="E1919">
        <v>43</v>
      </c>
      <c r="F1919">
        <v>5</v>
      </c>
      <c r="G1919">
        <v>1</v>
      </c>
      <c r="H1919">
        <v>4</v>
      </c>
      <c r="I1919">
        <v>5</v>
      </c>
      <c r="J1919">
        <v>116.28</v>
      </c>
      <c r="K1919">
        <v>12.5</v>
      </c>
      <c r="L1919">
        <f>_xlfn.XLOOKUP(C1919, dim_teams[team_name], dim_teams[team_id], "Not found", 0)</f>
        <v>6</v>
      </c>
    </row>
    <row r="1920" spans="1:12" x14ac:dyDescent="0.3">
      <c r="A1920" t="s">
        <v>519</v>
      </c>
      <c r="B1920">
        <v>2019</v>
      </c>
      <c r="C1920" t="s">
        <v>33</v>
      </c>
      <c r="D1920">
        <v>26</v>
      </c>
      <c r="E1920">
        <v>22</v>
      </c>
      <c r="F1920">
        <v>2</v>
      </c>
      <c r="G1920">
        <v>1</v>
      </c>
      <c r="H1920">
        <v>1</v>
      </c>
      <c r="I1920">
        <v>4</v>
      </c>
      <c r="J1920">
        <v>118.18</v>
      </c>
      <c r="K1920">
        <v>26</v>
      </c>
      <c r="L1920">
        <f>_xlfn.XLOOKUP(C1920, dim_teams[team_name], dim_teams[team_id], "Not found", 0)</f>
        <v>15</v>
      </c>
    </row>
    <row r="1921" spans="1:12" x14ac:dyDescent="0.3">
      <c r="A1921" t="s">
        <v>519</v>
      </c>
      <c r="B1921">
        <v>2020</v>
      </c>
      <c r="C1921" t="s">
        <v>17</v>
      </c>
      <c r="D1921">
        <v>255</v>
      </c>
      <c r="E1921">
        <v>182</v>
      </c>
      <c r="F1921">
        <v>13</v>
      </c>
      <c r="G1921">
        <v>17</v>
      </c>
      <c r="H1921">
        <v>6</v>
      </c>
      <c r="I1921">
        <v>11</v>
      </c>
      <c r="J1921">
        <v>140.11000000000001</v>
      </c>
      <c r="K1921">
        <v>42.5</v>
      </c>
      <c r="L1921">
        <f>_xlfn.XLOOKUP(C1921, dim_teams[team_name], dim_teams[team_id], "Not found", 0)</f>
        <v>5</v>
      </c>
    </row>
    <row r="1922" spans="1:12" x14ac:dyDescent="0.3">
      <c r="A1922" t="s">
        <v>519</v>
      </c>
      <c r="B1922">
        <v>2021</v>
      </c>
      <c r="C1922" t="s">
        <v>17</v>
      </c>
      <c r="D1922">
        <v>155</v>
      </c>
      <c r="E1922">
        <v>147</v>
      </c>
      <c r="F1922">
        <v>11</v>
      </c>
      <c r="G1922">
        <v>6</v>
      </c>
      <c r="H1922">
        <v>11</v>
      </c>
      <c r="I1922">
        <v>11</v>
      </c>
      <c r="J1922">
        <v>105.44</v>
      </c>
      <c r="K1922">
        <v>14.09</v>
      </c>
      <c r="L1922">
        <f>_xlfn.XLOOKUP(C1922, dim_teams[team_name], dim_teams[team_id], "Not found", 0)</f>
        <v>5</v>
      </c>
    </row>
    <row r="1923" spans="1:12" x14ac:dyDescent="0.3">
      <c r="A1923" t="s">
        <v>519</v>
      </c>
      <c r="B1923">
        <v>2022</v>
      </c>
      <c r="C1923" t="s">
        <v>29</v>
      </c>
      <c r="D1923">
        <v>217</v>
      </c>
      <c r="E1923">
        <v>147</v>
      </c>
      <c r="F1923">
        <v>22</v>
      </c>
      <c r="G1923">
        <v>9</v>
      </c>
      <c r="H1923">
        <v>7</v>
      </c>
      <c r="I1923">
        <v>12</v>
      </c>
      <c r="J1923">
        <v>147.62</v>
      </c>
      <c r="K1923">
        <v>31</v>
      </c>
      <c r="L1923">
        <f>_xlfn.XLOOKUP(C1923, dim_teams[team_name], dim_teams[team_id], "Not found", 0)</f>
        <v>18</v>
      </c>
    </row>
    <row r="1924" spans="1:12" x14ac:dyDescent="0.3">
      <c r="A1924" t="s">
        <v>519</v>
      </c>
      <c r="B1924">
        <v>2023</v>
      </c>
      <c r="C1924" t="s">
        <v>29</v>
      </c>
      <c r="D1924">
        <v>87</v>
      </c>
      <c r="E1924">
        <v>57</v>
      </c>
      <c r="F1924">
        <v>3</v>
      </c>
      <c r="G1924">
        <v>7</v>
      </c>
      <c r="H1924">
        <v>4</v>
      </c>
      <c r="I1924">
        <v>10</v>
      </c>
      <c r="J1924">
        <v>152.63</v>
      </c>
      <c r="K1924">
        <v>21.75</v>
      </c>
      <c r="L1924">
        <f>_xlfn.XLOOKUP(C1924, dim_teams[team_name], dim_teams[team_id], "Not found", 0)</f>
        <v>18</v>
      </c>
    </row>
    <row r="1925" spans="1:12" x14ac:dyDescent="0.3">
      <c r="A1925" t="s">
        <v>519</v>
      </c>
      <c r="B1925">
        <v>2024</v>
      </c>
      <c r="C1925" t="s">
        <v>29</v>
      </c>
      <c r="D1925">
        <v>188</v>
      </c>
      <c r="E1925">
        <v>126</v>
      </c>
      <c r="F1925">
        <v>24</v>
      </c>
      <c r="G1925">
        <v>5</v>
      </c>
      <c r="H1925">
        <v>8</v>
      </c>
      <c r="I1925">
        <v>9</v>
      </c>
      <c r="J1925">
        <v>149.21</v>
      </c>
      <c r="K1925">
        <v>23.5</v>
      </c>
      <c r="L1925">
        <f>_xlfn.XLOOKUP(C1925, dim_teams[team_name], dim_teams[team_id], "Not found", 0)</f>
        <v>18</v>
      </c>
    </row>
    <row r="1926" spans="1:12" x14ac:dyDescent="0.3">
      <c r="A1926" t="s">
        <v>519</v>
      </c>
      <c r="B1926">
        <v>2025</v>
      </c>
      <c r="C1926" t="s">
        <v>29</v>
      </c>
      <c r="D1926">
        <v>99</v>
      </c>
      <c r="E1926">
        <v>59</v>
      </c>
      <c r="F1926">
        <v>6</v>
      </c>
      <c r="G1926">
        <v>7</v>
      </c>
      <c r="H1926">
        <v>6</v>
      </c>
      <c r="I1926">
        <v>11</v>
      </c>
      <c r="J1926">
        <v>167.8</v>
      </c>
      <c r="K1926">
        <v>16.5</v>
      </c>
      <c r="L1926">
        <f>_xlfn.XLOOKUP(C1926, dim_teams[team_name], dim_teams[team_id], "Not found", 0)</f>
        <v>18</v>
      </c>
    </row>
    <row r="1927" spans="1:12" x14ac:dyDescent="0.3">
      <c r="A1927" t="s">
        <v>520</v>
      </c>
      <c r="B1927">
        <v>2008</v>
      </c>
      <c r="C1927" t="s">
        <v>21</v>
      </c>
      <c r="D1927">
        <v>25</v>
      </c>
      <c r="E1927">
        <v>22</v>
      </c>
      <c r="F1927">
        <v>2</v>
      </c>
      <c r="G1927">
        <v>1</v>
      </c>
      <c r="H1927">
        <v>3</v>
      </c>
      <c r="I1927">
        <v>4</v>
      </c>
      <c r="J1927">
        <v>113.64</v>
      </c>
      <c r="K1927">
        <v>8.33</v>
      </c>
      <c r="L1927">
        <f>_xlfn.XLOOKUP(C1927, dim_teams[team_name], dim_teams[team_id], "Not found", 0)</f>
        <v>2</v>
      </c>
    </row>
    <row r="1928" spans="1:12" x14ac:dyDescent="0.3">
      <c r="A1928" t="s">
        <v>520</v>
      </c>
      <c r="B1928">
        <v>2009</v>
      </c>
      <c r="C1928" t="s">
        <v>21</v>
      </c>
      <c r="D1928">
        <v>47</v>
      </c>
      <c r="E1928">
        <v>44</v>
      </c>
      <c r="F1928">
        <v>4</v>
      </c>
      <c r="G1928">
        <v>1</v>
      </c>
      <c r="H1928">
        <v>4</v>
      </c>
      <c r="I1928">
        <v>7</v>
      </c>
      <c r="J1928">
        <v>106.82</v>
      </c>
      <c r="K1928">
        <v>11.75</v>
      </c>
      <c r="L1928">
        <f>_xlfn.XLOOKUP(C1928, dim_teams[team_name], dim_teams[team_id], "Not found", 0)</f>
        <v>2</v>
      </c>
    </row>
    <row r="1929" spans="1:12" x14ac:dyDescent="0.3">
      <c r="A1929" t="s">
        <v>520</v>
      </c>
      <c r="B1929">
        <v>2010</v>
      </c>
      <c r="C1929" t="s">
        <v>21</v>
      </c>
      <c r="D1929">
        <v>27</v>
      </c>
      <c r="E1929">
        <v>32</v>
      </c>
      <c r="F1929">
        <v>1</v>
      </c>
      <c r="G1929">
        <v>0</v>
      </c>
      <c r="H1929">
        <v>3</v>
      </c>
      <c r="I1929">
        <v>5</v>
      </c>
      <c r="J1929">
        <v>84.38</v>
      </c>
      <c r="K1929">
        <v>9</v>
      </c>
      <c r="L1929">
        <f>_xlfn.XLOOKUP(C1929, dim_teams[team_name], dim_teams[team_id], "Not found", 0)</f>
        <v>2</v>
      </c>
    </row>
    <row r="1930" spans="1:12" x14ac:dyDescent="0.3">
      <c r="A1930" t="s">
        <v>520</v>
      </c>
      <c r="B1930">
        <v>2011</v>
      </c>
      <c r="C1930" t="s">
        <v>122</v>
      </c>
      <c r="D1930">
        <v>50</v>
      </c>
      <c r="E1930">
        <v>47</v>
      </c>
      <c r="F1930">
        <v>4</v>
      </c>
      <c r="G1930">
        <v>1</v>
      </c>
      <c r="H1930">
        <v>6</v>
      </c>
      <c r="I1930">
        <v>7</v>
      </c>
      <c r="J1930">
        <v>106.38</v>
      </c>
      <c r="K1930">
        <v>8.33</v>
      </c>
      <c r="L1930">
        <f>_xlfn.XLOOKUP(C1930, dim_teams[team_name], dim_teams[team_id], "Not found", 0)</f>
        <v>9</v>
      </c>
    </row>
    <row r="1931" spans="1:12" x14ac:dyDescent="0.3">
      <c r="A1931" t="s">
        <v>520</v>
      </c>
      <c r="B1931">
        <v>2012</v>
      </c>
      <c r="C1931" t="s">
        <v>21</v>
      </c>
      <c r="D1931">
        <v>68</v>
      </c>
      <c r="E1931">
        <v>62</v>
      </c>
      <c r="F1931">
        <v>3</v>
      </c>
      <c r="G1931">
        <v>2</v>
      </c>
      <c r="H1931">
        <v>5</v>
      </c>
      <c r="I1931">
        <v>7</v>
      </c>
      <c r="J1931">
        <v>109.68</v>
      </c>
      <c r="K1931">
        <v>13.6</v>
      </c>
      <c r="L1931">
        <f>_xlfn.XLOOKUP(C1931, dim_teams[team_name], dim_teams[team_id], "Not found", 0)</f>
        <v>2</v>
      </c>
    </row>
    <row r="1932" spans="1:12" x14ac:dyDescent="0.3">
      <c r="A1932" t="s">
        <v>520</v>
      </c>
      <c r="B1932">
        <v>2013</v>
      </c>
      <c r="C1932" t="s">
        <v>21</v>
      </c>
      <c r="D1932">
        <v>70</v>
      </c>
      <c r="E1932">
        <v>44</v>
      </c>
      <c r="F1932">
        <v>6</v>
      </c>
      <c r="G1932">
        <v>3</v>
      </c>
      <c r="H1932">
        <v>1</v>
      </c>
      <c r="I1932">
        <v>5</v>
      </c>
      <c r="J1932">
        <v>159.09</v>
      </c>
      <c r="K1932">
        <v>70</v>
      </c>
      <c r="L1932">
        <f>_xlfn.XLOOKUP(C1932, dim_teams[team_name], dim_teams[team_id], "Not found", 0)</f>
        <v>2</v>
      </c>
    </row>
    <row r="1933" spans="1:12" x14ac:dyDescent="0.3">
      <c r="A1933" t="s">
        <v>520</v>
      </c>
      <c r="B1933">
        <v>2014</v>
      </c>
      <c r="C1933" t="s">
        <v>19</v>
      </c>
      <c r="D1933">
        <v>4</v>
      </c>
      <c r="E1933">
        <v>6</v>
      </c>
      <c r="F1933">
        <v>0</v>
      </c>
      <c r="G1933">
        <v>0</v>
      </c>
      <c r="H1933">
        <v>2</v>
      </c>
      <c r="I1933">
        <v>2</v>
      </c>
      <c r="J1933">
        <v>66.67</v>
      </c>
      <c r="K1933">
        <v>2</v>
      </c>
      <c r="L1933">
        <f>_xlfn.XLOOKUP(C1933, dim_teams[team_name], dim_teams[team_id], "Not found", 0)</f>
        <v>1</v>
      </c>
    </row>
    <row r="1934" spans="1:12" x14ac:dyDescent="0.3">
      <c r="A1934" t="s">
        <v>520</v>
      </c>
      <c r="B1934">
        <v>2015</v>
      </c>
      <c r="C1934" t="s">
        <v>23</v>
      </c>
      <c r="D1934">
        <v>0</v>
      </c>
      <c r="E1934">
        <v>2</v>
      </c>
      <c r="F1934">
        <v>0</v>
      </c>
      <c r="G1934">
        <v>0</v>
      </c>
      <c r="H1934">
        <v>1</v>
      </c>
      <c r="I1934">
        <v>2</v>
      </c>
      <c r="J1934">
        <v>0</v>
      </c>
      <c r="K1934">
        <v>0</v>
      </c>
      <c r="L1934">
        <f>_xlfn.XLOOKUP(C1934, dim_teams[team_name], dim_teams[team_id], "Not found", 0)</f>
        <v>7</v>
      </c>
    </row>
    <row r="1935" spans="1:12" x14ac:dyDescent="0.3">
      <c r="A1935" t="s">
        <v>520</v>
      </c>
      <c r="B1935">
        <v>2016</v>
      </c>
      <c r="C1935" t="s">
        <v>23</v>
      </c>
      <c r="D1935">
        <v>13</v>
      </c>
      <c r="E1935">
        <v>12</v>
      </c>
      <c r="F1935">
        <v>0</v>
      </c>
      <c r="G1935">
        <v>1</v>
      </c>
      <c r="H1935">
        <v>1</v>
      </c>
      <c r="I1935">
        <v>2</v>
      </c>
      <c r="J1935">
        <v>108.33</v>
      </c>
      <c r="K1935">
        <v>13</v>
      </c>
      <c r="L1935">
        <f>_xlfn.XLOOKUP(C1935, dim_teams[team_name], dim_teams[team_id], "Not found", 0)</f>
        <v>7</v>
      </c>
    </row>
    <row r="1936" spans="1:12" x14ac:dyDescent="0.3">
      <c r="A1936" t="s">
        <v>520</v>
      </c>
      <c r="B1936">
        <v>2018</v>
      </c>
      <c r="C1936" t="s">
        <v>19</v>
      </c>
      <c r="D1936">
        <v>6</v>
      </c>
      <c r="E1936">
        <v>3</v>
      </c>
      <c r="F1936">
        <v>1</v>
      </c>
      <c r="G1936">
        <v>0</v>
      </c>
      <c r="H1936">
        <v>0</v>
      </c>
      <c r="I1936">
        <v>1</v>
      </c>
      <c r="J1936">
        <v>200</v>
      </c>
      <c r="L1936">
        <f>_xlfn.XLOOKUP(C1936, dim_teams[team_name], dim_teams[team_id], "Not found", 0)</f>
        <v>1</v>
      </c>
    </row>
    <row r="1937" spans="1:12" x14ac:dyDescent="0.3">
      <c r="A1937" t="s">
        <v>521</v>
      </c>
      <c r="B1937">
        <v>2022</v>
      </c>
      <c r="C1937" t="s">
        <v>76</v>
      </c>
      <c r="D1937">
        <v>11</v>
      </c>
      <c r="E1937">
        <v>14</v>
      </c>
      <c r="F1937">
        <v>1</v>
      </c>
      <c r="G1937">
        <v>0</v>
      </c>
      <c r="H1937">
        <v>2</v>
      </c>
      <c r="I1937">
        <v>2</v>
      </c>
      <c r="J1937">
        <v>78.569999999999993</v>
      </c>
      <c r="K1937">
        <v>5.5</v>
      </c>
      <c r="L1937">
        <f>_xlfn.XLOOKUP(C1937, dim_teams[team_name], dim_teams[team_id], "Not found", 0)</f>
        <v>16</v>
      </c>
    </row>
    <row r="1938" spans="1:12" x14ac:dyDescent="0.3">
      <c r="A1938" t="s">
        <v>521</v>
      </c>
      <c r="B1938">
        <v>2025</v>
      </c>
      <c r="C1938" t="s">
        <v>23</v>
      </c>
      <c r="D1938">
        <v>8</v>
      </c>
      <c r="E1938">
        <v>4</v>
      </c>
      <c r="F1938">
        <v>0</v>
      </c>
      <c r="G1938">
        <v>0</v>
      </c>
      <c r="H1938">
        <v>0</v>
      </c>
      <c r="I1938">
        <v>1</v>
      </c>
      <c r="J1938">
        <v>200</v>
      </c>
      <c r="L1938">
        <f>_xlfn.XLOOKUP(C1938, dim_teams[team_name], dim_teams[team_id], "Not found", 0)</f>
        <v>7</v>
      </c>
    </row>
    <row r="1939" spans="1:12" x14ac:dyDescent="0.3">
      <c r="A1939" t="s">
        <v>522</v>
      </c>
      <c r="B1939">
        <v>2008</v>
      </c>
      <c r="C1939" t="s">
        <v>17</v>
      </c>
      <c r="D1939">
        <v>135</v>
      </c>
      <c r="E1939">
        <v>100</v>
      </c>
      <c r="F1939">
        <v>11</v>
      </c>
      <c r="G1939">
        <v>6</v>
      </c>
      <c r="H1939">
        <v>7</v>
      </c>
      <c r="I1939">
        <v>9</v>
      </c>
      <c r="J1939">
        <v>135</v>
      </c>
      <c r="K1939">
        <v>19.29</v>
      </c>
      <c r="L1939">
        <f>_xlfn.XLOOKUP(C1939, dim_teams[team_name], dim_teams[team_id], "Not found", 0)</f>
        <v>5</v>
      </c>
    </row>
    <row r="1940" spans="1:12" x14ac:dyDescent="0.3">
      <c r="A1940" t="s">
        <v>522</v>
      </c>
      <c r="B1940">
        <v>2009</v>
      </c>
      <c r="C1940" t="s">
        <v>17</v>
      </c>
      <c r="D1940">
        <v>295</v>
      </c>
      <c r="E1940">
        <v>265</v>
      </c>
      <c r="F1940">
        <v>21</v>
      </c>
      <c r="G1940">
        <v>6</v>
      </c>
      <c r="H1940">
        <v>12</v>
      </c>
      <c r="I1940">
        <v>13</v>
      </c>
      <c r="J1940">
        <v>111.32</v>
      </c>
      <c r="K1940">
        <v>24.58</v>
      </c>
      <c r="L1940">
        <f>_xlfn.XLOOKUP(C1940, dim_teams[team_name], dim_teams[team_id], "Not found", 0)</f>
        <v>5</v>
      </c>
    </row>
    <row r="1941" spans="1:12" x14ac:dyDescent="0.3">
      <c r="A1941" t="s">
        <v>522</v>
      </c>
      <c r="B1941">
        <v>2011</v>
      </c>
      <c r="C1941" t="s">
        <v>122</v>
      </c>
      <c r="D1941">
        <v>283</v>
      </c>
      <c r="E1941">
        <v>227</v>
      </c>
      <c r="F1941">
        <v>20</v>
      </c>
      <c r="G1941">
        <v>14</v>
      </c>
      <c r="H1941">
        <v>9</v>
      </c>
      <c r="I1941">
        <v>12</v>
      </c>
      <c r="J1941">
        <v>124.67</v>
      </c>
      <c r="K1941">
        <v>31.44</v>
      </c>
      <c r="L1941">
        <f>_xlfn.XLOOKUP(C1941, dim_teams[team_name], dim_teams[team_id], "Not found", 0)</f>
        <v>9</v>
      </c>
    </row>
    <row r="1942" spans="1:12" x14ac:dyDescent="0.3">
      <c r="A1942" t="s">
        <v>522</v>
      </c>
      <c r="B1942">
        <v>2012</v>
      </c>
      <c r="C1942" t="s">
        <v>25</v>
      </c>
      <c r="D1942">
        <v>191</v>
      </c>
      <c r="E1942">
        <v>151</v>
      </c>
      <c r="F1942">
        <v>13</v>
      </c>
      <c r="G1942">
        <v>9</v>
      </c>
      <c r="H1942">
        <v>12</v>
      </c>
      <c r="I1942">
        <v>14</v>
      </c>
      <c r="J1942">
        <v>126.49</v>
      </c>
      <c r="K1942">
        <v>15.92</v>
      </c>
      <c r="L1942">
        <f>_xlfn.XLOOKUP(C1942, dim_teams[team_name], dim_teams[team_id], "Not found", 0)</f>
        <v>3</v>
      </c>
    </row>
    <row r="1943" spans="1:12" x14ac:dyDescent="0.3">
      <c r="A1943" t="s">
        <v>522</v>
      </c>
      <c r="B1943">
        <v>2013</v>
      </c>
      <c r="C1943" t="s">
        <v>25</v>
      </c>
      <c r="D1943">
        <v>201</v>
      </c>
      <c r="E1943">
        <v>134</v>
      </c>
      <c r="F1943">
        <v>17</v>
      </c>
      <c r="G1943">
        <v>6</v>
      </c>
      <c r="H1943">
        <v>9</v>
      </c>
      <c r="I1943">
        <v>14</v>
      </c>
      <c r="J1943">
        <v>150</v>
      </c>
      <c r="K1943">
        <v>22.33</v>
      </c>
      <c r="L1943">
        <f>_xlfn.XLOOKUP(C1943, dim_teams[team_name], dim_teams[team_id], "Not found", 0)</f>
        <v>3</v>
      </c>
    </row>
    <row r="1944" spans="1:12" x14ac:dyDescent="0.3">
      <c r="A1944" t="s">
        <v>522</v>
      </c>
      <c r="B1944">
        <v>2014</v>
      </c>
      <c r="C1944" t="s">
        <v>25</v>
      </c>
      <c r="D1944">
        <v>146</v>
      </c>
      <c r="E1944">
        <v>109</v>
      </c>
      <c r="F1944">
        <v>9</v>
      </c>
      <c r="G1944">
        <v>5</v>
      </c>
      <c r="H1944">
        <v>5</v>
      </c>
      <c r="I1944">
        <v>10</v>
      </c>
      <c r="J1944">
        <v>133.94</v>
      </c>
      <c r="K1944">
        <v>29.2</v>
      </c>
      <c r="L1944">
        <f>_xlfn.XLOOKUP(C1944, dim_teams[team_name], dim_teams[team_id], "Not found", 0)</f>
        <v>3</v>
      </c>
    </row>
    <row r="1945" spans="1:12" x14ac:dyDescent="0.3">
      <c r="A1945" t="s">
        <v>522</v>
      </c>
      <c r="B1945">
        <v>2015</v>
      </c>
      <c r="C1945" t="s">
        <v>25</v>
      </c>
      <c r="D1945">
        <v>132</v>
      </c>
      <c r="E1945">
        <v>126</v>
      </c>
      <c r="F1945">
        <v>7</v>
      </c>
      <c r="G1945">
        <v>3</v>
      </c>
      <c r="H1945">
        <v>8</v>
      </c>
      <c r="I1945">
        <v>11</v>
      </c>
      <c r="J1945">
        <v>104.76</v>
      </c>
      <c r="K1945">
        <v>16.5</v>
      </c>
      <c r="L1945">
        <f>_xlfn.XLOOKUP(C1945, dim_teams[team_name], dim_teams[team_id], "Not found", 0)</f>
        <v>3</v>
      </c>
    </row>
    <row r="1946" spans="1:12" x14ac:dyDescent="0.3">
      <c r="A1946" t="s">
        <v>522</v>
      </c>
      <c r="B1946">
        <v>2016</v>
      </c>
      <c r="C1946" t="s">
        <v>66</v>
      </c>
      <c r="D1946">
        <v>191</v>
      </c>
      <c r="E1946">
        <v>175</v>
      </c>
      <c r="F1946">
        <v>14</v>
      </c>
      <c r="G1946">
        <v>4</v>
      </c>
      <c r="H1946">
        <v>10</v>
      </c>
      <c r="I1946">
        <v>15</v>
      </c>
      <c r="J1946">
        <v>109.14</v>
      </c>
      <c r="K1946">
        <v>19.100000000000001</v>
      </c>
      <c r="L1946">
        <f>_xlfn.XLOOKUP(C1946, dim_teams[team_name], dim_teams[team_id], "Not found", 0)</f>
        <v>13</v>
      </c>
    </row>
    <row r="1947" spans="1:12" x14ac:dyDescent="0.3">
      <c r="A1947" t="s">
        <v>522</v>
      </c>
      <c r="B1947">
        <v>2017</v>
      </c>
      <c r="C1947" t="s">
        <v>66</v>
      </c>
      <c r="D1947">
        <v>158</v>
      </c>
      <c r="E1947">
        <v>113</v>
      </c>
      <c r="F1947">
        <v>13</v>
      </c>
      <c r="G1947">
        <v>4</v>
      </c>
      <c r="H1947">
        <v>4</v>
      </c>
      <c r="I1947">
        <v>10</v>
      </c>
      <c r="J1947">
        <v>139.82</v>
      </c>
      <c r="K1947">
        <v>39.5</v>
      </c>
      <c r="L1947">
        <f>_xlfn.XLOOKUP(C1947, dim_teams[team_name], dim_teams[team_id], "Not found", 0)</f>
        <v>13</v>
      </c>
    </row>
    <row r="1948" spans="1:12" x14ac:dyDescent="0.3">
      <c r="A1948" t="s">
        <v>522</v>
      </c>
      <c r="B1948">
        <v>2018</v>
      </c>
      <c r="C1948" t="s">
        <v>25</v>
      </c>
      <c r="D1948">
        <v>89</v>
      </c>
      <c r="E1948">
        <v>74</v>
      </c>
      <c r="F1948">
        <v>3</v>
      </c>
      <c r="G1948">
        <v>4</v>
      </c>
      <c r="H1948">
        <v>5</v>
      </c>
      <c r="I1948">
        <v>8</v>
      </c>
      <c r="J1948">
        <v>120.27</v>
      </c>
      <c r="K1948">
        <v>17.8</v>
      </c>
      <c r="L1948">
        <f>_xlfn.XLOOKUP(C1948, dim_teams[team_name], dim_teams[team_id], "Not found", 0)</f>
        <v>3</v>
      </c>
    </row>
    <row r="1949" spans="1:12" x14ac:dyDescent="0.3">
      <c r="A1949" t="s">
        <v>522</v>
      </c>
      <c r="B1949">
        <v>2019</v>
      </c>
      <c r="C1949" t="s">
        <v>25</v>
      </c>
      <c r="D1949">
        <v>106</v>
      </c>
      <c r="E1949">
        <v>87</v>
      </c>
      <c r="F1949">
        <v>7</v>
      </c>
      <c r="G1949">
        <v>4</v>
      </c>
      <c r="H1949">
        <v>2</v>
      </c>
      <c r="I1949">
        <v>9</v>
      </c>
      <c r="J1949">
        <v>121.84</v>
      </c>
      <c r="K1949">
        <v>53</v>
      </c>
      <c r="L1949">
        <f>_xlfn.XLOOKUP(C1949, dim_teams[team_name], dim_teams[team_id], "Not found", 0)</f>
        <v>3</v>
      </c>
    </row>
    <row r="1950" spans="1:12" x14ac:dyDescent="0.3">
      <c r="A1950" t="s">
        <v>522</v>
      </c>
      <c r="B1950">
        <v>2020</v>
      </c>
      <c r="C1950" t="s">
        <v>25</v>
      </c>
      <c r="D1950">
        <v>232</v>
      </c>
      <c r="E1950">
        <v>134</v>
      </c>
      <c r="F1950">
        <v>22</v>
      </c>
      <c r="G1950">
        <v>11</v>
      </c>
      <c r="H1950">
        <v>5</v>
      </c>
      <c r="I1950">
        <v>11</v>
      </c>
      <c r="J1950">
        <v>173.13</v>
      </c>
      <c r="K1950">
        <v>46.4</v>
      </c>
      <c r="L1950">
        <f>_xlfn.XLOOKUP(C1950, dim_teams[team_name], dim_teams[team_id], "Not found", 0)</f>
        <v>3</v>
      </c>
    </row>
    <row r="1951" spans="1:12" x14ac:dyDescent="0.3">
      <c r="A1951" t="s">
        <v>522</v>
      </c>
      <c r="B1951">
        <v>2021</v>
      </c>
      <c r="C1951" t="s">
        <v>25</v>
      </c>
      <c r="D1951">
        <v>227</v>
      </c>
      <c r="E1951">
        <v>155</v>
      </c>
      <c r="F1951">
        <v>19</v>
      </c>
      <c r="G1951">
        <v>9</v>
      </c>
      <c r="H1951">
        <v>4</v>
      </c>
      <c r="I1951">
        <v>11</v>
      </c>
      <c r="J1951">
        <v>146.44999999999999</v>
      </c>
      <c r="K1951">
        <v>56.75</v>
      </c>
      <c r="L1951">
        <f>_xlfn.XLOOKUP(C1951, dim_teams[team_name], dim_teams[team_id], "Not found", 0)</f>
        <v>3</v>
      </c>
    </row>
    <row r="1952" spans="1:12" x14ac:dyDescent="0.3">
      <c r="A1952" t="s">
        <v>522</v>
      </c>
      <c r="B1952">
        <v>2022</v>
      </c>
      <c r="C1952" t="s">
        <v>25</v>
      </c>
      <c r="D1952">
        <v>116</v>
      </c>
      <c r="E1952">
        <v>98</v>
      </c>
      <c r="F1952">
        <v>6</v>
      </c>
      <c r="G1952">
        <v>5</v>
      </c>
      <c r="H1952">
        <v>8</v>
      </c>
      <c r="I1952">
        <v>10</v>
      </c>
      <c r="J1952">
        <v>118.37</v>
      </c>
      <c r="K1952">
        <v>14.5</v>
      </c>
      <c r="L1952">
        <f>_xlfn.XLOOKUP(C1952, dim_teams[team_name], dim_teams[team_id], "Not found", 0)</f>
        <v>3</v>
      </c>
    </row>
    <row r="1953" spans="1:12" x14ac:dyDescent="0.3">
      <c r="A1953" t="s">
        <v>522</v>
      </c>
      <c r="B1953">
        <v>2023</v>
      </c>
      <c r="C1953" t="s">
        <v>25</v>
      </c>
      <c r="D1953">
        <v>190</v>
      </c>
      <c r="E1953">
        <v>132</v>
      </c>
      <c r="F1953">
        <v>11</v>
      </c>
      <c r="G1953">
        <v>9</v>
      </c>
      <c r="H1953">
        <v>8</v>
      </c>
      <c r="I1953">
        <v>12</v>
      </c>
      <c r="J1953">
        <v>143.94</v>
      </c>
      <c r="K1953">
        <v>23.75</v>
      </c>
      <c r="L1953">
        <f>_xlfn.XLOOKUP(C1953, dim_teams[team_name], dim_teams[team_id], "Not found", 0)</f>
        <v>3</v>
      </c>
    </row>
    <row r="1954" spans="1:12" x14ac:dyDescent="0.3">
      <c r="A1954" t="s">
        <v>522</v>
      </c>
      <c r="B1954">
        <v>2024</v>
      </c>
      <c r="C1954" t="s">
        <v>25</v>
      </c>
      <c r="D1954">
        <v>267</v>
      </c>
      <c r="E1954">
        <v>187</v>
      </c>
      <c r="F1954">
        <v>22</v>
      </c>
      <c r="G1954">
        <v>8</v>
      </c>
      <c r="H1954">
        <v>6</v>
      </c>
      <c r="I1954">
        <v>11</v>
      </c>
      <c r="J1954">
        <v>142.78</v>
      </c>
      <c r="K1954">
        <v>44.5</v>
      </c>
      <c r="L1954">
        <f>_xlfn.XLOOKUP(C1954, dim_teams[team_name], dim_teams[team_id], "Not found", 0)</f>
        <v>3</v>
      </c>
    </row>
    <row r="1955" spans="1:12" x14ac:dyDescent="0.3">
      <c r="A1955" t="s">
        <v>522</v>
      </c>
      <c r="B1955">
        <v>2025</v>
      </c>
      <c r="C1955" t="s">
        <v>25</v>
      </c>
      <c r="D1955">
        <v>301</v>
      </c>
      <c r="E1955">
        <v>222</v>
      </c>
      <c r="F1955">
        <v>25</v>
      </c>
      <c r="G1955">
        <v>10</v>
      </c>
      <c r="H1955">
        <v>9</v>
      </c>
      <c r="I1955">
        <v>14</v>
      </c>
      <c r="J1955">
        <v>135.59</v>
      </c>
      <c r="K1955">
        <v>33.44</v>
      </c>
      <c r="L1955">
        <f>_xlfn.XLOOKUP(C1955, dim_teams[team_name], dim_teams[team_id], "Not found", 0)</f>
        <v>3</v>
      </c>
    </row>
    <row r="1956" spans="1:12" x14ac:dyDescent="0.3">
      <c r="A1956" t="s">
        <v>523</v>
      </c>
      <c r="B1956">
        <v>2017</v>
      </c>
      <c r="C1956" t="s">
        <v>46</v>
      </c>
      <c r="D1956">
        <v>391</v>
      </c>
      <c r="E1956">
        <v>267</v>
      </c>
      <c r="F1956">
        <v>43</v>
      </c>
      <c r="G1956">
        <v>17</v>
      </c>
      <c r="H1956">
        <v>12</v>
      </c>
      <c r="I1956">
        <v>14</v>
      </c>
      <c r="J1956">
        <v>146.44</v>
      </c>
      <c r="K1956">
        <v>32.58</v>
      </c>
      <c r="L1956">
        <f>_xlfn.XLOOKUP(C1956, dim_teams[team_name], dim_teams[team_id], "Not found", 0)</f>
        <v>14</v>
      </c>
    </row>
    <row r="1957" spans="1:12" x14ac:dyDescent="0.3">
      <c r="A1957" t="s">
        <v>523</v>
      </c>
      <c r="B1957">
        <v>2018</v>
      </c>
      <c r="C1957" t="s">
        <v>17</v>
      </c>
      <c r="D1957">
        <v>226</v>
      </c>
      <c r="E1957">
        <v>166</v>
      </c>
      <c r="F1957">
        <v>18</v>
      </c>
      <c r="G1957">
        <v>8</v>
      </c>
      <c r="H1957">
        <v>9</v>
      </c>
      <c r="I1957">
        <v>12</v>
      </c>
      <c r="J1957">
        <v>136.13999999999999</v>
      </c>
      <c r="K1957">
        <v>25.11</v>
      </c>
      <c r="L1957">
        <f>_xlfn.XLOOKUP(C1957, dim_teams[team_name], dim_teams[team_id], "Not found", 0)</f>
        <v>5</v>
      </c>
    </row>
    <row r="1958" spans="1:12" x14ac:dyDescent="0.3">
      <c r="A1958" t="s">
        <v>523</v>
      </c>
      <c r="B1958">
        <v>2019</v>
      </c>
      <c r="C1958" t="s">
        <v>17</v>
      </c>
      <c r="D1958">
        <v>141</v>
      </c>
      <c r="E1958">
        <v>117</v>
      </c>
      <c r="F1958">
        <v>13</v>
      </c>
      <c r="G1958">
        <v>2</v>
      </c>
      <c r="H1958">
        <v>6</v>
      </c>
      <c r="I1958">
        <v>7</v>
      </c>
      <c r="J1958">
        <v>120.51</v>
      </c>
      <c r="K1958">
        <v>23.5</v>
      </c>
      <c r="L1958">
        <f>_xlfn.XLOOKUP(C1958, dim_teams[team_name], dim_teams[team_id], "Not found", 0)</f>
        <v>5</v>
      </c>
    </row>
    <row r="1959" spans="1:12" x14ac:dyDescent="0.3">
      <c r="A1959" t="s">
        <v>523</v>
      </c>
      <c r="B1959">
        <v>2020</v>
      </c>
      <c r="C1959" t="s">
        <v>19</v>
      </c>
      <c r="D1959">
        <v>230</v>
      </c>
      <c r="E1959">
        <v>181</v>
      </c>
      <c r="F1959">
        <v>21</v>
      </c>
      <c r="G1959">
        <v>10</v>
      </c>
      <c r="H1959">
        <v>10</v>
      </c>
      <c r="I1959">
        <v>11</v>
      </c>
      <c r="J1959">
        <v>127.07</v>
      </c>
      <c r="K1959">
        <v>23</v>
      </c>
      <c r="L1959">
        <f>_xlfn.XLOOKUP(C1959, dim_teams[team_name], dim_teams[team_id], "Not found", 0)</f>
        <v>1</v>
      </c>
    </row>
    <row r="1960" spans="1:12" x14ac:dyDescent="0.3">
      <c r="A1960" t="s">
        <v>523</v>
      </c>
      <c r="B1960">
        <v>2021</v>
      </c>
      <c r="C1960" t="s">
        <v>19</v>
      </c>
      <c r="D1960">
        <v>397</v>
      </c>
      <c r="E1960">
        <v>282</v>
      </c>
      <c r="F1960">
        <v>41</v>
      </c>
      <c r="G1960">
        <v>11</v>
      </c>
      <c r="H1960">
        <v>15</v>
      </c>
      <c r="I1960">
        <v>16</v>
      </c>
      <c r="J1960">
        <v>140.78</v>
      </c>
      <c r="K1960">
        <v>26.47</v>
      </c>
      <c r="L1960">
        <f>_xlfn.XLOOKUP(C1960, dim_teams[team_name], dim_teams[team_id], "Not found", 0)</f>
        <v>1</v>
      </c>
    </row>
    <row r="1961" spans="1:12" x14ac:dyDescent="0.3">
      <c r="A1961" t="s">
        <v>523</v>
      </c>
      <c r="B1961">
        <v>2022</v>
      </c>
      <c r="C1961" t="s">
        <v>13</v>
      </c>
      <c r="D1961">
        <v>413</v>
      </c>
      <c r="E1961">
        <v>260</v>
      </c>
      <c r="F1961">
        <v>40</v>
      </c>
      <c r="G1961">
        <v>20</v>
      </c>
      <c r="H1961">
        <v>12</v>
      </c>
      <c r="I1961">
        <v>14</v>
      </c>
      <c r="J1961">
        <v>158.85</v>
      </c>
      <c r="K1961">
        <v>34.42</v>
      </c>
      <c r="L1961">
        <f>_xlfn.XLOOKUP(C1961, dim_teams[team_name], dim_teams[team_id], "Not found", 0)</f>
        <v>11</v>
      </c>
    </row>
    <row r="1962" spans="1:12" x14ac:dyDescent="0.3">
      <c r="A1962" t="s">
        <v>523</v>
      </c>
      <c r="B1962">
        <v>2023</v>
      </c>
      <c r="C1962" t="s">
        <v>13</v>
      </c>
      <c r="D1962">
        <v>273</v>
      </c>
      <c r="E1962">
        <v>212</v>
      </c>
      <c r="F1962">
        <v>29</v>
      </c>
      <c r="G1962">
        <v>10</v>
      </c>
      <c r="H1962">
        <v>12</v>
      </c>
      <c r="I1962">
        <v>13</v>
      </c>
      <c r="J1962">
        <v>128.77000000000001</v>
      </c>
      <c r="K1962">
        <v>22.75</v>
      </c>
      <c r="L1962">
        <f>_xlfn.XLOOKUP(C1962, dim_teams[team_name], dim_teams[team_id], "Not found", 0)</f>
        <v>11</v>
      </c>
    </row>
    <row r="1963" spans="1:12" x14ac:dyDescent="0.3">
      <c r="A1963" t="s">
        <v>523</v>
      </c>
      <c r="B1963">
        <v>2024</v>
      </c>
      <c r="C1963" t="s">
        <v>13</v>
      </c>
      <c r="D1963">
        <v>165</v>
      </c>
      <c r="E1963">
        <v>113</v>
      </c>
      <c r="F1963">
        <v>18</v>
      </c>
      <c r="G1963">
        <v>6</v>
      </c>
      <c r="H1963">
        <v>5</v>
      </c>
      <c r="I1963">
        <v>6</v>
      </c>
      <c r="J1963">
        <v>146.02000000000001</v>
      </c>
      <c r="K1963">
        <v>33</v>
      </c>
      <c r="L1963">
        <f>_xlfn.XLOOKUP(C1963, dim_teams[team_name], dim_teams[team_id], "Not found", 0)</f>
        <v>11</v>
      </c>
    </row>
    <row r="1964" spans="1:12" x14ac:dyDescent="0.3">
      <c r="A1964" t="s">
        <v>523</v>
      </c>
      <c r="B1964">
        <v>2025</v>
      </c>
      <c r="C1964" t="s">
        <v>25</v>
      </c>
      <c r="D1964">
        <v>55</v>
      </c>
      <c r="E1964">
        <v>57</v>
      </c>
      <c r="F1964">
        <v>6</v>
      </c>
      <c r="G1964">
        <v>1</v>
      </c>
      <c r="H1964">
        <v>5</v>
      </c>
      <c r="I1964">
        <v>5</v>
      </c>
      <c r="J1964">
        <v>96.49</v>
      </c>
      <c r="K1964">
        <v>11</v>
      </c>
      <c r="L1964">
        <f>_xlfn.XLOOKUP(C1964, dim_teams[team_name], dim_teams[team_id], "Not found", 0)</f>
        <v>3</v>
      </c>
    </row>
    <row r="1965" spans="1:12" x14ac:dyDescent="0.3">
      <c r="A1965" t="s">
        <v>524</v>
      </c>
      <c r="B1965">
        <v>2017</v>
      </c>
      <c r="C1965" t="s">
        <v>46</v>
      </c>
      <c r="D1965">
        <v>3</v>
      </c>
      <c r="E1965">
        <v>2</v>
      </c>
      <c r="F1965">
        <v>0</v>
      </c>
      <c r="G1965">
        <v>0</v>
      </c>
      <c r="H1965">
        <v>0</v>
      </c>
      <c r="I1965">
        <v>1</v>
      </c>
      <c r="J1965">
        <v>150</v>
      </c>
      <c r="L1965">
        <f>_xlfn.XLOOKUP(C1965, dim_teams[team_name], dim_teams[team_id], "Not found", 0)</f>
        <v>14</v>
      </c>
    </row>
    <row r="1966" spans="1:12" x14ac:dyDescent="0.3">
      <c r="A1966" t="s">
        <v>524</v>
      </c>
      <c r="B1966">
        <v>2019</v>
      </c>
      <c r="C1966" t="s">
        <v>23</v>
      </c>
      <c r="D1966">
        <v>12</v>
      </c>
      <c r="E1966">
        <v>11</v>
      </c>
      <c r="F1966">
        <v>2</v>
      </c>
      <c r="G1966">
        <v>0</v>
      </c>
      <c r="H1966">
        <v>2</v>
      </c>
      <c r="I1966">
        <v>4</v>
      </c>
      <c r="J1966">
        <v>109.09</v>
      </c>
      <c r="K1966">
        <v>6</v>
      </c>
      <c r="L1966">
        <f>_xlfn.XLOOKUP(C1966, dim_teams[team_name], dim_teams[team_id], "Not found", 0)</f>
        <v>7</v>
      </c>
    </row>
    <row r="1967" spans="1:12" x14ac:dyDescent="0.3">
      <c r="A1967" t="s">
        <v>524</v>
      </c>
      <c r="B1967">
        <v>2020</v>
      </c>
      <c r="C1967" t="s">
        <v>23</v>
      </c>
      <c r="D1967">
        <v>2</v>
      </c>
      <c r="E1967">
        <v>4</v>
      </c>
      <c r="F1967">
        <v>0</v>
      </c>
      <c r="G1967">
        <v>0</v>
      </c>
      <c r="H1967">
        <v>0</v>
      </c>
      <c r="I1967">
        <v>1</v>
      </c>
      <c r="J1967">
        <v>50</v>
      </c>
      <c r="L1967">
        <f>_xlfn.XLOOKUP(C1967, dim_teams[team_name], dim_teams[team_id], "Not found", 0)</f>
        <v>7</v>
      </c>
    </row>
    <row r="1968" spans="1:12" x14ac:dyDescent="0.3">
      <c r="A1968" t="s">
        <v>524</v>
      </c>
      <c r="B1968">
        <v>2021</v>
      </c>
      <c r="C1968" t="s">
        <v>23</v>
      </c>
      <c r="D1968">
        <v>14</v>
      </c>
      <c r="E1968">
        <v>15</v>
      </c>
      <c r="F1968">
        <v>1</v>
      </c>
      <c r="G1968">
        <v>0</v>
      </c>
      <c r="H1968">
        <v>4</v>
      </c>
      <c r="I1968">
        <v>4</v>
      </c>
      <c r="J1968">
        <v>93.33</v>
      </c>
      <c r="K1968">
        <v>3.5</v>
      </c>
      <c r="L1968">
        <f>_xlfn.XLOOKUP(C1968, dim_teams[team_name], dim_teams[team_id], "Not found", 0)</f>
        <v>7</v>
      </c>
    </row>
    <row r="1969" spans="1:12" x14ac:dyDescent="0.3">
      <c r="A1969" t="s">
        <v>524</v>
      </c>
      <c r="B1969">
        <v>2022</v>
      </c>
      <c r="C1969" t="s">
        <v>76</v>
      </c>
      <c r="D1969">
        <v>77</v>
      </c>
      <c r="E1969">
        <v>68</v>
      </c>
      <c r="F1969">
        <v>7</v>
      </c>
      <c r="G1969">
        <v>4</v>
      </c>
      <c r="H1969">
        <v>7</v>
      </c>
      <c r="I1969">
        <v>8</v>
      </c>
      <c r="J1969">
        <v>113.24</v>
      </c>
      <c r="K1969">
        <v>11</v>
      </c>
      <c r="L1969">
        <f>_xlfn.XLOOKUP(C1969, dim_teams[team_name], dim_teams[team_id], "Not found", 0)</f>
        <v>16</v>
      </c>
    </row>
    <row r="1970" spans="1:12" x14ac:dyDescent="0.3">
      <c r="A1970" t="s">
        <v>524</v>
      </c>
      <c r="B1970">
        <v>2023</v>
      </c>
      <c r="C1970" t="s">
        <v>76</v>
      </c>
      <c r="D1970">
        <v>0</v>
      </c>
      <c r="E1970">
        <v>9</v>
      </c>
      <c r="F1970">
        <v>0</v>
      </c>
      <c r="G1970">
        <v>0</v>
      </c>
      <c r="H1970">
        <v>2</v>
      </c>
      <c r="I1970">
        <v>2</v>
      </c>
      <c r="J1970">
        <v>0</v>
      </c>
      <c r="K1970">
        <v>0</v>
      </c>
      <c r="L1970">
        <f>_xlfn.XLOOKUP(C1970, dim_teams[team_name], dim_teams[team_id], "Not found", 0)</f>
        <v>16</v>
      </c>
    </row>
    <row r="1971" spans="1:12" x14ac:dyDescent="0.3">
      <c r="A1971" t="s">
        <v>524</v>
      </c>
      <c r="B1971">
        <v>2024</v>
      </c>
      <c r="C1971" t="s">
        <v>76</v>
      </c>
      <c r="D1971">
        <v>21</v>
      </c>
      <c r="E1971">
        <v>15</v>
      </c>
      <c r="F1971">
        <v>3</v>
      </c>
      <c r="G1971">
        <v>1</v>
      </c>
      <c r="H1971">
        <v>1</v>
      </c>
      <c r="I1971">
        <v>2</v>
      </c>
      <c r="J1971">
        <v>140</v>
      </c>
      <c r="K1971">
        <v>21</v>
      </c>
      <c r="L1971">
        <f>_xlfn.XLOOKUP(C1971, dim_teams[team_name], dim_teams[team_id], "Not found", 0)</f>
        <v>16</v>
      </c>
    </row>
    <row r="1972" spans="1:12" x14ac:dyDescent="0.3">
      <c r="A1972" t="s">
        <v>525</v>
      </c>
      <c r="B1972">
        <v>2020</v>
      </c>
      <c r="C1972" t="s">
        <v>25</v>
      </c>
      <c r="D1972">
        <v>204</v>
      </c>
      <c r="E1972">
        <v>169</v>
      </c>
      <c r="F1972">
        <v>16</v>
      </c>
      <c r="G1972">
        <v>6</v>
      </c>
      <c r="H1972">
        <v>3</v>
      </c>
      <c r="I1972">
        <v>6</v>
      </c>
      <c r="J1972">
        <v>120.71</v>
      </c>
      <c r="K1972">
        <v>68</v>
      </c>
      <c r="L1972">
        <f>_xlfn.XLOOKUP(C1972, dim_teams[team_name], dim_teams[team_id], "Not found", 0)</f>
        <v>3</v>
      </c>
    </row>
    <row r="1973" spans="1:12" x14ac:dyDescent="0.3">
      <c r="A1973" t="s">
        <v>525</v>
      </c>
      <c r="B1973">
        <v>2021</v>
      </c>
      <c r="C1973" t="s">
        <v>25</v>
      </c>
      <c r="D1973">
        <v>635</v>
      </c>
      <c r="E1973">
        <v>462</v>
      </c>
      <c r="F1973">
        <v>64</v>
      </c>
      <c r="G1973">
        <v>23</v>
      </c>
      <c r="H1973">
        <v>15</v>
      </c>
      <c r="I1973">
        <v>16</v>
      </c>
      <c r="J1973">
        <v>137.44999999999999</v>
      </c>
      <c r="K1973">
        <v>42.33</v>
      </c>
      <c r="L1973">
        <f>_xlfn.XLOOKUP(C1973, dim_teams[team_name], dim_teams[team_id], "Not found", 0)</f>
        <v>3</v>
      </c>
    </row>
    <row r="1974" spans="1:12" x14ac:dyDescent="0.3">
      <c r="A1974" t="s">
        <v>525</v>
      </c>
      <c r="B1974">
        <v>2022</v>
      </c>
      <c r="C1974" t="s">
        <v>25</v>
      </c>
      <c r="D1974">
        <v>368</v>
      </c>
      <c r="E1974">
        <v>289</v>
      </c>
      <c r="F1974">
        <v>33</v>
      </c>
      <c r="G1974">
        <v>14</v>
      </c>
      <c r="H1974">
        <v>14</v>
      </c>
      <c r="I1974">
        <v>14</v>
      </c>
      <c r="J1974">
        <v>127.34</v>
      </c>
      <c r="K1974">
        <v>26.29</v>
      </c>
      <c r="L1974">
        <f>_xlfn.XLOOKUP(C1974, dim_teams[team_name], dim_teams[team_id], "Not found", 0)</f>
        <v>3</v>
      </c>
    </row>
    <row r="1975" spans="1:12" x14ac:dyDescent="0.3">
      <c r="A1975" t="s">
        <v>525</v>
      </c>
      <c r="B1975">
        <v>2023</v>
      </c>
      <c r="C1975" t="s">
        <v>25</v>
      </c>
      <c r="D1975">
        <v>590</v>
      </c>
      <c r="E1975">
        <v>398</v>
      </c>
      <c r="F1975">
        <v>46</v>
      </c>
      <c r="G1975">
        <v>30</v>
      </c>
      <c r="H1975">
        <v>13</v>
      </c>
      <c r="I1975">
        <v>15</v>
      </c>
      <c r="J1975">
        <v>148.24</v>
      </c>
      <c r="K1975">
        <v>45.38</v>
      </c>
      <c r="L1975">
        <f>_xlfn.XLOOKUP(C1975, dim_teams[team_name], dim_teams[team_id], "Not found", 0)</f>
        <v>3</v>
      </c>
    </row>
    <row r="1976" spans="1:12" x14ac:dyDescent="0.3">
      <c r="A1976" t="s">
        <v>525</v>
      </c>
      <c r="B1976">
        <v>2024</v>
      </c>
      <c r="C1976" t="s">
        <v>25</v>
      </c>
      <c r="D1976">
        <v>583</v>
      </c>
      <c r="E1976">
        <v>412</v>
      </c>
      <c r="F1976">
        <v>58</v>
      </c>
      <c r="G1976">
        <v>18</v>
      </c>
      <c r="H1976">
        <v>11</v>
      </c>
      <c r="I1976">
        <v>14</v>
      </c>
      <c r="J1976">
        <v>141.5</v>
      </c>
      <c r="K1976">
        <v>53</v>
      </c>
      <c r="L1976">
        <f>_xlfn.XLOOKUP(C1976, dim_teams[team_name], dim_teams[team_id], "Not found", 0)</f>
        <v>3</v>
      </c>
    </row>
    <row r="1977" spans="1:12" x14ac:dyDescent="0.3">
      <c r="A1977" t="s">
        <v>525</v>
      </c>
      <c r="B1977">
        <v>2025</v>
      </c>
      <c r="C1977" t="s">
        <v>25</v>
      </c>
      <c r="D1977">
        <v>122</v>
      </c>
      <c r="E1977">
        <v>81</v>
      </c>
      <c r="F1977">
        <v>14</v>
      </c>
      <c r="G1977">
        <v>4</v>
      </c>
      <c r="H1977">
        <v>5</v>
      </c>
      <c r="I1977">
        <v>5</v>
      </c>
      <c r="J1977">
        <v>150.62</v>
      </c>
      <c r="K1977">
        <v>24.4</v>
      </c>
      <c r="L1977">
        <f>_xlfn.XLOOKUP(C1977, dim_teams[team_name], dim_teams[team_id], "Not found", 0)</f>
        <v>3</v>
      </c>
    </row>
    <row r="1978" spans="1:12" x14ac:dyDescent="0.3">
      <c r="A1978" t="s">
        <v>526</v>
      </c>
      <c r="B1978">
        <v>2025</v>
      </c>
      <c r="C1978" t="s">
        <v>23</v>
      </c>
      <c r="D1978">
        <v>388</v>
      </c>
      <c r="E1978">
        <v>255</v>
      </c>
      <c r="F1978">
        <v>47</v>
      </c>
      <c r="G1978">
        <v>17</v>
      </c>
      <c r="H1978">
        <v>13</v>
      </c>
      <c r="I1978">
        <v>14</v>
      </c>
      <c r="J1978">
        <v>152.16</v>
      </c>
      <c r="K1978">
        <v>29.85</v>
      </c>
      <c r="L1978">
        <f>_xlfn.XLOOKUP(C1978, dim_teams[team_name], dim_teams[team_id], "Not found", 0)</f>
        <v>7</v>
      </c>
    </row>
    <row r="1979" spans="1:12" x14ac:dyDescent="0.3">
      <c r="A1979" t="s">
        <v>527</v>
      </c>
      <c r="B1979">
        <v>2012</v>
      </c>
      <c r="C1979" t="s">
        <v>23</v>
      </c>
      <c r="D1979">
        <v>83</v>
      </c>
      <c r="E1979">
        <v>73</v>
      </c>
      <c r="F1979">
        <v>10</v>
      </c>
      <c r="G1979">
        <v>4</v>
      </c>
      <c r="H1979">
        <v>6</v>
      </c>
      <c r="I1979">
        <v>6</v>
      </c>
      <c r="J1979">
        <v>113.7</v>
      </c>
      <c r="K1979">
        <v>13.83</v>
      </c>
      <c r="L1979">
        <f>_xlfn.XLOOKUP(C1979, dim_teams[team_name], dim_teams[team_id], "Not found", 0)</f>
        <v>7</v>
      </c>
    </row>
    <row r="1980" spans="1:12" x14ac:dyDescent="0.3">
      <c r="A1980" t="s">
        <v>528</v>
      </c>
      <c r="B1980">
        <v>2009</v>
      </c>
      <c r="C1980" t="s">
        <v>21</v>
      </c>
      <c r="D1980">
        <v>122</v>
      </c>
      <c r="E1980">
        <v>98</v>
      </c>
      <c r="F1980">
        <v>8</v>
      </c>
      <c r="G1980">
        <v>8</v>
      </c>
      <c r="H1980">
        <v>8</v>
      </c>
      <c r="I1980">
        <v>8</v>
      </c>
      <c r="J1980">
        <v>124.49</v>
      </c>
      <c r="K1980">
        <v>15.25</v>
      </c>
      <c r="L1980">
        <f>_xlfn.XLOOKUP(C1980, dim_teams[team_name], dim_teams[team_id], "Not found", 0)</f>
        <v>2</v>
      </c>
    </row>
    <row r="1981" spans="1:12" x14ac:dyDescent="0.3">
      <c r="A1981" t="s">
        <v>528</v>
      </c>
      <c r="B1981">
        <v>2010</v>
      </c>
      <c r="C1981" t="s">
        <v>21</v>
      </c>
      <c r="D1981">
        <v>1</v>
      </c>
      <c r="E1981">
        <v>2</v>
      </c>
      <c r="F1981">
        <v>0</v>
      </c>
      <c r="G1981">
        <v>0</v>
      </c>
      <c r="H1981">
        <v>1</v>
      </c>
      <c r="I1981">
        <v>1</v>
      </c>
      <c r="J1981">
        <v>50</v>
      </c>
      <c r="K1981">
        <v>1</v>
      </c>
      <c r="L1981">
        <f>_xlfn.XLOOKUP(C1981, dim_teams[team_name], dim_teams[team_id], "Not found", 0)</f>
        <v>2</v>
      </c>
    </row>
    <row r="1982" spans="1:12" x14ac:dyDescent="0.3">
      <c r="A1982" t="s">
        <v>528</v>
      </c>
      <c r="B1982">
        <v>2011</v>
      </c>
      <c r="C1982" t="s">
        <v>32</v>
      </c>
      <c r="D1982">
        <v>14</v>
      </c>
      <c r="E1982">
        <v>16</v>
      </c>
      <c r="F1982">
        <v>1</v>
      </c>
      <c r="G1982">
        <v>0</v>
      </c>
      <c r="H1982">
        <v>1</v>
      </c>
      <c r="I1982">
        <v>4</v>
      </c>
      <c r="J1982">
        <v>87.5</v>
      </c>
      <c r="K1982">
        <v>14</v>
      </c>
      <c r="L1982">
        <f>_xlfn.XLOOKUP(C1982, dim_teams[team_name], dim_teams[team_id], "Not found", 0)</f>
        <v>6</v>
      </c>
    </row>
    <row r="1983" spans="1:12" x14ac:dyDescent="0.3">
      <c r="A1983" t="s">
        <v>528</v>
      </c>
      <c r="B1983">
        <v>2013</v>
      </c>
      <c r="C1983" t="s">
        <v>32</v>
      </c>
      <c r="D1983">
        <v>22</v>
      </c>
      <c r="E1983">
        <v>25</v>
      </c>
      <c r="F1983">
        <v>2</v>
      </c>
      <c r="G1983">
        <v>0</v>
      </c>
      <c r="H1983">
        <v>2</v>
      </c>
      <c r="I1983">
        <v>2</v>
      </c>
      <c r="J1983">
        <v>88</v>
      </c>
      <c r="K1983">
        <v>11</v>
      </c>
      <c r="L1983">
        <f>_xlfn.XLOOKUP(C1983, dim_teams[team_name], dim_teams[team_id], "Not found", 0)</f>
        <v>6</v>
      </c>
    </row>
    <row r="1984" spans="1:12" x14ac:dyDescent="0.3">
      <c r="A1984" t="s">
        <v>529</v>
      </c>
      <c r="B1984">
        <v>2015</v>
      </c>
      <c r="C1984" t="s">
        <v>25</v>
      </c>
      <c r="D1984">
        <v>2</v>
      </c>
      <c r="E1984">
        <v>2</v>
      </c>
      <c r="F1984">
        <v>0</v>
      </c>
      <c r="G1984">
        <v>0</v>
      </c>
      <c r="H1984">
        <v>0</v>
      </c>
      <c r="I1984">
        <v>1</v>
      </c>
      <c r="J1984">
        <v>100</v>
      </c>
      <c r="L1984">
        <f>_xlfn.XLOOKUP(C1984, dim_teams[team_name], dim_teams[team_id], "Not found", 0)</f>
        <v>3</v>
      </c>
    </row>
    <row r="1985" spans="1:12" x14ac:dyDescent="0.3">
      <c r="A1985" t="s">
        <v>530</v>
      </c>
      <c r="B1985">
        <v>2008</v>
      </c>
      <c r="C1985" t="s">
        <v>12</v>
      </c>
      <c r="D1985">
        <v>404</v>
      </c>
      <c r="E1985">
        <v>270</v>
      </c>
      <c r="F1985">
        <v>38</v>
      </c>
      <c r="G1985">
        <v>19</v>
      </c>
      <c r="H1985">
        <v>11</v>
      </c>
      <c r="I1985">
        <v>12</v>
      </c>
      <c r="J1985">
        <v>149.63</v>
      </c>
      <c r="K1985">
        <v>36.729999999999997</v>
      </c>
      <c r="L1985">
        <f>_xlfn.XLOOKUP(C1985, dim_teams[team_name], dim_teams[team_id], "Not found", 0)</f>
        <v>8</v>
      </c>
    </row>
    <row r="1986" spans="1:12" x14ac:dyDescent="0.3">
      <c r="A1986" t="s">
        <v>530</v>
      </c>
      <c r="B1986">
        <v>2009</v>
      </c>
      <c r="C1986" t="s">
        <v>12</v>
      </c>
      <c r="D1986">
        <v>362</v>
      </c>
      <c r="E1986">
        <v>313</v>
      </c>
      <c r="F1986">
        <v>22</v>
      </c>
      <c r="G1986">
        <v>18</v>
      </c>
      <c r="H1986">
        <v>13</v>
      </c>
      <c r="I1986">
        <v>16</v>
      </c>
      <c r="J1986">
        <v>115.65</v>
      </c>
      <c r="K1986">
        <v>27.85</v>
      </c>
      <c r="L1986">
        <f>_xlfn.XLOOKUP(C1986, dim_teams[team_name], dim_teams[team_id], "Not found", 0)</f>
        <v>8</v>
      </c>
    </row>
    <row r="1987" spans="1:12" x14ac:dyDescent="0.3">
      <c r="A1987" t="s">
        <v>530</v>
      </c>
      <c r="B1987">
        <v>2010</v>
      </c>
      <c r="C1987" t="s">
        <v>12</v>
      </c>
      <c r="D1987">
        <v>404</v>
      </c>
      <c r="E1987">
        <v>300</v>
      </c>
      <c r="F1987">
        <v>36</v>
      </c>
      <c r="G1987">
        <v>14</v>
      </c>
      <c r="H1987">
        <v>18</v>
      </c>
      <c r="I1987">
        <v>16</v>
      </c>
      <c r="J1987">
        <v>134.66999999999999</v>
      </c>
      <c r="K1987">
        <v>22.44</v>
      </c>
      <c r="L1987">
        <f>_xlfn.XLOOKUP(C1987, dim_teams[team_name], dim_teams[team_id], "Not found", 0)</f>
        <v>8</v>
      </c>
    </row>
    <row r="1988" spans="1:12" x14ac:dyDescent="0.3">
      <c r="A1988" t="s">
        <v>530</v>
      </c>
      <c r="B1988">
        <v>2011</v>
      </c>
      <c r="C1988" t="s">
        <v>23</v>
      </c>
      <c r="D1988">
        <v>372</v>
      </c>
      <c r="E1988">
        <v>297</v>
      </c>
      <c r="F1988">
        <v>32</v>
      </c>
      <c r="G1988">
        <v>13</v>
      </c>
      <c r="H1988">
        <v>10</v>
      </c>
      <c r="I1988">
        <v>13</v>
      </c>
      <c r="J1988">
        <v>125.25</v>
      </c>
      <c r="K1988">
        <v>37.200000000000003</v>
      </c>
      <c r="L1988">
        <f>_xlfn.XLOOKUP(C1988, dim_teams[team_name], dim_teams[team_id], "Not found", 0)</f>
        <v>7</v>
      </c>
    </row>
    <row r="1989" spans="1:12" x14ac:dyDescent="0.3">
      <c r="A1989" t="s">
        <v>530</v>
      </c>
      <c r="B1989">
        <v>2012</v>
      </c>
      <c r="C1989" t="s">
        <v>23</v>
      </c>
      <c r="D1989">
        <v>433</v>
      </c>
      <c r="E1989">
        <v>341</v>
      </c>
      <c r="F1989">
        <v>39</v>
      </c>
      <c r="G1989">
        <v>18</v>
      </c>
      <c r="H1989">
        <v>14</v>
      </c>
      <c r="I1989">
        <v>16</v>
      </c>
      <c r="J1989">
        <v>126.98</v>
      </c>
      <c r="K1989">
        <v>30.93</v>
      </c>
      <c r="L1989">
        <f>_xlfn.XLOOKUP(C1989, dim_teams[team_name], dim_teams[team_id], "Not found", 0)</f>
        <v>7</v>
      </c>
    </row>
    <row r="1990" spans="1:12" x14ac:dyDescent="0.3">
      <c r="A1990" t="s">
        <v>530</v>
      </c>
      <c r="B1990">
        <v>2013</v>
      </c>
      <c r="C1990" t="s">
        <v>23</v>
      </c>
      <c r="D1990">
        <v>538</v>
      </c>
      <c r="E1990">
        <v>408</v>
      </c>
      <c r="F1990">
        <v>35</v>
      </c>
      <c r="G1990">
        <v>28</v>
      </c>
      <c r="H1990">
        <v>14</v>
      </c>
      <c r="I1990">
        <v>19</v>
      </c>
      <c r="J1990">
        <v>131.86000000000001</v>
      </c>
      <c r="K1990">
        <v>38.43</v>
      </c>
      <c r="L1990">
        <f>_xlfn.XLOOKUP(C1990, dim_teams[team_name], dim_teams[team_id], "Not found", 0)</f>
        <v>7</v>
      </c>
    </row>
    <row r="1991" spans="1:12" x14ac:dyDescent="0.3">
      <c r="A1991" t="s">
        <v>530</v>
      </c>
      <c r="B1991">
        <v>2014</v>
      </c>
      <c r="C1991" t="s">
        <v>23</v>
      </c>
      <c r="D1991">
        <v>390</v>
      </c>
      <c r="E1991">
        <v>302</v>
      </c>
      <c r="F1991">
        <v>31</v>
      </c>
      <c r="G1991">
        <v>16</v>
      </c>
      <c r="H1991">
        <v>14</v>
      </c>
      <c r="I1991">
        <v>15</v>
      </c>
      <c r="J1991">
        <v>129.13999999999999</v>
      </c>
      <c r="K1991">
        <v>27.86</v>
      </c>
      <c r="L1991">
        <f>_xlfn.XLOOKUP(C1991, dim_teams[team_name], dim_teams[team_id], "Not found", 0)</f>
        <v>7</v>
      </c>
    </row>
    <row r="1992" spans="1:12" x14ac:dyDescent="0.3">
      <c r="A1992" t="s">
        <v>530</v>
      </c>
      <c r="B1992">
        <v>2015</v>
      </c>
      <c r="C1992" t="s">
        <v>23</v>
      </c>
      <c r="D1992">
        <v>482</v>
      </c>
      <c r="E1992">
        <v>333</v>
      </c>
      <c r="F1992">
        <v>41</v>
      </c>
      <c r="G1992">
        <v>21</v>
      </c>
      <c r="H1992">
        <v>15</v>
      </c>
      <c r="I1992">
        <v>16</v>
      </c>
      <c r="J1992">
        <v>144.74</v>
      </c>
      <c r="K1992">
        <v>32.130000000000003</v>
      </c>
      <c r="L1992">
        <f>_xlfn.XLOOKUP(C1992, dim_teams[team_name], dim_teams[team_id], "Not found", 0)</f>
        <v>7</v>
      </c>
    </row>
    <row r="1993" spans="1:12" x14ac:dyDescent="0.3">
      <c r="A1993" t="s">
        <v>530</v>
      </c>
      <c r="B1993">
        <v>2016</v>
      </c>
      <c r="C1993" t="s">
        <v>23</v>
      </c>
      <c r="D1993">
        <v>489</v>
      </c>
      <c r="E1993">
        <v>366</v>
      </c>
      <c r="F1993">
        <v>49</v>
      </c>
      <c r="G1993">
        <v>17</v>
      </c>
      <c r="H1993">
        <v>12</v>
      </c>
      <c r="I1993">
        <v>14</v>
      </c>
      <c r="J1993">
        <v>133.61000000000001</v>
      </c>
      <c r="K1993">
        <v>40.75</v>
      </c>
      <c r="L1993">
        <f>_xlfn.XLOOKUP(C1993, dim_teams[team_name], dim_teams[team_id], "Not found", 0)</f>
        <v>7</v>
      </c>
    </row>
    <row r="1994" spans="1:12" x14ac:dyDescent="0.3">
      <c r="A1994" t="s">
        <v>530</v>
      </c>
      <c r="B1994">
        <v>2017</v>
      </c>
      <c r="C1994" t="s">
        <v>23</v>
      </c>
      <c r="D1994">
        <v>333</v>
      </c>
      <c r="E1994">
        <v>273</v>
      </c>
      <c r="F1994">
        <v>31</v>
      </c>
      <c r="G1994">
        <v>9</v>
      </c>
      <c r="H1994">
        <v>14</v>
      </c>
      <c r="I1994">
        <v>16</v>
      </c>
      <c r="J1994">
        <v>121.98</v>
      </c>
      <c r="K1994">
        <v>23.79</v>
      </c>
      <c r="L1994">
        <f>_xlfn.XLOOKUP(C1994, dim_teams[team_name], dim_teams[team_id], "Not found", 0)</f>
        <v>7</v>
      </c>
    </row>
    <row r="1995" spans="1:12" x14ac:dyDescent="0.3">
      <c r="A1995" t="s">
        <v>530</v>
      </c>
      <c r="B1995">
        <v>2018</v>
      </c>
      <c r="C1995" t="s">
        <v>23</v>
      </c>
      <c r="D1995">
        <v>286</v>
      </c>
      <c r="E1995">
        <v>214</v>
      </c>
      <c r="F1995">
        <v>25</v>
      </c>
      <c r="G1995">
        <v>12</v>
      </c>
      <c r="H1995">
        <v>13</v>
      </c>
      <c r="I1995">
        <v>14</v>
      </c>
      <c r="J1995">
        <v>133.63999999999999</v>
      </c>
      <c r="K1995">
        <v>22</v>
      </c>
      <c r="L1995">
        <f>_xlfn.XLOOKUP(C1995, dim_teams[team_name], dim_teams[team_id], "Not found", 0)</f>
        <v>7</v>
      </c>
    </row>
    <row r="1996" spans="1:12" x14ac:dyDescent="0.3">
      <c r="A1996" t="s">
        <v>530</v>
      </c>
      <c r="B1996">
        <v>2019</v>
      </c>
      <c r="C1996" t="s">
        <v>23</v>
      </c>
      <c r="D1996">
        <v>405</v>
      </c>
      <c r="E1996">
        <v>314</v>
      </c>
      <c r="F1996">
        <v>52</v>
      </c>
      <c r="G1996">
        <v>10</v>
      </c>
      <c r="H1996">
        <v>14</v>
      </c>
      <c r="I1996">
        <v>15</v>
      </c>
      <c r="J1996">
        <v>128.97999999999999</v>
      </c>
      <c r="K1996">
        <v>28.93</v>
      </c>
      <c r="L1996">
        <f>_xlfn.XLOOKUP(C1996, dim_teams[team_name], dim_teams[team_id], "Not found", 0)</f>
        <v>7</v>
      </c>
    </row>
    <row r="1997" spans="1:12" x14ac:dyDescent="0.3">
      <c r="A1997" t="s">
        <v>530</v>
      </c>
      <c r="B1997">
        <v>2020</v>
      </c>
      <c r="C1997" t="s">
        <v>23</v>
      </c>
      <c r="D1997">
        <v>334</v>
      </c>
      <c r="E1997">
        <v>263</v>
      </c>
      <c r="F1997">
        <v>27</v>
      </c>
      <c r="G1997">
        <v>19</v>
      </c>
      <c r="H1997">
        <v>15</v>
      </c>
      <c r="I1997">
        <v>12</v>
      </c>
      <c r="J1997">
        <v>127</v>
      </c>
      <c r="K1997">
        <v>22.27</v>
      </c>
      <c r="L1997">
        <f>_xlfn.XLOOKUP(C1997, dim_teams[team_name], dim_teams[team_id], "Not found", 0)</f>
        <v>7</v>
      </c>
    </row>
    <row r="1998" spans="1:12" x14ac:dyDescent="0.3">
      <c r="A1998" t="s">
        <v>530</v>
      </c>
      <c r="B1998">
        <v>2021</v>
      </c>
      <c r="C1998" t="s">
        <v>23</v>
      </c>
      <c r="D1998">
        <v>381</v>
      </c>
      <c r="E1998">
        <v>298</v>
      </c>
      <c r="F1998">
        <v>33</v>
      </c>
      <c r="G1998">
        <v>14</v>
      </c>
      <c r="H1998">
        <v>12</v>
      </c>
      <c r="I1998">
        <v>13</v>
      </c>
      <c r="J1998">
        <v>127.85</v>
      </c>
      <c r="K1998">
        <v>31.75</v>
      </c>
      <c r="L1998">
        <f>_xlfn.XLOOKUP(C1998, dim_teams[team_name], dim_teams[team_id], "Not found", 0)</f>
        <v>7</v>
      </c>
    </row>
    <row r="1999" spans="1:12" x14ac:dyDescent="0.3">
      <c r="A1999" t="s">
        <v>530</v>
      </c>
      <c r="B1999">
        <v>2022</v>
      </c>
      <c r="C1999" t="s">
        <v>23</v>
      </c>
      <c r="D1999">
        <v>268</v>
      </c>
      <c r="E1999">
        <v>222</v>
      </c>
      <c r="F1999">
        <v>28</v>
      </c>
      <c r="G1999">
        <v>13</v>
      </c>
      <c r="H1999">
        <v>14</v>
      </c>
      <c r="I1999">
        <v>14</v>
      </c>
      <c r="J1999">
        <v>120.72</v>
      </c>
      <c r="K1999">
        <v>19.14</v>
      </c>
      <c r="L1999">
        <f>_xlfn.XLOOKUP(C1999, dim_teams[team_name], dim_teams[team_id], "Not found", 0)</f>
        <v>7</v>
      </c>
    </row>
    <row r="2000" spans="1:12" x14ac:dyDescent="0.3">
      <c r="A2000" t="s">
        <v>530</v>
      </c>
      <c r="B2000">
        <v>2023</v>
      </c>
      <c r="C2000" t="s">
        <v>23</v>
      </c>
      <c r="D2000">
        <v>332</v>
      </c>
      <c r="E2000">
        <v>248</v>
      </c>
      <c r="F2000">
        <v>35</v>
      </c>
      <c r="G2000">
        <v>17</v>
      </c>
      <c r="H2000">
        <v>16</v>
      </c>
      <c r="I2000">
        <v>16</v>
      </c>
      <c r="J2000">
        <v>133.87</v>
      </c>
      <c r="K2000">
        <v>20.75</v>
      </c>
      <c r="L2000">
        <f>_xlfn.XLOOKUP(C2000, dim_teams[team_name], dim_teams[team_id], "Not found", 0)</f>
        <v>7</v>
      </c>
    </row>
    <row r="2001" spans="1:12" x14ac:dyDescent="0.3">
      <c r="A2001" t="s">
        <v>530</v>
      </c>
      <c r="B2001">
        <v>2024</v>
      </c>
      <c r="C2001" t="s">
        <v>23</v>
      </c>
      <c r="D2001">
        <v>417</v>
      </c>
      <c r="E2001">
        <v>276</v>
      </c>
      <c r="F2001">
        <v>45</v>
      </c>
      <c r="G2001">
        <v>23</v>
      </c>
      <c r="H2001">
        <v>13</v>
      </c>
      <c r="I2001">
        <v>14</v>
      </c>
      <c r="J2001">
        <v>151.09</v>
      </c>
      <c r="K2001">
        <v>32.08</v>
      </c>
      <c r="L2001">
        <f>_xlfn.XLOOKUP(C2001, dim_teams[team_name], dim_teams[team_id], "Not found", 0)</f>
        <v>7</v>
      </c>
    </row>
    <row r="2002" spans="1:12" x14ac:dyDescent="0.3">
      <c r="A2002" t="s">
        <v>530</v>
      </c>
      <c r="B2002">
        <v>2025</v>
      </c>
      <c r="C2002" t="s">
        <v>23</v>
      </c>
      <c r="D2002">
        <v>418</v>
      </c>
      <c r="E2002">
        <v>279</v>
      </c>
      <c r="F2002">
        <v>41</v>
      </c>
      <c r="G2002">
        <v>22</v>
      </c>
      <c r="H2002">
        <v>14</v>
      </c>
      <c r="I2002">
        <v>15</v>
      </c>
      <c r="J2002">
        <v>149.82</v>
      </c>
      <c r="K2002">
        <v>29.86</v>
      </c>
      <c r="L2002">
        <f>_xlfn.XLOOKUP(C2002, dim_teams[team_name], dim_teams[team_id], "Not found", 0)</f>
        <v>7</v>
      </c>
    </row>
    <row r="2003" spans="1:12" x14ac:dyDescent="0.3">
      <c r="A2003" t="s">
        <v>531</v>
      </c>
      <c r="B2003">
        <v>2024</v>
      </c>
      <c r="C2003" t="s">
        <v>25</v>
      </c>
      <c r="D2003">
        <v>2</v>
      </c>
      <c r="E2003">
        <v>2</v>
      </c>
      <c r="F2003">
        <v>0</v>
      </c>
      <c r="G2003">
        <v>0</v>
      </c>
      <c r="H2003">
        <v>0</v>
      </c>
      <c r="I2003">
        <v>1</v>
      </c>
      <c r="J2003">
        <v>100</v>
      </c>
      <c r="L2003">
        <f>_xlfn.XLOOKUP(C2003, dim_teams[team_name], dim_teams[team_id], "Not found", 0)</f>
        <v>3</v>
      </c>
    </row>
    <row r="2004" spans="1:12" x14ac:dyDescent="0.3">
      <c r="A2004" t="s">
        <v>532</v>
      </c>
      <c r="B2004">
        <v>2009</v>
      </c>
      <c r="C2004" t="s">
        <v>12</v>
      </c>
      <c r="D2004">
        <v>21</v>
      </c>
      <c r="E2004">
        <v>18</v>
      </c>
      <c r="F2004">
        <v>0</v>
      </c>
      <c r="G2004">
        <v>0</v>
      </c>
      <c r="H2004">
        <v>1</v>
      </c>
      <c r="I2004">
        <v>5</v>
      </c>
      <c r="J2004">
        <v>116.67</v>
      </c>
      <c r="K2004">
        <v>21</v>
      </c>
      <c r="L2004">
        <f>_xlfn.XLOOKUP(C2004, dim_teams[team_name], dim_teams[team_id], "Not found", 0)</f>
        <v>8</v>
      </c>
    </row>
    <row r="2005" spans="1:12" x14ac:dyDescent="0.3">
      <c r="A2005" t="s">
        <v>532</v>
      </c>
      <c r="B2005">
        <v>2010</v>
      </c>
      <c r="C2005" t="s">
        <v>12</v>
      </c>
      <c r="D2005">
        <v>45</v>
      </c>
      <c r="E2005">
        <v>39</v>
      </c>
      <c r="F2005">
        <v>2</v>
      </c>
      <c r="G2005">
        <v>2</v>
      </c>
      <c r="H2005">
        <v>4</v>
      </c>
      <c r="I2005">
        <v>5</v>
      </c>
      <c r="J2005">
        <v>115.38</v>
      </c>
      <c r="K2005">
        <v>11.25</v>
      </c>
      <c r="L2005">
        <f>_xlfn.XLOOKUP(C2005, dim_teams[team_name], dim_teams[team_id], "Not found", 0)</f>
        <v>8</v>
      </c>
    </row>
    <row r="2006" spans="1:12" x14ac:dyDescent="0.3">
      <c r="A2006" t="s">
        <v>532</v>
      </c>
      <c r="B2006">
        <v>2011</v>
      </c>
      <c r="C2006" t="s">
        <v>54</v>
      </c>
      <c r="D2006">
        <v>31</v>
      </c>
      <c r="E2006">
        <v>38</v>
      </c>
      <c r="F2006">
        <v>3</v>
      </c>
      <c r="G2006">
        <v>0</v>
      </c>
      <c r="H2006">
        <v>5</v>
      </c>
      <c r="I2006">
        <v>7</v>
      </c>
      <c r="J2006">
        <v>81.58</v>
      </c>
      <c r="K2006">
        <v>6.2</v>
      </c>
      <c r="L2006">
        <f>_xlfn.XLOOKUP(C2006, dim_teams[team_name], dim_teams[team_id], "Not found", 0)</f>
        <v>4</v>
      </c>
    </row>
    <row r="2007" spans="1:12" x14ac:dyDescent="0.3">
      <c r="A2007" t="s">
        <v>532</v>
      </c>
      <c r="B2007">
        <v>2012</v>
      </c>
      <c r="C2007" t="s">
        <v>54</v>
      </c>
      <c r="D2007">
        <v>18</v>
      </c>
      <c r="E2007">
        <v>11</v>
      </c>
      <c r="F2007">
        <v>1</v>
      </c>
      <c r="G2007">
        <v>1</v>
      </c>
      <c r="H2007">
        <v>1</v>
      </c>
      <c r="I2007">
        <v>2</v>
      </c>
      <c r="J2007">
        <v>163.63999999999999</v>
      </c>
      <c r="K2007">
        <v>18</v>
      </c>
      <c r="L2007">
        <f>_xlfn.XLOOKUP(C2007, dim_teams[team_name], dim_teams[team_id], "Not found", 0)</f>
        <v>4</v>
      </c>
    </row>
    <row r="2008" spans="1:12" x14ac:dyDescent="0.3">
      <c r="A2008" t="s">
        <v>532</v>
      </c>
      <c r="B2008">
        <v>2013</v>
      </c>
      <c r="C2008" t="s">
        <v>54</v>
      </c>
      <c r="D2008">
        <v>2</v>
      </c>
      <c r="E2008">
        <v>5</v>
      </c>
      <c r="F2008">
        <v>0</v>
      </c>
      <c r="G2008">
        <v>0</v>
      </c>
      <c r="H2008">
        <v>1</v>
      </c>
      <c r="I2008">
        <v>2</v>
      </c>
      <c r="J2008">
        <v>40</v>
      </c>
      <c r="K2008">
        <v>2</v>
      </c>
      <c r="L2008">
        <f>_xlfn.XLOOKUP(C2008, dim_teams[team_name], dim_teams[team_id], "Not found", 0)</f>
        <v>4</v>
      </c>
    </row>
    <row r="2009" spans="1:12" x14ac:dyDescent="0.3">
      <c r="A2009" t="s">
        <v>533</v>
      </c>
      <c r="B2009">
        <v>2012</v>
      </c>
      <c r="C2009" t="s">
        <v>23</v>
      </c>
      <c r="D2009">
        <v>32</v>
      </c>
      <c r="E2009">
        <v>30</v>
      </c>
      <c r="F2009">
        <v>3</v>
      </c>
      <c r="G2009">
        <v>1</v>
      </c>
      <c r="H2009">
        <v>3</v>
      </c>
      <c r="I2009">
        <v>5</v>
      </c>
      <c r="J2009">
        <v>106.67</v>
      </c>
      <c r="K2009">
        <v>10.67</v>
      </c>
      <c r="L2009">
        <f>_xlfn.XLOOKUP(C2009, dim_teams[team_name], dim_teams[team_id], "Not found", 0)</f>
        <v>7</v>
      </c>
    </row>
    <row r="2010" spans="1:12" x14ac:dyDescent="0.3">
      <c r="A2010" t="s">
        <v>534</v>
      </c>
      <c r="B2010">
        <v>2009</v>
      </c>
      <c r="C2010" t="s">
        <v>17</v>
      </c>
      <c r="D2010">
        <v>103</v>
      </c>
      <c r="E2010">
        <v>102</v>
      </c>
      <c r="F2010">
        <v>12</v>
      </c>
      <c r="G2010">
        <v>3</v>
      </c>
      <c r="H2010">
        <v>7</v>
      </c>
      <c r="I2010">
        <v>7</v>
      </c>
      <c r="J2010">
        <v>100.98</v>
      </c>
      <c r="K2010">
        <v>14.71</v>
      </c>
      <c r="L2010">
        <f>_xlfn.XLOOKUP(C2010, dim_teams[team_name], dim_teams[team_id], "Not found", 0)</f>
        <v>5</v>
      </c>
    </row>
    <row r="2011" spans="1:12" x14ac:dyDescent="0.3">
      <c r="A2011" t="s">
        <v>535</v>
      </c>
      <c r="B2011">
        <v>2024</v>
      </c>
      <c r="C2011" t="s">
        <v>102</v>
      </c>
      <c r="D2011">
        <v>3</v>
      </c>
      <c r="E2011">
        <v>6</v>
      </c>
      <c r="F2011">
        <v>0</v>
      </c>
      <c r="G2011">
        <v>0</v>
      </c>
      <c r="H2011">
        <v>0</v>
      </c>
      <c r="I2011">
        <v>1</v>
      </c>
      <c r="J2011">
        <v>50</v>
      </c>
      <c r="L2011">
        <f>_xlfn.XLOOKUP(C2011, dim_teams[team_name], dim_teams[team_id], "Not found", 0)</f>
        <v>19</v>
      </c>
    </row>
    <row r="2012" spans="1:12" x14ac:dyDescent="0.3">
      <c r="A2012" t="s">
        <v>536</v>
      </c>
      <c r="B2012">
        <v>2018</v>
      </c>
      <c r="C2012" t="s">
        <v>13</v>
      </c>
      <c r="D2012">
        <v>0</v>
      </c>
      <c r="E2012">
        <v>5</v>
      </c>
      <c r="F2012">
        <v>0</v>
      </c>
      <c r="G2012">
        <v>0</v>
      </c>
      <c r="H2012">
        <v>1</v>
      </c>
      <c r="I2012">
        <v>1</v>
      </c>
      <c r="J2012">
        <v>0</v>
      </c>
      <c r="K2012">
        <v>0</v>
      </c>
      <c r="L2012">
        <f>_xlfn.XLOOKUP(C2012, dim_teams[team_name], dim_teams[team_id], "Not found", 0)</f>
        <v>11</v>
      </c>
    </row>
    <row r="2013" spans="1:12" x14ac:dyDescent="0.3">
      <c r="A2013" t="s">
        <v>536</v>
      </c>
      <c r="B2013">
        <v>2019</v>
      </c>
      <c r="C2013" t="s">
        <v>13</v>
      </c>
      <c r="D2013">
        <v>7</v>
      </c>
      <c r="E2013">
        <v>12</v>
      </c>
      <c r="F2013">
        <v>0</v>
      </c>
      <c r="G2013">
        <v>0</v>
      </c>
      <c r="H2013">
        <v>1</v>
      </c>
      <c r="I2013">
        <v>1</v>
      </c>
      <c r="J2013">
        <v>58.33</v>
      </c>
      <c r="K2013">
        <v>7</v>
      </c>
      <c r="L2013">
        <f>_xlfn.XLOOKUP(C2013, dim_teams[team_name], dim_teams[team_id], "Not found", 0)</f>
        <v>11</v>
      </c>
    </row>
    <row r="2014" spans="1:12" x14ac:dyDescent="0.3">
      <c r="A2014" t="s">
        <v>536</v>
      </c>
      <c r="B2014">
        <v>2024</v>
      </c>
      <c r="C2014" t="s">
        <v>33</v>
      </c>
      <c r="D2014">
        <v>3</v>
      </c>
      <c r="E2014">
        <v>9</v>
      </c>
      <c r="F2014">
        <v>0</v>
      </c>
      <c r="G2014">
        <v>0</v>
      </c>
      <c r="H2014">
        <v>2</v>
      </c>
      <c r="I2014">
        <v>2</v>
      </c>
      <c r="J2014">
        <v>33.33</v>
      </c>
      <c r="K2014">
        <v>1.5</v>
      </c>
      <c r="L2014">
        <f>_xlfn.XLOOKUP(C2014, dim_teams[team_name], dim_teams[team_id], "Not found", 0)</f>
        <v>15</v>
      </c>
    </row>
    <row r="2015" spans="1:12" x14ac:dyDescent="0.3">
      <c r="A2015" t="s">
        <v>537</v>
      </c>
      <c r="B2015">
        <v>2018</v>
      </c>
      <c r="C2015" t="s">
        <v>19</v>
      </c>
      <c r="D2015">
        <v>29</v>
      </c>
      <c r="E2015">
        <v>31</v>
      </c>
      <c r="F2015">
        <v>4</v>
      </c>
      <c r="G2015">
        <v>0</v>
      </c>
      <c r="H2015">
        <v>4</v>
      </c>
      <c r="I2015">
        <v>4</v>
      </c>
      <c r="J2015">
        <v>93.55</v>
      </c>
      <c r="K2015">
        <v>7.25</v>
      </c>
      <c r="L2015">
        <f>_xlfn.XLOOKUP(C2015, dim_teams[team_name], dim_teams[team_id], "Not found", 0)</f>
        <v>1</v>
      </c>
    </row>
    <row r="2016" spans="1:12" x14ac:dyDescent="0.3">
      <c r="A2016" t="s">
        <v>537</v>
      </c>
      <c r="B2016">
        <v>2019</v>
      </c>
      <c r="C2016" t="s">
        <v>19</v>
      </c>
      <c r="D2016">
        <v>37</v>
      </c>
      <c r="E2016">
        <v>34</v>
      </c>
      <c r="F2016">
        <v>1</v>
      </c>
      <c r="G2016">
        <v>2</v>
      </c>
      <c r="H2016">
        <v>2</v>
      </c>
      <c r="I2016">
        <v>3</v>
      </c>
      <c r="J2016">
        <v>108.82</v>
      </c>
      <c r="K2016">
        <v>18.5</v>
      </c>
      <c r="L2016">
        <f>_xlfn.XLOOKUP(C2016, dim_teams[team_name], dim_teams[team_id], "Not found", 0)</f>
        <v>1</v>
      </c>
    </row>
    <row r="2017" spans="1:12" x14ac:dyDescent="0.3">
      <c r="A2017" t="s">
        <v>537</v>
      </c>
      <c r="B2017">
        <v>2020</v>
      </c>
      <c r="C2017" t="s">
        <v>19</v>
      </c>
      <c r="D2017">
        <v>11</v>
      </c>
      <c r="E2017">
        <v>11</v>
      </c>
      <c r="F2017">
        <v>1</v>
      </c>
      <c r="G2017">
        <v>0</v>
      </c>
      <c r="H2017">
        <v>1</v>
      </c>
      <c r="I2017">
        <v>1</v>
      </c>
      <c r="J2017">
        <v>100</v>
      </c>
      <c r="K2017">
        <v>11</v>
      </c>
      <c r="L2017">
        <f>_xlfn.XLOOKUP(C2017, dim_teams[team_name], dim_teams[team_id], "Not found", 0)</f>
        <v>1</v>
      </c>
    </row>
    <row r="2018" spans="1:12" x14ac:dyDescent="0.3">
      <c r="A2018" t="s">
        <v>537</v>
      </c>
      <c r="B2018">
        <v>2022</v>
      </c>
      <c r="C2018" t="s">
        <v>19</v>
      </c>
      <c r="D2018">
        <v>174</v>
      </c>
      <c r="E2018">
        <v>117</v>
      </c>
      <c r="F2018">
        <v>17</v>
      </c>
      <c r="G2018">
        <v>7</v>
      </c>
      <c r="H2018">
        <v>5</v>
      </c>
      <c r="I2018">
        <v>7</v>
      </c>
      <c r="J2018">
        <v>148.72</v>
      </c>
      <c r="K2018">
        <v>34.799999999999997</v>
      </c>
      <c r="L2018">
        <f>_xlfn.XLOOKUP(C2018, dim_teams[team_name], dim_teams[team_id], "Not found", 0)</f>
        <v>1</v>
      </c>
    </row>
    <row r="2019" spans="1:12" x14ac:dyDescent="0.3">
      <c r="A2019" t="s">
        <v>537</v>
      </c>
      <c r="B2019">
        <v>2023</v>
      </c>
      <c r="C2019" t="s">
        <v>19</v>
      </c>
      <c r="D2019">
        <v>474</v>
      </c>
      <c r="E2019">
        <v>313</v>
      </c>
      <c r="F2019">
        <v>31</v>
      </c>
      <c r="G2019">
        <v>29</v>
      </c>
      <c r="H2019">
        <v>8</v>
      </c>
      <c r="I2019">
        <v>14</v>
      </c>
      <c r="J2019">
        <v>151.44</v>
      </c>
      <c r="K2019">
        <v>59.25</v>
      </c>
      <c r="L2019">
        <f>_xlfn.XLOOKUP(C2019, dim_teams[team_name], dim_teams[team_id], "Not found", 0)</f>
        <v>1</v>
      </c>
    </row>
    <row r="2020" spans="1:12" x14ac:dyDescent="0.3">
      <c r="A2020" t="s">
        <v>537</v>
      </c>
      <c r="B2020">
        <v>2024</v>
      </c>
      <c r="C2020" t="s">
        <v>19</v>
      </c>
      <c r="D2020">
        <v>168</v>
      </c>
      <c r="E2020">
        <v>111</v>
      </c>
      <c r="F2020">
        <v>13</v>
      </c>
      <c r="G2020">
        <v>8</v>
      </c>
      <c r="H2020">
        <v>9</v>
      </c>
      <c r="I2020">
        <v>11</v>
      </c>
      <c r="J2020">
        <v>151.35</v>
      </c>
      <c r="K2020">
        <v>18.670000000000002</v>
      </c>
      <c r="L2020">
        <f>_xlfn.XLOOKUP(C2020, dim_teams[team_name], dim_teams[team_id], "Not found", 0)</f>
        <v>1</v>
      </c>
    </row>
    <row r="2021" spans="1:12" x14ac:dyDescent="0.3">
      <c r="A2021" t="s">
        <v>537</v>
      </c>
      <c r="B2021">
        <v>2025</v>
      </c>
      <c r="C2021" t="s">
        <v>19</v>
      </c>
      <c r="D2021">
        <v>206</v>
      </c>
      <c r="E2021">
        <v>133</v>
      </c>
      <c r="F2021">
        <v>20</v>
      </c>
      <c r="G2021">
        <v>10</v>
      </c>
      <c r="H2021">
        <v>7</v>
      </c>
      <c r="I2021">
        <v>11</v>
      </c>
      <c r="J2021">
        <v>154.88999999999999</v>
      </c>
      <c r="K2021">
        <v>29.43</v>
      </c>
      <c r="L2021">
        <f>_xlfn.XLOOKUP(C2021, dim_teams[team_name], dim_teams[team_id], "Not found", 0)</f>
        <v>1</v>
      </c>
    </row>
    <row r="2022" spans="1:12" x14ac:dyDescent="0.3">
      <c r="A2022" t="s">
        <v>538</v>
      </c>
      <c r="B2022">
        <v>2021</v>
      </c>
      <c r="C2022" t="s">
        <v>21</v>
      </c>
      <c r="D2022">
        <v>71</v>
      </c>
      <c r="E2022">
        <v>62</v>
      </c>
      <c r="F2022">
        <v>3</v>
      </c>
      <c r="G2022">
        <v>3</v>
      </c>
      <c r="H2022">
        <v>4</v>
      </c>
      <c r="I2022">
        <v>4</v>
      </c>
      <c r="J2022">
        <v>114.52</v>
      </c>
      <c r="K2022">
        <v>17.75</v>
      </c>
      <c r="L2022">
        <f>_xlfn.XLOOKUP(C2022, dim_teams[team_name], dim_teams[team_id], "Not found", 0)</f>
        <v>2</v>
      </c>
    </row>
    <row r="2023" spans="1:12" x14ac:dyDescent="0.3">
      <c r="A2023" t="s">
        <v>538</v>
      </c>
      <c r="B2023">
        <v>2022</v>
      </c>
      <c r="C2023" t="s">
        <v>21</v>
      </c>
      <c r="D2023">
        <v>333</v>
      </c>
      <c r="E2023">
        <v>217</v>
      </c>
      <c r="F2023">
        <v>27</v>
      </c>
      <c r="G2023">
        <v>18</v>
      </c>
      <c r="H2023">
        <v>6</v>
      </c>
      <c r="I2023">
        <v>7</v>
      </c>
      <c r="J2023">
        <v>153.46</v>
      </c>
      <c r="K2023">
        <v>55.5</v>
      </c>
      <c r="L2023">
        <f>_xlfn.XLOOKUP(C2023, dim_teams[team_name], dim_teams[team_id], "Not found", 0)</f>
        <v>2</v>
      </c>
    </row>
    <row r="2024" spans="1:12" x14ac:dyDescent="0.3">
      <c r="A2024" t="s">
        <v>538</v>
      </c>
      <c r="B2024">
        <v>2024</v>
      </c>
      <c r="C2024" t="s">
        <v>102</v>
      </c>
      <c r="D2024">
        <v>395</v>
      </c>
      <c r="E2024">
        <v>223</v>
      </c>
      <c r="F2024">
        <v>21</v>
      </c>
      <c r="G2024">
        <v>33</v>
      </c>
      <c r="H2024">
        <v>14</v>
      </c>
      <c r="I2024">
        <v>13</v>
      </c>
      <c r="J2024">
        <v>177.13</v>
      </c>
      <c r="K2024">
        <v>28.21</v>
      </c>
      <c r="L2024">
        <f>_xlfn.XLOOKUP(C2024, dim_teams[team_name], dim_teams[team_id], "Not found", 0)</f>
        <v>19</v>
      </c>
    </row>
    <row r="2025" spans="1:12" x14ac:dyDescent="0.3">
      <c r="A2025" t="s">
        <v>538</v>
      </c>
      <c r="B2025">
        <v>2025</v>
      </c>
      <c r="C2025" t="s">
        <v>102</v>
      </c>
      <c r="D2025">
        <v>312</v>
      </c>
      <c r="E2025">
        <v>217</v>
      </c>
      <c r="F2025">
        <v>25</v>
      </c>
      <c r="G2025">
        <v>14</v>
      </c>
      <c r="H2025">
        <v>12</v>
      </c>
      <c r="I2025">
        <v>14</v>
      </c>
      <c r="J2025">
        <v>143.78</v>
      </c>
      <c r="K2025">
        <v>26</v>
      </c>
      <c r="L2025">
        <f>_xlfn.XLOOKUP(C2025, dim_teams[team_name], dim_teams[team_id], "Not found", 0)</f>
        <v>19</v>
      </c>
    </row>
    <row r="2026" spans="1:12" x14ac:dyDescent="0.3">
      <c r="A2026" t="s">
        <v>539</v>
      </c>
      <c r="B2026">
        <v>2011</v>
      </c>
      <c r="C2026" t="s">
        <v>19</v>
      </c>
      <c r="D2026">
        <v>107</v>
      </c>
      <c r="E2026">
        <v>73</v>
      </c>
      <c r="F2026">
        <v>9</v>
      </c>
      <c r="G2026">
        <v>5</v>
      </c>
      <c r="H2026">
        <v>3</v>
      </c>
      <c r="I2026">
        <v>3</v>
      </c>
      <c r="J2026">
        <v>146.58000000000001</v>
      </c>
      <c r="K2026">
        <v>35.67</v>
      </c>
      <c r="L2026">
        <f>_xlfn.XLOOKUP(C2026, dim_teams[team_name], dim_teams[team_id], "Not found", 0)</f>
        <v>1</v>
      </c>
    </row>
    <row r="2027" spans="1:12" x14ac:dyDescent="0.3">
      <c r="A2027" t="s">
        <v>539</v>
      </c>
      <c r="B2027">
        <v>2012</v>
      </c>
      <c r="C2027" t="s">
        <v>19</v>
      </c>
      <c r="D2027">
        <v>21</v>
      </c>
      <c r="E2027">
        <v>21</v>
      </c>
      <c r="F2027">
        <v>1</v>
      </c>
      <c r="G2027">
        <v>1</v>
      </c>
      <c r="H2027">
        <v>2</v>
      </c>
      <c r="I2027">
        <v>3</v>
      </c>
      <c r="J2027">
        <v>100</v>
      </c>
      <c r="K2027">
        <v>10.5</v>
      </c>
      <c r="L2027">
        <f>_xlfn.XLOOKUP(C2027, dim_teams[team_name], dim_teams[team_id], "Not found", 0)</f>
        <v>1</v>
      </c>
    </row>
    <row r="2028" spans="1:12" x14ac:dyDescent="0.3">
      <c r="A2028" t="s">
        <v>539</v>
      </c>
      <c r="B2028">
        <v>2013</v>
      </c>
      <c r="C2028" t="s">
        <v>19</v>
      </c>
      <c r="D2028">
        <v>85</v>
      </c>
      <c r="E2028">
        <v>63</v>
      </c>
      <c r="F2028">
        <v>9</v>
      </c>
      <c r="G2028">
        <v>2</v>
      </c>
      <c r="H2028">
        <v>3</v>
      </c>
      <c r="I2028">
        <v>4</v>
      </c>
      <c r="J2028">
        <v>134.91999999999999</v>
      </c>
      <c r="K2028">
        <v>28.33</v>
      </c>
      <c r="L2028">
        <f>_xlfn.XLOOKUP(C2028, dim_teams[team_name], dim_teams[team_id], "Not found", 0)</f>
        <v>1</v>
      </c>
    </row>
    <row r="2029" spans="1:12" x14ac:dyDescent="0.3">
      <c r="A2029" t="s">
        <v>539</v>
      </c>
      <c r="B2029">
        <v>2014</v>
      </c>
      <c r="C2029" t="s">
        <v>19</v>
      </c>
      <c r="D2029">
        <v>52</v>
      </c>
      <c r="E2029">
        <v>33</v>
      </c>
      <c r="F2029">
        <v>3</v>
      </c>
      <c r="G2029">
        <v>4</v>
      </c>
      <c r="H2029">
        <v>4</v>
      </c>
      <c r="I2029">
        <v>6</v>
      </c>
      <c r="J2029">
        <v>157.58000000000001</v>
      </c>
      <c r="K2029">
        <v>13</v>
      </c>
      <c r="L2029">
        <f>_xlfn.XLOOKUP(C2029, dim_teams[team_name], dim_teams[team_id], "Not found", 0)</f>
        <v>1</v>
      </c>
    </row>
    <row r="2030" spans="1:12" x14ac:dyDescent="0.3">
      <c r="A2030" t="s">
        <v>539</v>
      </c>
      <c r="B2030">
        <v>2015</v>
      </c>
      <c r="C2030" t="s">
        <v>19</v>
      </c>
      <c r="D2030">
        <v>61</v>
      </c>
      <c r="E2030">
        <v>45</v>
      </c>
      <c r="F2030">
        <v>4</v>
      </c>
      <c r="G2030">
        <v>3</v>
      </c>
      <c r="H2030">
        <v>5</v>
      </c>
      <c r="I2030">
        <v>5</v>
      </c>
      <c r="J2030">
        <v>135.56</v>
      </c>
      <c r="K2030">
        <v>12.2</v>
      </c>
      <c r="L2030">
        <f>_xlfn.XLOOKUP(C2030, dim_teams[team_name], dim_teams[team_id], "Not found", 0)</f>
        <v>1</v>
      </c>
    </row>
    <row r="2031" spans="1:12" x14ac:dyDescent="0.3">
      <c r="A2031" t="s">
        <v>540</v>
      </c>
      <c r="B2031">
        <v>2022</v>
      </c>
      <c r="C2031" t="s">
        <v>23</v>
      </c>
      <c r="D2031">
        <v>0</v>
      </c>
      <c r="E2031">
        <v>1</v>
      </c>
      <c r="F2031">
        <v>0</v>
      </c>
      <c r="G2031">
        <v>0</v>
      </c>
      <c r="H2031">
        <v>1</v>
      </c>
      <c r="I2031">
        <v>1</v>
      </c>
      <c r="J2031">
        <v>0</v>
      </c>
      <c r="K2031">
        <v>0</v>
      </c>
      <c r="L2031">
        <f>_xlfn.XLOOKUP(C2031, dim_teams[team_name], dim_teams[team_id], "Not found", 0)</f>
        <v>7</v>
      </c>
    </row>
    <row r="2032" spans="1:12" x14ac:dyDescent="0.3">
      <c r="A2032" t="s">
        <v>540</v>
      </c>
      <c r="B2032">
        <v>2023</v>
      </c>
      <c r="C2032" t="s">
        <v>23</v>
      </c>
      <c r="D2032">
        <v>0</v>
      </c>
      <c r="E2032">
        <v>2</v>
      </c>
      <c r="F2032">
        <v>0</v>
      </c>
      <c r="G2032">
        <v>0</v>
      </c>
      <c r="H2032">
        <v>0</v>
      </c>
      <c r="I2032">
        <v>1</v>
      </c>
      <c r="J2032">
        <v>0</v>
      </c>
      <c r="L2032">
        <f>_xlfn.XLOOKUP(C2032, dim_teams[team_name], dim_teams[team_id], "Not found", 0)</f>
        <v>7</v>
      </c>
    </row>
    <row r="2033" spans="1:12" x14ac:dyDescent="0.3">
      <c r="A2033" t="s">
        <v>541</v>
      </c>
      <c r="B2033">
        <v>2008</v>
      </c>
      <c r="C2033" t="s">
        <v>12</v>
      </c>
      <c r="D2033">
        <v>27</v>
      </c>
      <c r="E2033">
        <v>24</v>
      </c>
      <c r="F2033">
        <v>2</v>
      </c>
      <c r="G2033">
        <v>1</v>
      </c>
      <c r="H2033">
        <v>5</v>
      </c>
      <c r="I2033">
        <v>9</v>
      </c>
      <c r="J2033">
        <v>112.5</v>
      </c>
      <c r="K2033">
        <v>5.4</v>
      </c>
      <c r="L2033">
        <f>_xlfn.XLOOKUP(C2033, dim_teams[team_name], dim_teams[team_id], "Not found", 0)</f>
        <v>8</v>
      </c>
    </row>
    <row r="2034" spans="1:12" x14ac:dyDescent="0.3">
      <c r="A2034" t="s">
        <v>541</v>
      </c>
      <c r="B2034">
        <v>2009</v>
      </c>
      <c r="C2034" t="s">
        <v>12</v>
      </c>
      <c r="D2034">
        <v>8</v>
      </c>
      <c r="E2034">
        <v>17</v>
      </c>
      <c r="F2034">
        <v>0</v>
      </c>
      <c r="G2034">
        <v>0</v>
      </c>
      <c r="H2034">
        <v>4</v>
      </c>
      <c r="I2034">
        <v>5</v>
      </c>
      <c r="J2034">
        <v>47.06</v>
      </c>
      <c r="K2034">
        <v>2</v>
      </c>
      <c r="L2034">
        <f>_xlfn.XLOOKUP(C2034, dim_teams[team_name], dim_teams[team_id], "Not found", 0)</f>
        <v>8</v>
      </c>
    </row>
    <row r="2035" spans="1:12" x14ac:dyDescent="0.3">
      <c r="A2035" t="s">
        <v>541</v>
      </c>
      <c r="B2035">
        <v>2010</v>
      </c>
      <c r="C2035" t="s">
        <v>12</v>
      </c>
      <c r="D2035">
        <v>9</v>
      </c>
      <c r="E2035">
        <v>19</v>
      </c>
      <c r="F2035">
        <v>0</v>
      </c>
      <c r="G2035">
        <v>0</v>
      </c>
      <c r="H2035">
        <v>2</v>
      </c>
      <c r="I2035">
        <v>5</v>
      </c>
      <c r="J2035">
        <v>47.37</v>
      </c>
      <c r="K2035">
        <v>4.5</v>
      </c>
      <c r="L2035">
        <f>_xlfn.XLOOKUP(C2035, dim_teams[team_name], dim_teams[team_id], "Not found", 0)</f>
        <v>8</v>
      </c>
    </row>
    <row r="2036" spans="1:12" x14ac:dyDescent="0.3">
      <c r="A2036" t="s">
        <v>541</v>
      </c>
      <c r="B2036">
        <v>2011</v>
      </c>
      <c r="C2036" t="s">
        <v>122</v>
      </c>
      <c r="D2036">
        <v>2</v>
      </c>
      <c r="E2036">
        <v>4</v>
      </c>
      <c r="F2036">
        <v>0</v>
      </c>
      <c r="G2036">
        <v>0</v>
      </c>
      <c r="H2036">
        <v>2</v>
      </c>
      <c r="I2036">
        <v>4</v>
      </c>
      <c r="J2036">
        <v>50</v>
      </c>
      <c r="K2036">
        <v>1</v>
      </c>
      <c r="L2036">
        <f>_xlfn.XLOOKUP(C2036, dim_teams[team_name], dim_teams[team_id], "Not found", 0)</f>
        <v>9</v>
      </c>
    </row>
    <row r="2037" spans="1:12" x14ac:dyDescent="0.3">
      <c r="A2037" t="s">
        <v>541</v>
      </c>
      <c r="B2037">
        <v>2012</v>
      </c>
      <c r="C2037" t="s">
        <v>23</v>
      </c>
      <c r="D2037">
        <v>6</v>
      </c>
      <c r="E2037">
        <v>12</v>
      </c>
      <c r="F2037">
        <v>0</v>
      </c>
      <c r="G2037">
        <v>0</v>
      </c>
      <c r="H2037">
        <v>2</v>
      </c>
      <c r="I2037">
        <v>5</v>
      </c>
      <c r="J2037">
        <v>50</v>
      </c>
      <c r="K2037">
        <v>3</v>
      </c>
      <c r="L2037">
        <f>_xlfn.XLOOKUP(C2037, dim_teams[team_name], dim_teams[team_id], "Not found", 0)</f>
        <v>7</v>
      </c>
    </row>
    <row r="2038" spans="1:12" x14ac:dyDescent="0.3">
      <c r="A2038" t="s">
        <v>542</v>
      </c>
      <c r="B2038">
        <v>2012</v>
      </c>
      <c r="C2038" t="s">
        <v>21</v>
      </c>
      <c r="D2038">
        <v>0</v>
      </c>
      <c r="E2038">
        <v>2</v>
      </c>
      <c r="F2038">
        <v>0</v>
      </c>
      <c r="G2038">
        <v>0</v>
      </c>
      <c r="H2038">
        <v>2</v>
      </c>
      <c r="I2038">
        <v>1</v>
      </c>
      <c r="J2038">
        <v>0</v>
      </c>
      <c r="K2038">
        <v>0</v>
      </c>
      <c r="L2038">
        <f>_xlfn.XLOOKUP(C2038, dim_teams[team_name], dim_teams[team_id], "Not found", 0)</f>
        <v>2</v>
      </c>
    </row>
    <row r="2039" spans="1:12" x14ac:dyDescent="0.3">
      <c r="A2039" t="s">
        <v>543</v>
      </c>
      <c r="B2039">
        <v>2016</v>
      </c>
      <c r="C2039" t="s">
        <v>32</v>
      </c>
      <c r="D2039">
        <v>198</v>
      </c>
      <c r="E2039">
        <v>152</v>
      </c>
      <c r="F2039">
        <v>19</v>
      </c>
      <c r="G2039">
        <v>6</v>
      </c>
      <c r="H2039">
        <v>7</v>
      </c>
      <c r="I2039">
        <v>10</v>
      </c>
      <c r="J2039">
        <v>130.26</v>
      </c>
      <c r="K2039">
        <v>28.29</v>
      </c>
      <c r="L2039">
        <f>_xlfn.XLOOKUP(C2039, dim_teams[team_name], dim_teams[team_id], "Not found", 0)</f>
        <v>6</v>
      </c>
    </row>
    <row r="2040" spans="1:12" x14ac:dyDescent="0.3">
      <c r="A2040" t="s">
        <v>543</v>
      </c>
      <c r="B2040">
        <v>2017</v>
      </c>
      <c r="C2040" t="s">
        <v>32</v>
      </c>
      <c r="D2040">
        <v>366</v>
      </c>
      <c r="E2040">
        <v>220</v>
      </c>
      <c r="F2040">
        <v>28</v>
      </c>
      <c r="G2040">
        <v>24</v>
      </c>
      <c r="H2040">
        <v>14</v>
      </c>
      <c r="I2040">
        <v>14</v>
      </c>
      <c r="J2040">
        <v>166.36</v>
      </c>
      <c r="K2040">
        <v>26.14</v>
      </c>
      <c r="L2040">
        <f>_xlfn.XLOOKUP(C2040, dim_teams[team_name], dim_teams[team_id], "Not found", 0)</f>
        <v>6</v>
      </c>
    </row>
    <row r="2041" spans="1:12" x14ac:dyDescent="0.3">
      <c r="A2041" t="s">
        <v>543</v>
      </c>
      <c r="B2041">
        <v>2018</v>
      </c>
      <c r="C2041" t="s">
        <v>32</v>
      </c>
      <c r="D2041">
        <v>684</v>
      </c>
      <c r="E2041">
        <v>394</v>
      </c>
      <c r="F2041">
        <v>68</v>
      </c>
      <c r="G2041">
        <v>37</v>
      </c>
      <c r="H2041">
        <v>15</v>
      </c>
      <c r="I2041">
        <v>14</v>
      </c>
      <c r="J2041">
        <v>173.6</v>
      </c>
      <c r="K2041">
        <v>45.6</v>
      </c>
      <c r="L2041">
        <f>_xlfn.XLOOKUP(C2041, dim_teams[team_name], dim_teams[team_id], "Not found", 0)</f>
        <v>6</v>
      </c>
    </row>
    <row r="2042" spans="1:12" x14ac:dyDescent="0.3">
      <c r="A2042" t="s">
        <v>543</v>
      </c>
      <c r="B2042">
        <v>2019</v>
      </c>
      <c r="C2042" t="s">
        <v>33</v>
      </c>
      <c r="D2042">
        <v>494</v>
      </c>
      <c r="E2042">
        <v>302</v>
      </c>
      <c r="F2042">
        <v>37</v>
      </c>
      <c r="G2042">
        <v>27</v>
      </c>
      <c r="H2042">
        <v>13</v>
      </c>
      <c r="I2042">
        <v>16</v>
      </c>
      <c r="J2042">
        <v>163.58000000000001</v>
      </c>
      <c r="K2042">
        <v>38</v>
      </c>
      <c r="L2042">
        <f>_xlfn.XLOOKUP(C2042, dim_teams[team_name], dim_teams[team_id], "Not found", 0)</f>
        <v>15</v>
      </c>
    </row>
    <row r="2043" spans="1:12" x14ac:dyDescent="0.3">
      <c r="A2043" t="s">
        <v>543</v>
      </c>
      <c r="B2043">
        <v>2020</v>
      </c>
      <c r="C2043" t="s">
        <v>33</v>
      </c>
      <c r="D2043">
        <v>345</v>
      </c>
      <c r="E2043">
        <v>300</v>
      </c>
      <c r="F2043">
        <v>32</v>
      </c>
      <c r="G2043">
        <v>9</v>
      </c>
      <c r="H2043">
        <v>10</v>
      </c>
      <c r="I2043">
        <v>14</v>
      </c>
      <c r="J2043">
        <v>115</v>
      </c>
      <c r="K2043">
        <v>34.5</v>
      </c>
      <c r="L2043">
        <f>_xlfn.XLOOKUP(C2043, dim_teams[team_name], dim_teams[team_id], "Not found", 0)</f>
        <v>15</v>
      </c>
    </row>
    <row r="2044" spans="1:12" x14ac:dyDescent="0.3">
      <c r="A2044" t="s">
        <v>543</v>
      </c>
      <c r="B2044">
        <v>2021</v>
      </c>
      <c r="C2044" t="s">
        <v>33</v>
      </c>
      <c r="D2044">
        <v>424</v>
      </c>
      <c r="E2044">
        <v>328</v>
      </c>
      <c r="F2044">
        <v>43</v>
      </c>
      <c r="G2044">
        <v>10</v>
      </c>
      <c r="H2044">
        <v>13</v>
      </c>
      <c r="I2044">
        <v>16</v>
      </c>
      <c r="J2044">
        <v>129.27000000000001</v>
      </c>
      <c r="K2044">
        <v>32.619999999999997</v>
      </c>
      <c r="L2044">
        <f>_xlfn.XLOOKUP(C2044, dim_teams[team_name], dim_teams[team_id], "Not found", 0)</f>
        <v>15</v>
      </c>
    </row>
    <row r="2045" spans="1:12" x14ac:dyDescent="0.3">
      <c r="A2045" t="s">
        <v>543</v>
      </c>
      <c r="B2045">
        <v>2022</v>
      </c>
      <c r="C2045" t="s">
        <v>33</v>
      </c>
      <c r="D2045">
        <v>340</v>
      </c>
      <c r="E2045">
        <v>222</v>
      </c>
      <c r="F2045">
        <v>35</v>
      </c>
      <c r="G2045">
        <v>16</v>
      </c>
      <c r="H2045">
        <v>13</v>
      </c>
      <c r="I2045">
        <v>13</v>
      </c>
      <c r="J2045">
        <v>153.15</v>
      </c>
      <c r="K2045">
        <v>26.15</v>
      </c>
      <c r="L2045">
        <f>_xlfn.XLOOKUP(C2045, dim_teams[team_name], dim_teams[team_id], "Not found", 0)</f>
        <v>15</v>
      </c>
    </row>
    <row r="2046" spans="1:12" x14ac:dyDescent="0.3">
      <c r="A2046" t="s">
        <v>543</v>
      </c>
      <c r="B2046">
        <v>2024</v>
      </c>
      <c r="C2046" t="s">
        <v>33</v>
      </c>
      <c r="D2046">
        <v>446</v>
      </c>
      <c r="E2046">
        <v>287</v>
      </c>
      <c r="F2046">
        <v>36</v>
      </c>
      <c r="G2046">
        <v>25</v>
      </c>
      <c r="H2046">
        <v>11</v>
      </c>
      <c r="I2046">
        <v>13</v>
      </c>
      <c r="J2046">
        <v>155.4</v>
      </c>
      <c r="K2046">
        <v>40.549999999999997</v>
      </c>
      <c r="L2046">
        <f>_xlfn.XLOOKUP(C2046, dim_teams[team_name], dim_teams[team_id], "Not found", 0)</f>
        <v>15</v>
      </c>
    </row>
    <row r="2047" spans="1:12" x14ac:dyDescent="0.3">
      <c r="A2047" t="s">
        <v>543</v>
      </c>
      <c r="B2047">
        <v>2025</v>
      </c>
      <c r="C2047" t="s">
        <v>15</v>
      </c>
      <c r="D2047">
        <v>269</v>
      </c>
      <c r="E2047">
        <v>202</v>
      </c>
      <c r="F2047">
        <v>23</v>
      </c>
      <c r="G2047">
        <v>16</v>
      </c>
      <c r="H2047">
        <v>11</v>
      </c>
      <c r="I2047">
        <v>13</v>
      </c>
      <c r="J2047">
        <v>133.16999999999999</v>
      </c>
      <c r="K2047">
        <v>24.45</v>
      </c>
      <c r="L2047">
        <f>_xlfn.XLOOKUP(C2047, dim_teams[team_name], dim_teams[team_id], "Not found", 0)</f>
        <v>17</v>
      </c>
    </row>
    <row r="2048" spans="1:12" x14ac:dyDescent="0.3">
      <c r="A2048" t="s">
        <v>544</v>
      </c>
      <c r="B2048">
        <v>2008</v>
      </c>
      <c r="C2048" t="s">
        <v>54</v>
      </c>
      <c r="D2048">
        <v>28</v>
      </c>
      <c r="E2048">
        <v>21</v>
      </c>
      <c r="F2048">
        <v>4</v>
      </c>
      <c r="G2048">
        <v>1</v>
      </c>
      <c r="H2048">
        <v>0</v>
      </c>
      <c r="I2048">
        <v>1</v>
      </c>
      <c r="J2048">
        <v>133.33000000000001</v>
      </c>
      <c r="L2048">
        <f>_xlfn.XLOOKUP(C2048, dim_teams[team_name], dim_teams[team_id], "Not found", 0)</f>
        <v>4</v>
      </c>
    </row>
    <row r="2049" spans="1:12" x14ac:dyDescent="0.3">
      <c r="A2049" t="s">
        <v>544</v>
      </c>
      <c r="B2049">
        <v>2009</v>
      </c>
      <c r="C2049" t="s">
        <v>54</v>
      </c>
      <c r="D2049">
        <v>23</v>
      </c>
      <c r="E2049">
        <v>22</v>
      </c>
      <c r="F2049">
        <v>2</v>
      </c>
      <c r="G2049">
        <v>0</v>
      </c>
      <c r="H2049">
        <v>0</v>
      </c>
      <c r="I2049">
        <v>3</v>
      </c>
      <c r="J2049">
        <v>104.55</v>
      </c>
      <c r="L2049">
        <f>_xlfn.XLOOKUP(C2049, dim_teams[team_name], dim_teams[team_id], "Not found", 0)</f>
        <v>4</v>
      </c>
    </row>
    <row r="2050" spans="1:12" x14ac:dyDescent="0.3">
      <c r="A2050" t="s">
        <v>544</v>
      </c>
      <c r="B2050">
        <v>2010</v>
      </c>
      <c r="C2050" t="s">
        <v>54</v>
      </c>
      <c r="D2050">
        <v>5</v>
      </c>
      <c r="E2050">
        <v>8</v>
      </c>
      <c r="F2050">
        <v>0</v>
      </c>
      <c r="G2050">
        <v>0</v>
      </c>
      <c r="H2050">
        <v>1</v>
      </c>
      <c r="I2050">
        <v>2</v>
      </c>
      <c r="J2050">
        <v>62.5</v>
      </c>
      <c r="K2050">
        <v>5</v>
      </c>
      <c r="L2050">
        <f>_xlfn.XLOOKUP(C2050, dim_teams[team_name], dim_teams[team_id], "Not found", 0)</f>
        <v>4</v>
      </c>
    </row>
    <row r="2051" spans="1:12" x14ac:dyDescent="0.3">
      <c r="A2051" t="s">
        <v>544</v>
      </c>
      <c r="B2051">
        <v>2011</v>
      </c>
      <c r="C2051" t="s">
        <v>122</v>
      </c>
      <c r="D2051">
        <v>11</v>
      </c>
      <c r="E2051">
        <v>13</v>
      </c>
      <c r="F2051">
        <v>0</v>
      </c>
      <c r="G2051">
        <v>0</v>
      </c>
      <c r="H2051">
        <v>2</v>
      </c>
      <c r="I2051">
        <v>3</v>
      </c>
      <c r="J2051">
        <v>84.62</v>
      </c>
      <c r="K2051">
        <v>5.5</v>
      </c>
      <c r="L2051">
        <f>_xlfn.XLOOKUP(C2051, dim_teams[team_name], dim_teams[team_id], "Not found", 0)</f>
        <v>9</v>
      </c>
    </row>
    <row r="2052" spans="1:12" x14ac:dyDescent="0.3">
      <c r="A2052" t="s">
        <v>545</v>
      </c>
      <c r="B2052">
        <v>2008</v>
      </c>
      <c r="C2052" t="s">
        <v>23</v>
      </c>
      <c r="D2052">
        <v>8</v>
      </c>
      <c r="E2052">
        <v>9</v>
      </c>
      <c r="F2052">
        <v>1</v>
      </c>
      <c r="G2052">
        <v>0</v>
      </c>
      <c r="H2052">
        <v>0</v>
      </c>
      <c r="I2052">
        <v>3</v>
      </c>
      <c r="J2052">
        <v>88.89</v>
      </c>
      <c r="L2052">
        <f>_xlfn.XLOOKUP(C2052, dim_teams[team_name], dim_teams[team_id], "Not found", 0)</f>
        <v>7</v>
      </c>
    </row>
    <row r="2053" spans="1:12" x14ac:dyDescent="0.3">
      <c r="A2053" t="s">
        <v>545</v>
      </c>
      <c r="B2053">
        <v>2009</v>
      </c>
      <c r="C2053" t="s">
        <v>23</v>
      </c>
      <c r="D2053">
        <v>12</v>
      </c>
      <c r="E2053">
        <v>9</v>
      </c>
      <c r="F2053">
        <v>0</v>
      </c>
      <c r="G2053">
        <v>1</v>
      </c>
      <c r="H2053">
        <v>1</v>
      </c>
      <c r="I2053">
        <v>2</v>
      </c>
      <c r="J2053">
        <v>133.33000000000001</v>
      </c>
      <c r="K2053">
        <v>12</v>
      </c>
      <c r="L2053">
        <f>_xlfn.XLOOKUP(C2053, dim_teams[team_name], dim_teams[team_id], "Not found", 0)</f>
        <v>7</v>
      </c>
    </row>
    <row r="2054" spans="1:12" x14ac:dyDescent="0.3">
      <c r="A2054" t="s">
        <v>546</v>
      </c>
      <c r="B2054">
        <v>2014</v>
      </c>
      <c r="C2054" t="s">
        <v>21</v>
      </c>
      <c r="D2054">
        <v>39</v>
      </c>
      <c r="E2054">
        <v>41</v>
      </c>
      <c r="F2054">
        <v>2</v>
      </c>
      <c r="G2054">
        <v>2</v>
      </c>
      <c r="H2054">
        <v>4</v>
      </c>
      <c r="I2054">
        <v>3</v>
      </c>
      <c r="J2054">
        <v>95.12</v>
      </c>
      <c r="K2054">
        <v>9.75</v>
      </c>
      <c r="L2054">
        <f>_xlfn.XLOOKUP(C2054, dim_teams[team_name], dim_teams[team_id], "Not found", 0)</f>
        <v>2</v>
      </c>
    </row>
    <row r="2055" spans="1:12" x14ac:dyDescent="0.3">
      <c r="A2055" t="s">
        <v>546</v>
      </c>
      <c r="B2055">
        <v>2015</v>
      </c>
      <c r="C2055" t="s">
        <v>21</v>
      </c>
      <c r="D2055">
        <v>14</v>
      </c>
      <c r="E2055">
        <v>10</v>
      </c>
      <c r="F2055">
        <v>1</v>
      </c>
      <c r="G2055">
        <v>1</v>
      </c>
      <c r="H2055">
        <v>2</v>
      </c>
      <c r="I2055">
        <v>2</v>
      </c>
      <c r="J2055">
        <v>140</v>
      </c>
      <c r="K2055">
        <v>7</v>
      </c>
      <c r="L2055">
        <f>_xlfn.XLOOKUP(C2055, dim_teams[team_name], dim_teams[team_id], "Not found", 0)</f>
        <v>2</v>
      </c>
    </row>
    <row r="2056" spans="1:12" x14ac:dyDescent="0.3">
      <c r="A2056" t="s">
        <v>546</v>
      </c>
      <c r="B2056">
        <v>2023</v>
      </c>
      <c r="C2056" t="s">
        <v>33</v>
      </c>
      <c r="D2056">
        <v>209</v>
      </c>
      <c r="E2056">
        <v>140</v>
      </c>
      <c r="F2056">
        <v>17</v>
      </c>
      <c r="G2056">
        <v>11</v>
      </c>
      <c r="H2056">
        <v>7</v>
      </c>
      <c r="I2056">
        <v>9</v>
      </c>
      <c r="J2056">
        <v>149.29</v>
      </c>
      <c r="K2056">
        <v>29.86</v>
      </c>
      <c r="L2056">
        <f>_xlfn.XLOOKUP(C2056, dim_teams[team_name], dim_teams[team_id], "Not found", 0)</f>
        <v>15</v>
      </c>
    </row>
    <row r="2057" spans="1:12" x14ac:dyDescent="0.3">
      <c r="A2057" t="s">
        <v>546</v>
      </c>
      <c r="B2057">
        <v>2024</v>
      </c>
      <c r="C2057" t="s">
        <v>76</v>
      </c>
      <c r="D2057">
        <v>211</v>
      </c>
      <c r="E2057">
        <v>115</v>
      </c>
      <c r="F2057">
        <v>25</v>
      </c>
      <c r="G2057">
        <v>11</v>
      </c>
      <c r="H2057">
        <v>8</v>
      </c>
      <c r="I2057">
        <v>8</v>
      </c>
      <c r="J2057">
        <v>183.48</v>
      </c>
      <c r="K2057">
        <v>26.38</v>
      </c>
      <c r="L2057">
        <f>_xlfn.XLOOKUP(C2057, dim_teams[team_name], dim_teams[team_id], "Not found", 0)</f>
        <v>16</v>
      </c>
    </row>
    <row r="2058" spans="1:12" x14ac:dyDescent="0.3">
      <c r="A2058" t="s">
        <v>547</v>
      </c>
      <c r="B2058">
        <v>2008</v>
      </c>
      <c r="C2058" t="s">
        <v>54</v>
      </c>
      <c r="D2058">
        <v>73</v>
      </c>
      <c r="E2058">
        <v>75</v>
      </c>
      <c r="F2058">
        <v>6</v>
      </c>
      <c r="G2058">
        <v>1</v>
      </c>
      <c r="H2058">
        <v>3</v>
      </c>
      <c r="I2058">
        <v>4</v>
      </c>
      <c r="J2058">
        <v>97.33</v>
      </c>
      <c r="K2058">
        <v>24.33</v>
      </c>
      <c r="L2058">
        <f>_xlfn.XLOOKUP(C2058, dim_teams[team_name], dim_teams[team_id], "Not found", 0)</f>
        <v>4</v>
      </c>
    </row>
    <row r="2059" spans="1:12" x14ac:dyDescent="0.3">
      <c r="A2059" t="s">
        <v>548</v>
      </c>
      <c r="B2059">
        <v>2009</v>
      </c>
      <c r="C2059" t="s">
        <v>54</v>
      </c>
      <c r="D2059">
        <v>138</v>
      </c>
      <c r="E2059">
        <v>119</v>
      </c>
      <c r="F2059">
        <v>8</v>
      </c>
      <c r="G2059">
        <v>7</v>
      </c>
      <c r="H2059">
        <v>6</v>
      </c>
      <c r="I2059">
        <v>5</v>
      </c>
      <c r="J2059">
        <v>115.97</v>
      </c>
      <c r="K2059">
        <v>23</v>
      </c>
      <c r="L2059">
        <f>_xlfn.XLOOKUP(C2059, dim_teams[team_name], dim_teams[team_id], "Not found", 0)</f>
        <v>4</v>
      </c>
    </row>
    <row r="2060" spans="1:12" x14ac:dyDescent="0.3">
      <c r="A2060" t="s">
        <v>548</v>
      </c>
      <c r="B2060">
        <v>2010</v>
      </c>
      <c r="C2060" t="s">
        <v>54</v>
      </c>
      <c r="D2060">
        <v>248</v>
      </c>
      <c r="E2060">
        <v>214</v>
      </c>
      <c r="F2060">
        <v>25</v>
      </c>
      <c r="G2060">
        <v>3</v>
      </c>
      <c r="H2060">
        <v>8</v>
      </c>
      <c r="I2060">
        <v>9</v>
      </c>
      <c r="J2060">
        <v>115.89</v>
      </c>
      <c r="K2060">
        <v>31</v>
      </c>
      <c r="L2060">
        <f>_xlfn.XLOOKUP(C2060, dim_teams[team_name], dim_teams[team_id], "Not found", 0)</f>
        <v>4</v>
      </c>
    </row>
    <row r="2061" spans="1:12" x14ac:dyDescent="0.3">
      <c r="A2061" t="s">
        <v>548</v>
      </c>
      <c r="B2061">
        <v>2015</v>
      </c>
      <c r="C2061" t="s">
        <v>13</v>
      </c>
      <c r="D2061">
        <v>145</v>
      </c>
      <c r="E2061">
        <v>120</v>
      </c>
      <c r="F2061">
        <v>6</v>
      </c>
      <c r="G2061">
        <v>6</v>
      </c>
      <c r="H2061">
        <v>5</v>
      </c>
      <c r="I2061">
        <v>8</v>
      </c>
      <c r="J2061">
        <v>120.83</v>
      </c>
      <c r="K2061">
        <v>29</v>
      </c>
      <c r="L2061">
        <f>_xlfn.XLOOKUP(C2061, dim_teams[team_name], dim_teams[team_id], "Not found", 0)</f>
        <v>11</v>
      </c>
    </row>
    <row r="2062" spans="1:12" x14ac:dyDescent="0.3">
      <c r="A2062" t="s">
        <v>549</v>
      </c>
      <c r="B2062">
        <v>2010</v>
      </c>
      <c r="C2062" t="s">
        <v>19</v>
      </c>
      <c r="D2062">
        <v>2</v>
      </c>
      <c r="E2062">
        <v>8</v>
      </c>
      <c r="F2062">
        <v>0</v>
      </c>
      <c r="G2062">
        <v>0</v>
      </c>
      <c r="H2062">
        <v>1</v>
      </c>
      <c r="I2062">
        <v>1</v>
      </c>
      <c r="J2062">
        <v>25</v>
      </c>
      <c r="K2062">
        <v>2</v>
      </c>
      <c r="L2062">
        <f>_xlfn.XLOOKUP(C2062, dim_teams[team_name], dim_teams[team_id], "Not found", 0)</f>
        <v>1</v>
      </c>
    </row>
    <row r="2063" spans="1:12" x14ac:dyDescent="0.3">
      <c r="A2063" t="s">
        <v>550</v>
      </c>
      <c r="B2063">
        <v>2010</v>
      </c>
      <c r="C2063" t="s">
        <v>54</v>
      </c>
      <c r="D2063">
        <v>4</v>
      </c>
      <c r="E2063">
        <v>2</v>
      </c>
      <c r="F2063">
        <v>1</v>
      </c>
      <c r="G2063">
        <v>0</v>
      </c>
      <c r="H2063">
        <v>0</v>
      </c>
      <c r="I2063">
        <v>1</v>
      </c>
      <c r="J2063">
        <v>200</v>
      </c>
      <c r="L2063">
        <f>_xlfn.XLOOKUP(C2063, dim_teams[team_name], dim_teams[team_id], "Not found", 0)</f>
        <v>4</v>
      </c>
    </row>
    <row r="2064" spans="1:12" x14ac:dyDescent="0.3">
      <c r="A2064" t="s">
        <v>551</v>
      </c>
      <c r="B2064">
        <v>2008</v>
      </c>
      <c r="C2064" t="s">
        <v>19</v>
      </c>
      <c r="D2064">
        <v>39</v>
      </c>
      <c r="E2064">
        <v>53</v>
      </c>
      <c r="F2064">
        <v>2</v>
      </c>
      <c r="G2064">
        <v>1</v>
      </c>
      <c r="H2064">
        <v>3</v>
      </c>
      <c r="I2064">
        <v>4</v>
      </c>
      <c r="J2064">
        <v>73.58</v>
      </c>
      <c r="K2064">
        <v>13</v>
      </c>
      <c r="L2064">
        <f>_xlfn.XLOOKUP(C2064, dim_teams[team_name], dim_teams[team_id], "Not found", 0)</f>
        <v>1</v>
      </c>
    </row>
    <row r="2065" spans="1:12" x14ac:dyDescent="0.3">
      <c r="A2065" t="s">
        <v>551</v>
      </c>
      <c r="B2065">
        <v>2013</v>
      </c>
      <c r="C2065" t="s">
        <v>23</v>
      </c>
      <c r="D2065">
        <v>52</v>
      </c>
      <c r="E2065">
        <v>75</v>
      </c>
      <c r="F2065">
        <v>3</v>
      </c>
      <c r="G2065">
        <v>1</v>
      </c>
      <c r="H2065">
        <v>5</v>
      </c>
      <c r="I2065">
        <v>5</v>
      </c>
      <c r="J2065">
        <v>69.33</v>
      </c>
      <c r="K2065">
        <v>10.4</v>
      </c>
      <c r="L2065">
        <f>_xlfn.XLOOKUP(C2065, dim_teams[team_name], dim_teams[team_id], "Not found", 0)</f>
        <v>7</v>
      </c>
    </row>
    <row r="2066" spans="1:12" x14ac:dyDescent="0.3">
      <c r="A2066" t="s">
        <v>552</v>
      </c>
      <c r="B2066">
        <v>2011</v>
      </c>
      <c r="C2066" t="s">
        <v>122</v>
      </c>
      <c r="D2066">
        <v>46</v>
      </c>
      <c r="E2066">
        <v>50</v>
      </c>
      <c r="F2066">
        <v>4</v>
      </c>
      <c r="G2066">
        <v>1</v>
      </c>
      <c r="H2066">
        <v>7</v>
      </c>
      <c r="I2066">
        <v>8</v>
      </c>
      <c r="J2066">
        <v>92</v>
      </c>
      <c r="K2066">
        <v>6.57</v>
      </c>
      <c r="L2066">
        <f>_xlfn.XLOOKUP(C2066, dim_teams[team_name], dim_teams[team_id], "Not found", 0)</f>
        <v>9</v>
      </c>
    </row>
    <row r="2067" spans="1:12" x14ac:dyDescent="0.3">
      <c r="A2067" t="s">
        <v>552</v>
      </c>
      <c r="B2067">
        <v>2013</v>
      </c>
      <c r="C2067" t="s">
        <v>37</v>
      </c>
      <c r="D2067">
        <v>4</v>
      </c>
      <c r="E2067">
        <v>1</v>
      </c>
      <c r="F2067">
        <v>1</v>
      </c>
      <c r="G2067">
        <v>0</v>
      </c>
      <c r="H2067">
        <v>0</v>
      </c>
      <c r="I2067">
        <v>1</v>
      </c>
      <c r="J2067">
        <v>400</v>
      </c>
      <c r="L2067">
        <f>_xlfn.XLOOKUP(C2067, dim_teams[team_name], dim_teams[team_id], "Not found", 0)</f>
        <v>10</v>
      </c>
    </row>
    <row r="2068" spans="1:12" x14ac:dyDescent="0.3">
      <c r="A2068" t="s">
        <v>553</v>
      </c>
      <c r="B2068">
        <v>2021</v>
      </c>
      <c r="C2068" t="s">
        <v>33</v>
      </c>
      <c r="D2068">
        <v>25</v>
      </c>
      <c r="E2068">
        <v>27</v>
      </c>
      <c r="F2068">
        <v>3</v>
      </c>
      <c r="G2068">
        <v>0</v>
      </c>
      <c r="H2068">
        <v>1</v>
      </c>
      <c r="I2068">
        <v>2</v>
      </c>
      <c r="J2068">
        <v>92.59</v>
      </c>
      <c r="K2068">
        <v>25</v>
      </c>
      <c r="L2068">
        <f>_xlfn.XLOOKUP(C2068, dim_teams[team_name], dim_teams[team_id], "Not found", 0)</f>
        <v>15</v>
      </c>
    </row>
    <row r="2069" spans="1:12" x14ac:dyDescent="0.3">
      <c r="A2069" t="s">
        <v>553</v>
      </c>
      <c r="B2069">
        <v>2022</v>
      </c>
      <c r="C2069" t="s">
        <v>33</v>
      </c>
      <c r="D2069">
        <v>6</v>
      </c>
      <c r="E2069">
        <v>3</v>
      </c>
      <c r="F2069">
        <v>0</v>
      </c>
      <c r="G2069">
        <v>1</v>
      </c>
      <c r="H2069">
        <v>1</v>
      </c>
      <c r="I2069">
        <v>1</v>
      </c>
      <c r="J2069">
        <v>200</v>
      </c>
      <c r="K2069">
        <v>6</v>
      </c>
      <c r="L2069">
        <f>_xlfn.XLOOKUP(C2069, dim_teams[team_name], dim_teams[team_id], "Not found", 0)</f>
        <v>15</v>
      </c>
    </row>
    <row r="2070" spans="1:12" x14ac:dyDescent="0.3">
      <c r="A2070" t="s">
        <v>553</v>
      </c>
      <c r="B2070">
        <v>2023</v>
      </c>
      <c r="C2070" t="s">
        <v>33</v>
      </c>
      <c r="D2070">
        <v>49</v>
      </c>
      <c r="E2070">
        <v>43</v>
      </c>
      <c r="F2070">
        <v>3</v>
      </c>
      <c r="G2070">
        <v>1</v>
      </c>
      <c r="H2070">
        <v>3</v>
      </c>
      <c r="I2070">
        <v>4</v>
      </c>
      <c r="J2070">
        <v>113.95</v>
      </c>
      <c r="K2070">
        <v>16.329999999999998</v>
      </c>
      <c r="L2070">
        <f>_xlfn.XLOOKUP(C2070, dim_teams[team_name], dim_teams[team_id], "Not found", 0)</f>
        <v>15</v>
      </c>
    </row>
    <row r="2071" spans="1:12" x14ac:dyDescent="0.3">
      <c r="A2071" t="s">
        <v>554</v>
      </c>
      <c r="B2071">
        <v>2008</v>
      </c>
      <c r="C2071" t="s">
        <v>23</v>
      </c>
      <c r="D2071">
        <v>320</v>
      </c>
      <c r="E2071">
        <v>274</v>
      </c>
      <c r="F2071">
        <v>34</v>
      </c>
      <c r="G2071">
        <v>9</v>
      </c>
      <c r="H2071">
        <v>12</v>
      </c>
      <c r="I2071">
        <v>14</v>
      </c>
      <c r="J2071">
        <v>116.79</v>
      </c>
      <c r="K2071">
        <v>26.67</v>
      </c>
      <c r="L2071">
        <f>_xlfn.XLOOKUP(C2071, dim_teams[team_name], dim_teams[team_id], "Not found", 0)</f>
        <v>7</v>
      </c>
    </row>
    <row r="2072" spans="1:12" x14ac:dyDescent="0.3">
      <c r="A2072" t="s">
        <v>554</v>
      </c>
      <c r="B2072">
        <v>2009</v>
      </c>
      <c r="C2072" t="s">
        <v>21</v>
      </c>
      <c r="D2072">
        <v>175</v>
      </c>
      <c r="E2072">
        <v>170</v>
      </c>
      <c r="F2072">
        <v>18</v>
      </c>
      <c r="G2072">
        <v>3</v>
      </c>
      <c r="H2072">
        <v>11</v>
      </c>
      <c r="I2072">
        <v>13</v>
      </c>
      <c r="J2072">
        <v>102.94</v>
      </c>
      <c r="K2072">
        <v>15.91</v>
      </c>
      <c r="L2072">
        <f>_xlfn.XLOOKUP(C2072, dim_teams[team_name], dim_teams[team_id], "Not found", 0)</f>
        <v>2</v>
      </c>
    </row>
    <row r="2073" spans="1:12" x14ac:dyDescent="0.3">
      <c r="A2073" t="s">
        <v>554</v>
      </c>
      <c r="B2073">
        <v>2010</v>
      </c>
      <c r="C2073" t="s">
        <v>21</v>
      </c>
      <c r="D2073">
        <v>374</v>
      </c>
      <c r="E2073">
        <v>218</v>
      </c>
      <c r="F2073">
        <v>21</v>
      </c>
      <c r="G2073">
        <v>27</v>
      </c>
      <c r="H2073">
        <v>12</v>
      </c>
      <c r="I2073">
        <v>14</v>
      </c>
      <c r="J2073">
        <v>171.56</v>
      </c>
      <c r="K2073">
        <v>31.17</v>
      </c>
      <c r="L2073">
        <f>_xlfn.XLOOKUP(C2073, dim_teams[team_name], dim_teams[team_id], "Not found", 0)</f>
        <v>2</v>
      </c>
    </row>
    <row r="2074" spans="1:12" x14ac:dyDescent="0.3">
      <c r="A2074" t="s">
        <v>554</v>
      </c>
      <c r="B2074">
        <v>2011</v>
      </c>
      <c r="C2074" t="s">
        <v>37</v>
      </c>
      <c r="D2074">
        <v>264</v>
      </c>
      <c r="E2074">
        <v>205</v>
      </c>
      <c r="F2074">
        <v>27</v>
      </c>
      <c r="G2074">
        <v>10</v>
      </c>
      <c r="H2074">
        <v>10</v>
      </c>
      <c r="I2074">
        <v>13</v>
      </c>
      <c r="J2074">
        <v>128.78</v>
      </c>
      <c r="K2074">
        <v>26.4</v>
      </c>
      <c r="L2074">
        <f>_xlfn.XLOOKUP(C2074, dim_teams[team_name], dim_teams[team_id], "Not found", 0)</f>
        <v>10</v>
      </c>
    </row>
    <row r="2075" spans="1:12" x14ac:dyDescent="0.3">
      <c r="A2075" t="s">
        <v>554</v>
      </c>
      <c r="B2075">
        <v>2012</v>
      </c>
      <c r="C2075" t="s">
        <v>37</v>
      </c>
      <c r="D2075">
        <v>405</v>
      </c>
      <c r="E2075">
        <v>342</v>
      </c>
      <c r="F2075">
        <v>38</v>
      </c>
      <c r="G2075">
        <v>10</v>
      </c>
      <c r="H2075">
        <v>14</v>
      </c>
      <c r="I2075">
        <v>16</v>
      </c>
      <c r="J2075">
        <v>118.42</v>
      </c>
      <c r="K2075">
        <v>28.93</v>
      </c>
      <c r="L2075">
        <f>_xlfn.XLOOKUP(C2075, dim_teams[team_name], dim_teams[team_id], "Not found", 0)</f>
        <v>10</v>
      </c>
    </row>
    <row r="2076" spans="1:12" x14ac:dyDescent="0.3">
      <c r="A2076" t="s">
        <v>554</v>
      </c>
      <c r="B2076">
        <v>2013</v>
      </c>
      <c r="C2076" t="s">
        <v>37</v>
      </c>
      <c r="D2076">
        <v>434</v>
      </c>
      <c r="E2076">
        <v>368</v>
      </c>
      <c r="F2076">
        <v>42</v>
      </c>
      <c r="G2076">
        <v>12</v>
      </c>
      <c r="H2076">
        <v>16</v>
      </c>
      <c r="I2076">
        <v>16</v>
      </c>
      <c r="J2076">
        <v>117.93</v>
      </c>
      <c r="K2076">
        <v>27.12</v>
      </c>
      <c r="L2076">
        <f>_xlfn.XLOOKUP(C2076, dim_teams[team_name], dim_teams[team_id], "Not found", 0)</f>
        <v>10</v>
      </c>
    </row>
    <row r="2077" spans="1:12" x14ac:dyDescent="0.3">
      <c r="A2077" t="s">
        <v>554</v>
      </c>
      <c r="B2077">
        <v>2014</v>
      </c>
      <c r="C2077" t="s">
        <v>19</v>
      </c>
      <c r="D2077">
        <v>660</v>
      </c>
      <c r="E2077">
        <v>478</v>
      </c>
      <c r="F2077">
        <v>74</v>
      </c>
      <c r="G2077">
        <v>18</v>
      </c>
      <c r="H2077">
        <v>16</v>
      </c>
      <c r="I2077">
        <v>16</v>
      </c>
      <c r="J2077">
        <v>138.08000000000001</v>
      </c>
      <c r="K2077">
        <v>41.25</v>
      </c>
      <c r="L2077">
        <f>_xlfn.XLOOKUP(C2077, dim_teams[team_name], dim_teams[team_id], "Not found", 0)</f>
        <v>1</v>
      </c>
    </row>
    <row r="2078" spans="1:12" x14ac:dyDescent="0.3">
      <c r="A2078" t="s">
        <v>554</v>
      </c>
      <c r="B2078">
        <v>2015</v>
      </c>
      <c r="C2078" t="s">
        <v>19</v>
      </c>
      <c r="D2078">
        <v>364</v>
      </c>
      <c r="E2078">
        <v>277</v>
      </c>
      <c r="F2078">
        <v>42</v>
      </c>
      <c r="G2078">
        <v>7</v>
      </c>
      <c r="H2078">
        <v>12</v>
      </c>
      <c r="I2078">
        <v>13</v>
      </c>
      <c r="J2078">
        <v>131.41</v>
      </c>
      <c r="K2078">
        <v>30.33</v>
      </c>
      <c r="L2078">
        <f>_xlfn.XLOOKUP(C2078, dim_teams[team_name], dim_teams[team_id], "Not found", 0)</f>
        <v>1</v>
      </c>
    </row>
    <row r="2079" spans="1:12" x14ac:dyDescent="0.3">
      <c r="A2079" t="s">
        <v>554</v>
      </c>
      <c r="B2079">
        <v>2016</v>
      </c>
      <c r="C2079" t="s">
        <v>19</v>
      </c>
      <c r="D2079">
        <v>394</v>
      </c>
      <c r="E2079">
        <v>288</v>
      </c>
      <c r="F2079">
        <v>45</v>
      </c>
      <c r="G2079">
        <v>8</v>
      </c>
      <c r="H2079">
        <v>16</v>
      </c>
      <c r="I2079">
        <v>15</v>
      </c>
      <c r="J2079">
        <v>136.81</v>
      </c>
      <c r="K2079">
        <v>24.62</v>
      </c>
      <c r="L2079">
        <f>_xlfn.XLOOKUP(C2079, dim_teams[team_name], dim_teams[team_id], "Not found", 0)</f>
        <v>1</v>
      </c>
    </row>
    <row r="2080" spans="1:12" x14ac:dyDescent="0.3">
      <c r="A2080" t="s">
        <v>554</v>
      </c>
      <c r="B2080">
        <v>2017</v>
      </c>
      <c r="C2080" t="s">
        <v>19</v>
      </c>
      <c r="D2080">
        <v>388</v>
      </c>
      <c r="E2080">
        <v>235</v>
      </c>
      <c r="F2080">
        <v>36</v>
      </c>
      <c r="G2080">
        <v>21</v>
      </c>
      <c r="H2080">
        <v>12</v>
      </c>
      <c r="I2080">
        <v>13</v>
      </c>
      <c r="J2080">
        <v>165.11</v>
      </c>
      <c r="K2080">
        <v>32.33</v>
      </c>
      <c r="L2080">
        <f>_xlfn.XLOOKUP(C2080, dim_teams[team_name], dim_teams[team_id], "Not found", 0)</f>
        <v>1</v>
      </c>
    </row>
    <row r="2081" spans="1:12" x14ac:dyDescent="0.3">
      <c r="A2081" t="s">
        <v>554</v>
      </c>
      <c r="B2081">
        <v>2018</v>
      </c>
      <c r="C2081" t="s">
        <v>19</v>
      </c>
      <c r="D2081">
        <v>351</v>
      </c>
      <c r="E2081">
        <v>264</v>
      </c>
      <c r="F2081">
        <v>30</v>
      </c>
      <c r="G2081">
        <v>21</v>
      </c>
      <c r="H2081">
        <v>17</v>
      </c>
      <c r="I2081">
        <v>16</v>
      </c>
      <c r="J2081">
        <v>132.94999999999999</v>
      </c>
      <c r="K2081">
        <v>20.65</v>
      </c>
      <c r="L2081">
        <f>_xlfn.XLOOKUP(C2081, dim_teams[team_name], dim_teams[team_id], "Not found", 0)</f>
        <v>1</v>
      </c>
    </row>
    <row r="2082" spans="1:12" x14ac:dyDescent="0.3">
      <c r="A2082" t="s">
        <v>554</v>
      </c>
      <c r="B2082">
        <v>2019</v>
      </c>
      <c r="C2082" t="s">
        <v>19</v>
      </c>
      <c r="D2082">
        <v>284</v>
      </c>
      <c r="E2082">
        <v>247</v>
      </c>
      <c r="F2082">
        <v>28</v>
      </c>
      <c r="G2082">
        <v>10</v>
      </c>
      <c r="H2082">
        <v>9</v>
      </c>
      <c r="I2082">
        <v>11</v>
      </c>
      <c r="J2082">
        <v>114.98</v>
      </c>
      <c r="K2082">
        <v>31.56</v>
      </c>
      <c r="L2082">
        <f>_xlfn.XLOOKUP(C2082, dim_teams[team_name], dim_teams[team_id], "Not found", 0)</f>
        <v>1</v>
      </c>
    </row>
    <row r="2083" spans="1:12" x14ac:dyDescent="0.3">
      <c r="A2083" t="s">
        <v>554</v>
      </c>
      <c r="B2083">
        <v>2020</v>
      </c>
      <c r="C2083" t="s">
        <v>17</v>
      </c>
      <c r="D2083">
        <v>196</v>
      </c>
      <c r="E2083">
        <v>164</v>
      </c>
      <c r="F2083">
        <v>19</v>
      </c>
      <c r="G2083">
        <v>7</v>
      </c>
      <c r="H2083">
        <v>12</v>
      </c>
      <c r="I2083">
        <v>12</v>
      </c>
      <c r="J2083">
        <v>119.51</v>
      </c>
      <c r="K2083">
        <v>16.329999999999998</v>
      </c>
      <c r="L2083">
        <f>_xlfn.XLOOKUP(C2083, dim_teams[team_name], dim_teams[team_id], "Not found", 0)</f>
        <v>5</v>
      </c>
    </row>
    <row r="2084" spans="1:12" x14ac:dyDescent="0.3">
      <c r="A2084" t="s">
        <v>554</v>
      </c>
      <c r="B2084">
        <v>2021</v>
      </c>
      <c r="C2084" t="s">
        <v>25</v>
      </c>
      <c r="D2084">
        <v>115</v>
      </c>
      <c r="E2084">
        <v>84</v>
      </c>
      <c r="F2084">
        <v>8</v>
      </c>
      <c r="G2084">
        <v>5</v>
      </c>
      <c r="H2084">
        <v>4</v>
      </c>
      <c r="I2084">
        <v>4</v>
      </c>
      <c r="J2084">
        <v>136.9</v>
      </c>
      <c r="K2084">
        <v>28.75</v>
      </c>
      <c r="L2084">
        <f>_xlfn.XLOOKUP(C2084, dim_teams[team_name], dim_teams[team_id], "Not found", 0)</f>
        <v>3</v>
      </c>
    </row>
    <row r="2085" spans="1:12" x14ac:dyDescent="0.3">
      <c r="A2085" t="s">
        <v>554</v>
      </c>
      <c r="B2085">
        <v>2022</v>
      </c>
      <c r="C2085" t="s">
        <v>25</v>
      </c>
      <c r="D2085">
        <v>230</v>
      </c>
      <c r="E2085">
        <v>170</v>
      </c>
      <c r="F2085">
        <v>19</v>
      </c>
      <c r="G2085">
        <v>14</v>
      </c>
      <c r="H2085">
        <v>11</v>
      </c>
      <c r="I2085">
        <v>11</v>
      </c>
      <c r="J2085">
        <v>135.29</v>
      </c>
      <c r="K2085">
        <v>20.91</v>
      </c>
      <c r="L2085">
        <f>_xlfn.XLOOKUP(C2085, dim_teams[team_name], dim_teams[team_id], "Not found", 0)</f>
        <v>3</v>
      </c>
    </row>
    <row r="2086" spans="1:12" x14ac:dyDescent="0.3">
      <c r="A2086" t="s">
        <v>555</v>
      </c>
      <c r="B2086">
        <v>2023</v>
      </c>
      <c r="C2086" t="s">
        <v>19</v>
      </c>
      <c r="D2086">
        <v>227</v>
      </c>
      <c r="E2086">
        <v>169</v>
      </c>
      <c r="F2086">
        <v>17</v>
      </c>
      <c r="G2086">
        <v>15</v>
      </c>
      <c r="H2086">
        <v>11</v>
      </c>
      <c r="I2086">
        <v>11</v>
      </c>
      <c r="J2086">
        <v>134.32</v>
      </c>
      <c r="K2086">
        <v>20.64</v>
      </c>
      <c r="L2086">
        <f>_xlfn.XLOOKUP(C2086, dim_teams[team_name], dim_teams[team_id], "Not found", 0)</f>
        <v>1</v>
      </c>
    </row>
    <row r="2087" spans="1:12" x14ac:dyDescent="0.3">
      <c r="A2087" t="s">
        <v>555</v>
      </c>
      <c r="B2087">
        <v>2024</v>
      </c>
      <c r="C2087" t="s">
        <v>19</v>
      </c>
      <c r="D2087">
        <v>62</v>
      </c>
      <c r="E2087">
        <v>46</v>
      </c>
      <c r="F2087">
        <v>7</v>
      </c>
      <c r="G2087">
        <v>4</v>
      </c>
      <c r="H2087">
        <v>2</v>
      </c>
      <c r="I2087">
        <v>2</v>
      </c>
      <c r="J2087">
        <v>134.78</v>
      </c>
      <c r="K2087">
        <v>31</v>
      </c>
      <c r="L2087">
        <f>_xlfn.XLOOKUP(C2087, dim_teams[team_name], dim_teams[team_id], "Not found", 0)</f>
        <v>1</v>
      </c>
    </row>
    <row r="2088" spans="1:12" x14ac:dyDescent="0.3">
      <c r="A2088" t="s">
        <v>555</v>
      </c>
      <c r="B2088">
        <v>2025</v>
      </c>
      <c r="C2088" t="s">
        <v>19</v>
      </c>
      <c r="D2088">
        <v>74</v>
      </c>
      <c r="E2088">
        <v>53</v>
      </c>
      <c r="F2088">
        <v>10</v>
      </c>
      <c r="G2088">
        <v>3</v>
      </c>
      <c r="H2088">
        <v>4</v>
      </c>
      <c r="I2088">
        <v>5</v>
      </c>
      <c r="J2088">
        <v>139.62</v>
      </c>
      <c r="K2088">
        <v>18.5</v>
      </c>
      <c r="L2088">
        <f>_xlfn.XLOOKUP(C2088, dim_teams[team_name], dim_teams[team_id], "Not found", 0)</f>
        <v>1</v>
      </c>
    </row>
    <row r="2089" spans="1:12" x14ac:dyDescent="0.3">
      <c r="A2089" t="s">
        <v>556</v>
      </c>
      <c r="B2089">
        <v>2022</v>
      </c>
      <c r="C2089" t="s">
        <v>23</v>
      </c>
      <c r="D2089">
        <v>45</v>
      </c>
      <c r="E2089">
        <v>39</v>
      </c>
      <c r="F2089">
        <v>3</v>
      </c>
      <c r="G2089">
        <v>1</v>
      </c>
      <c r="H2089">
        <v>2</v>
      </c>
      <c r="I2089">
        <v>4</v>
      </c>
      <c r="J2089">
        <v>115.38</v>
      </c>
      <c r="K2089">
        <v>22.5</v>
      </c>
      <c r="L2089">
        <f>_xlfn.XLOOKUP(C2089, dim_teams[team_name], dim_teams[team_id], "Not found", 0)</f>
        <v>7</v>
      </c>
    </row>
    <row r="2090" spans="1:12" x14ac:dyDescent="0.3">
      <c r="A2090" t="s">
        <v>556</v>
      </c>
      <c r="B2090">
        <v>2024</v>
      </c>
      <c r="C2090" t="s">
        <v>19</v>
      </c>
      <c r="D2090">
        <v>125</v>
      </c>
      <c r="E2090">
        <v>61</v>
      </c>
      <c r="F2090">
        <v>5</v>
      </c>
      <c r="G2090">
        <v>12</v>
      </c>
      <c r="H2090">
        <v>4</v>
      </c>
      <c r="I2090">
        <v>9</v>
      </c>
      <c r="J2090">
        <v>204.92</v>
      </c>
      <c r="K2090">
        <v>31.25</v>
      </c>
      <c r="L2090">
        <f>_xlfn.XLOOKUP(C2090, dim_teams[team_name], dim_teams[team_id], "Not found", 0)</f>
        <v>1</v>
      </c>
    </row>
    <row r="2091" spans="1:12" x14ac:dyDescent="0.3">
      <c r="A2091" t="s">
        <v>556</v>
      </c>
      <c r="B2091">
        <v>2025</v>
      </c>
      <c r="C2091" t="s">
        <v>19</v>
      </c>
      <c r="D2091">
        <v>47</v>
      </c>
      <c r="E2091">
        <v>35</v>
      </c>
      <c r="F2091">
        <v>1</v>
      </c>
      <c r="G2091">
        <v>4</v>
      </c>
      <c r="H2091">
        <v>5</v>
      </c>
      <c r="I2091">
        <v>7</v>
      </c>
      <c r="J2091">
        <v>134.29</v>
      </c>
      <c r="K2091">
        <v>9.4</v>
      </c>
      <c r="L2091">
        <f>_xlfn.XLOOKUP(C2091, dim_teams[team_name], dim_teams[team_id], "Not found", 0)</f>
        <v>1</v>
      </c>
    </row>
    <row r="2092" spans="1:12" x14ac:dyDescent="0.3">
      <c r="A2092" t="s">
        <v>557</v>
      </c>
      <c r="B2092">
        <v>2017</v>
      </c>
      <c r="C2092" t="s">
        <v>13</v>
      </c>
      <c r="D2092">
        <v>11</v>
      </c>
      <c r="E2092">
        <v>9</v>
      </c>
      <c r="F2092">
        <v>0</v>
      </c>
      <c r="G2092">
        <v>1</v>
      </c>
      <c r="H2092">
        <v>2</v>
      </c>
      <c r="I2092">
        <v>3</v>
      </c>
      <c r="J2092">
        <v>122.22</v>
      </c>
      <c r="K2092">
        <v>5.5</v>
      </c>
      <c r="L2092">
        <f>_xlfn.XLOOKUP(C2092, dim_teams[team_name], dim_teams[team_id], "Not found", 0)</f>
        <v>11</v>
      </c>
    </row>
    <row r="2093" spans="1:12" x14ac:dyDescent="0.3">
      <c r="A2093" t="s">
        <v>557</v>
      </c>
      <c r="B2093">
        <v>2018</v>
      </c>
      <c r="C2093" t="s">
        <v>13</v>
      </c>
      <c r="D2093">
        <v>59</v>
      </c>
      <c r="E2093">
        <v>31</v>
      </c>
      <c r="F2093">
        <v>3</v>
      </c>
      <c r="G2093">
        <v>6</v>
      </c>
      <c r="H2093">
        <v>5</v>
      </c>
      <c r="I2093">
        <v>7</v>
      </c>
      <c r="J2093">
        <v>190.32</v>
      </c>
      <c r="K2093">
        <v>11.8</v>
      </c>
      <c r="L2093">
        <f>_xlfn.XLOOKUP(C2093, dim_teams[team_name], dim_teams[team_id], "Not found", 0)</f>
        <v>11</v>
      </c>
    </row>
    <row r="2094" spans="1:12" x14ac:dyDescent="0.3">
      <c r="A2094" t="s">
        <v>557</v>
      </c>
      <c r="B2094">
        <v>2019</v>
      </c>
      <c r="C2094" t="s">
        <v>13</v>
      </c>
      <c r="D2094">
        <v>34</v>
      </c>
      <c r="E2094">
        <v>23</v>
      </c>
      <c r="F2094">
        <v>2</v>
      </c>
      <c r="G2094">
        <v>2</v>
      </c>
      <c r="H2094">
        <v>5</v>
      </c>
      <c r="I2094">
        <v>7</v>
      </c>
      <c r="J2094">
        <v>147.83000000000001</v>
      </c>
      <c r="K2094">
        <v>6.8</v>
      </c>
      <c r="L2094">
        <f>_xlfn.XLOOKUP(C2094, dim_teams[team_name], dim_teams[team_id], "Not found", 0)</f>
        <v>11</v>
      </c>
    </row>
    <row r="2095" spans="1:12" x14ac:dyDescent="0.3">
      <c r="A2095" t="s">
        <v>557</v>
      </c>
      <c r="B2095">
        <v>2020</v>
      </c>
      <c r="C2095" t="s">
        <v>13</v>
      </c>
      <c r="D2095">
        <v>35</v>
      </c>
      <c r="E2095">
        <v>29</v>
      </c>
      <c r="F2095">
        <v>3</v>
      </c>
      <c r="G2095">
        <v>2</v>
      </c>
      <c r="H2095">
        <v>4</v>
      </c>
      <c r="I2095">
        <v>6</v>
      </c>
      <c r="J2095">
        <v>120.69</v>
      </c>
      <c r="K2095">
        <v>8.75</v>
      </c>
      <c r="L2095">
        <f>_xlfn.XLOOKUP(C2095, dim_teams[team_name], dim_teams[team_id], "Not found", 0)</f>
        <v>11</v>
      </c>
    </row>
    <row r="2096" spans="1:12" x14ac:dyDescent="0.3">
      <c r="A2096" t="s">
        <v>557</v>
      </c>
      <c r="B2096">
        <v>2021</v>
      </c>
      <c r="C2096" t="s">
        <v>13</v>
      </c>
      <c r="D2096">
        <v>83</v>
      </c>
      <c r="E2096">
        <v>66</v>
      </c>
      <c r="F2096">
        <v>9</v>
      </c>
      <c r="G2096">
        <v>2</v>
      </c>
      <c r="H2096">
        <v>8</v>
      </c>
      <c r="I2096">
        <v>10</v>
      </c>
      <c r="J2096">
        <v>125.76</v>
      </c>
      <c r="K2096">
        <v>10.38</v>
      </c>
      <c r="L2096">
        <f>_xlfn.XLOOKUP(C2096, dim_teams[team_name], dim_teams[team_id], "Not found", 0)</f>
        <v>11</v>
      </c>
    </row>
    <row r="2097" spans="1:12" x14ac:dyDescent="0.3">
      <c r="A2097" t="s">
        <v>557</v>
      </c>
      <c r="B2097">
        <v>2022</v>
      </c>
      <c r="C2097" t="s">
        <v>29</v>
      </c>
      <c r="D2097">
        <v>91</v>
      </c>
      <c r="E2097">
        <v>44</v>
      </c>
      <c r="F2097">
        <v>3</v>
      </c>
      <c r="G2097">
        <v>9</v>
      </c>
      <c r="H2097">
        <v>4</v>
      </c>
      <c r="I2097">
        <v>8</v>
      </c>
      <c r="J2097">
        <v>206.82</v>
      </c>
      <c r="K2097">
        <v>22.75</v>
      </c>
      <c r="L2097">
        <f>_xlfn.XLOOKUP(C2097, dim_teams[team_name], dim_teams[team_id], "Not found", 0)</f>
        <v>18</v>
      </c>
    </row>
    <row r="2098" spans="1:12" x14ac:dyDescent="0.3">
      <c r="A2098" t="s">
        <v>557</v>
      </c>
      <c r="B2098">
        <v>2023</v>
      </c>
      <c r="C2098" t="s">
        <v>29</v>
      </c>
      <c r="D2098">
        <v>130</v>
      </c>
      <c r="E2098">
        <v>60</v>
      </c>
      <c r="F2098">
        <v>8</v>
      </c>
      <c r="G2098">
        <v>13</v>
      </c>
      <c r="H2098">
        <v>4</v>
      </c>
      <c r="I2098">
        <v>9</v>
      </c>
      <c r="J2098">
        <v>216.67</v>
      </c>
      <c r="K2098">
        <v>32.5</v>
      </c>
      <c r="L2098">
        <f>_xlfn.XLOOKUP(C2098, dim_teams[team_name], dim_teams[team_id], "Not found", 0)</f>
        <v>18</v>
      </c>
    </row>
    <row r="2099" spans="1:12" x14ac:dyDescent="0.3">
      <c r="A2099" t="s">
        <v>557</v>
      </c>
      <c r="B2099">
        <v>2024</v>
      </c>
      <c r="C2099" t="s">
        <v>29</v>
      </c>
      <c r="D2099">
        <v>102</v>
      </c>
      <c r="E2099">
        <v>69</v>
      </c>
      <c r="F2099">
        <v>11</v>
      </c>
      <c r="G2099">
        <v>3</v>
      </c>
      <c r="H2099">
        <v>5</v>
      </c>
      <c r="I2099">
        <v>8</v>
      </c>
      <c r="J2099">
        <v>147.83000000000001</v>
      </c>
      <c r="K2099">
        <v>20.399999999999999</v>
      </c>
      <c r="L2099">
        <f>_xlfn.XLOOKUP(C2099, dim_teams[team_name], dim_teams[team_id], "Not found", 0)</f>
        <v>18</v>
      </c>
    </row>
    <row r="2100" spans="1:12" x14ac:dyDescent="0.3">
      <c r="A2100" t="s">
        <v>557</v>
      </c>
      <c r="B2100">
        <v>2025</v>
      </c>
      <c r="C2100" t="s">
        <v>29</v>
      </c>
      <c r="D2100">
        <v>40</v>
      </c>
      <c r="E2100">
        <v>28</v>
      </c>
      <c r="F2100">
        <v>2</v>
      </c>
      <c r="G2100">
        <v>3</v>
      </c>
      <c r="H2100">
        <v>5</v>
      </c>
      <c r="I2100">
        <v>8</v>
      </c>
      <c r="J2100">
        <v>142.86000000000001</v>
      </c>
      <c r="K2100">
        <v>8</v>
      </c>
      <c r="L2100">
        <f>_xlfn.XLOOKUP(C2100, dim_teams[team_name], dim_teams[team_id], "Not found", 0)</f>
        <v>18</v>
      </c>
    </row>
    <row r="2101" spans="1:12" x14ac:dyDescent="0.3">
      <c r="A2101" t="s">
        <v>558</v>
      </c>
      <c r="B2101">
        <v>2019</v>
      </c>
      <c r="C2101" t="s">
        <v>23</v>
      </c>
      <c r="D2101">
        <v>5</v>
      </c>
      <c r="E2101">
        <v>4</v>
      </c>
      <c r="F2101">
        <v>0</v>
      </c>
      <c r="G2101">
        <v>0</v>
      </c>
      <c r="H2101">
        <v>0</v>
      </c>
      <c r="I2101">
        <v>1</v>
      </c>
      <c r="J2101">
        <v>125</v>
      </c>
      <c r="L2101">
        <f>_xlfn.XLOOKUP(C2101, dim_teams[team_name], dim_teams[team_id], "Not found", 0)</f>
        <v>7</v>
      </c>
    </row>
    <row r="2102" spans="1:12" x14ac:dyDescent="0.3">
      <c r="A2102" t="s">
        <v>558</v>
      </c>
      <c r="B2102">
        <v>2022</v>
      </c>
      <c r="C2102" t="s">
        <v>19</v>
      </c>
      <c r="D2102">
        <v>7</v>
      </c>
      <c r="E2102">
        <v>6</v>
      </c>
      <c r="F2102">
        <v>1</v>
      </c>
      <c r="G2102">
        <v>0</v>
      </c>
      <c r="H2102">
        <v>1</v>
      </c>
      <c r="I2102">
        <v>1</v>
      </c>
      <c r="J2102">
        <v>116.67</v>
      </c>
      <c r="K2102">
        <v>7</v>
      </c>
      <c r="L2102">
        <f>_xlfn.XLOOKUP(C2102, dim_teams[team_name], dim_teams[team_id], "Not found", 0)</f>
        <v>1</v>
      </c>
    </row>
    <row r="2103" spans="1:12" x14ac:dyDescent="0.3">
      <c r="A2103" t="s">
        <v>558</v>
      </c>
      <c r="B2103">
        <v>2024</v>
      </c>
      <c r="C2103" t="s">
        <v>33</v>
      </c>
      <c r="D2103">
        <v>28</v>
      </c>
      <c r="E2103">
        <v>30</v>
      </c>
      <c r="F2103">
        <v>4</v>
      </c>
      <c r="G2103">
        <v>0</v>
      </c>
      <c r="H2103">
        <v>4</v>
      </c>
      <c r="I2103">
        <v>4</v>
      </c>
      <c r="J2103">
        <v>93.33</v>
      </c>
      <c r="K2103">
        <v>7</v>
      </c>
      <c r="L2103">
        <f>_xlfn.XLOOKUP(C2103, dim_teams[team_name], dim_teams[team_id], "Not found", 0)</f>
        <v>15</v>
      </c>
    </row>
    <row r="2104" spans="1:12" x14ac:dyDescent="0.3">
      <c r="A2104" t="s">
        <v>559</v>
      </c>
      <c r="B2104">
        <v>2020</v>
      </c>
      <c r="C2104" t="s">
        <v>54</v>
      </c>
      <c r="D2104">
        <v>7</v>
      </c>
      <c r="E2104">
        <v>12</v>
      </c>
      <c r="F2104">
        <v>1</v>
      </c>
      <c r="G2104">
        <v>0</v>
      </c>
      <c r="H2104">
        <v>1</v>
      </c>
      <c r="I2104">
        <v>2</v>
      </c>
      <c r="J2104">
        <v>58.33</v>
      </c>
      <c r="K2104">
        <v>7</v>
      </c>
      <c r="L2104">
        <f>_xlfn.XLOOKUP(C2104, dim_teams[team_name], dim_teams[team_id], "Not found", 0)</f>
        <v>4</v>
      </c>
    </row>
    <row r="2105" spans="1:12" x14ac:dyDescent="0.3">
      <c r="A2105" t="s">
        <v>559</v>
      </c>
      <c r="B2105">
        <v>2021</v>
      </c>
      <c r="C2105" t="s">
        <v>76</v>
      </c>
      <c r="D2105">
        <v>1</v>
      </c>
      <c r="E2105">
        <v>4</v>
      </c>
      <c r="F2105">
        <v>0</v>
      </c>
      <c r="G2105">
        <v>0</v>
      </c>
      <c r="H2105">
        <v>1</v>
      </c>
      <c r="I2105">
        <v>1</v>
      </c>
      <c r="J2105">
        <v>25</v>
      </c>
      <c r="K2105">
        <v>1</v>
      </c>
      <c r="L2105">
        <f>_xlfn.XLOOKUP(C2105, dim_teams[team_name], dim_teams[team_id], "Not found", 0)</f>
        <v>16</v>
      </c>
    </row>
    <row r="2106" spans="1:12" x14ac:dyDescent="0.3">
      <c r="A2106" t="s">
        <v>559</v>
      </c>
      <c r="B2106">
        <v>2022</v>
      </c>
      <c r="C2106" t="s">
        <v>15</v>
      </c>
      <c r="D2106">
        <v>0</v>
      </c>
      <c r="E2106">
        <v>1</v>
      </c>
      <c r="F2106">
        <v>0</v>
      </c>
      <c r="G2106">
        <v>0</v>
      </c>
      <c r="H2106">
        <v>0</v>
      </c>
      <c r="I2106">
        <v>1</v>
      </c>
      <c r="J2106">
        <v>0</v>
      </c>
      <c r="L2106">
        <f>_xlfn.XLOOKUP(C2106, dim_teams[team_name], dim_teams[team_id], "Not found", 0)</f>
        <v>17</v>
      </c>
    </row>
    <row r="2107" spans="1:12" x14ac:dyDescent="0.3">
      <c r="A2107" t="s">
        <v>559</v>
      </c>
      <c r="B2107">
        <v>2023</v>
      </c>
      <c r="C2107" t="s">
        <v>15</v>
      </c>
      <c r="D2107">
        <v>20</v>
      </c>
      <c r="E2107">
        <v>27</v>
      </c>
      <c r="F2107">
        <v>1</v>
      </c>
      <c r="G2107">
        <v>0</v>
      </c>
      <c r="H2107">
        <v>3</v>
      </c>
      <c r="I2107">
        <v>7</v>
      </c>
      <c r="J2107">
        <v>74.069999999999993</v>
      </c>
      <c r="K2107">
        <v>6.67</v>
      </c>
      <c r="L2107">
        <f>_xlfn.XLOOKUP(C2107, dim_teams[team_name], dim_teams[team_id], "Not found", 0)</f>
        <v>17</v>
      </c>
    </row>
    <row r="2108" spans="1:12" x14ac:dyDescent="0.3">
      <c r="A2108" t="s">
        <v>559</v>
      </c>
      <c r="B2108">
        <v>2024</v>
      </c>
      <c r="C2108" t="s">
        <v>15</v>
      </c>
      <c r="D2108">
        <v>4</v>
      </c>
      <c r="E2108">
        <v>6</v>
      </c>
      <c r="F2108">
        <v>0</v>
      </c>
      <c r="G2108">
        <v>0</v>
      </c>
      <c r="H2108">
        <v>2</v>
      </c>
      <c r="I2108">
        <v>3</v>
      </c>
      <c r="J2108">
        <v>66.67</v>
      </c>
      <c r="K2108">
        <v>2</v>
      </c>
      <c r="L2108">
        <f>_xlfn.XLOOKUP(C2108, dim_teams[team_name], dim_teams[team_id], "Not found", 0)</f>
        <v>17</v>
      </c>
    </row>
    <row r="2109" spans="1:12" x14ac:dyDescent="0.3">
      <c r="A2109" t="s">
        <v>559</v>
      </c>
      <c r="B2109">
        <v>2025</v>
      </c>
      <c r="C2109" t="s">
        <v>15</v>
      </c>
      <c r="D2109">
        <v>13</v>
      </c>
      <c r="E2109">
        <v>16</v>
      </c>
      <c r="F2109">
        <v>0</v>
      </c>
      <c r="G2109">
        <v>2</v>
      </c>
      <c r="H2109">
        <v>2</v>
      </c>
      <c r="I2109">
        <v>2</v>
      </c>
      <c r="J2109">
        <v>81.25</v>
      </c>
      <c r="K2109">
        <v>6.5</v>
      </c>
      <c r="L2109">
        <f>_xlfn.XLOOKUP(C2109, dim_teams[team_name], dim_teams[team_id], "Not found", 0)</f>
        <v>17</v>
      </c>
    </row>
    <row r="2110" spans="1:12" x14ac:dyDescent="0.3">
      <c r="A2110" t="s">
        <v>560</v>
      </c>
      <c r="B2110">
        <v>2008</v>
      </c>
      <c r="C2110" t="s">
        <v>25</v>
      </c>
      <c r="D2110">
        <v>1</v>
      </c>
      <c r="E2110">
        <v>7</v>
      </c>
      <c r="F2110">
        <v>0</v>
      </c>
      <c r="G2110">
        <v>0</v>
      </c>
      <c r="H2110">
        <v>1</v>
      </c>
      <c r="I2110">
        <v>1</v>
      </c>
      <c r="J2110">
        <v>14.29</v>
      </c>
      <c r="K2110">
        <v>1</v>
      </c>
      <c r="L2110">
        <f>_xlfn.XLOOKUP(C2110, dim_teams[team_name], dim_teams[team_id], "Not found", 0)</f>
        <v>3</v>
      </c>
    </row>
    <row r="2111" spans="1:12" x14ac:dyDescent="0.3">
      <c r="A2111" t="s">
        <v>560</v>
      </c>
      <c r="B2111">
        <v>2010</v>
      </c>
      <c r="C2111" t="s">
        <v>25</v>
      </c>
      <c r="D2111">
        <v>30</v>
      </c>
      <c r="E2111">
        <v>18</v>
      </c>
      <c r="F2111">
        <v>2</v>
      </c>
      <c r="G2111">
        <v>2</v>
      </c>
      <c r="H2111">
        <v>1</v>
      </c>
      <c r="I2111">
        <v>2</v>
      </c>
      <c r="J2111">
        <v>166.67</v>
      </c>
      <c r="K2111">
        <v>30</v>
      </c>
      <c r="L2111">
        <f>_xlfn.XLOOKUP(C2111, dim_teams[team_name], dim_teams[team_id], "Not found", 0)</f>
        <v>3</v>
      </c>
    </row>
    <row r="2112" spans="1:12" x14ac:dyDescent="0.3">
      <c r="A2112" t="s">
        <v>560</v>
      </c>
      <c r="B2112">
        <v>2011</v>
      </c>
      <c r="C2112" t="s">
        <v>25</v>
      </c>
      <c r="D2112">
        <v>83</v>
      </c>
      <c r="E2112">
        <v>74</v>
      </c>
      <c r="F2112">
        <v>6</v>
      </c>
      <c r="G2112">
        <v>3</v>
      </c>
      <c r="H2112">
        <v>4</v>
      </c>
      <c r="I2112">
        <v>5</v>
      </c>
      <c r="J2112">
        <v>112.16</v>
      </c>
      <c r="K2112">
        <v>20.75</v>
      </c>
      <c r="L2112">
        <f>_xlfn.XLOOKUP(C2112, dim_teams[team_name], dim_teams[team_id], "Not found", 0)</f>
        <v>3</v>
      </c>
    </row>
    <row r="2113" spans="1:12" x14ac:dyDescent="0.3">
      <c r="A2113" t="s">
        <v>560</v>
      </c>
      <c r="B2113">
        <v>2012</v>
      </c>
      <c r="C2113" t="s">
        <v>25</v>
      </c>
      <c r="D2113">
        <v>19</v>
      </c>
      <c r="E2113">
        <v>6</v>
      </c>
      <c r="F2113">
        <v>1</v>
      </c>
      <c r="G2113">
        <v>2</v>
      </c>
      <c r="H2113">
        <v>0</v>
      </c>
      <c r="I2113">
        <v>2</v>
      </c>
      <c r="J2113">
        <v>316.67</v>
      </c>
      <c r="L2113">
        <f>_xlfn.XLOOKUP(C2113, dim_teams[team_name], dim_teams[team_id], "Not found", 0)</f>
        <v>3</v>
      </c>
    </row>
    <row r="2114" spans="1:12" x14ac:dyDescent="0.3">
      <c r="A2114" t="s">
        <v>560</v>
      </c>
      <c r="B2114">
        <v>2013</v>
      </c>
      <c r="C2114" t="s">
        <v>25</v>
      </c>
      <c r="D2114">
        <v>0</v>
      </c>
      <c r="E2114">
        <v>2</v>
      </c>
      <c r="F2114">
        <v>0</v>
      </c>
      <c r="G2114">
        <v>0</v>
      </c>
      <c r="H2114">
        <v>1</v>
      </c>
      <c r="I2114">
        <v>1</v>
      </c>
      <c r="J2114">
        <v>0</v>
      </c>
      <c r="K2114">
        <v>0</v>
      </c>
      <c r="L2114">
        <f>_xlfn.XLOOKUP(C2114, dim_teams[team_name], dim_teams[team_id], "Not found", 0)</f>
        <v>3</v>
      </c>
    </row>
    <row r="2115" spans="1:12" x14ac:dyDescent="0.3">
      <c r="A2115" t="s">
        <v>560</v>
      </c>
      <c r="B2115">
        <v>2014</v>
      </c>
      <c r="C2115" t="s">
        <v>13</v>
      </c>
      <c r="D2115">
        <v>3</v>
      </c>
      <c r="E2115">
        <v>5</v>
      </c>
      <c r="F2115">
        <v>0</v>
      </c>
      <c r="G2115">
        <v>0</v>
      </c>
      <c r="H2115">
        <v>1</v>
      </c>
      <c r="I2115">
        <v>1</v>
      </c>
      <c r="J2115">
        <v>60</v>
      </c>
      <c r="K2115">
        <v>3</v>
      </c>
      <c r="L2115">
        <f>_xlfn.XLOOKUP(C2115, dim_teams[team_name], dim_teams[team_id], "Not found", 0)</f>
        <v>11</v>
      </c>
    </row>
    <row r="2116" spans="1:12" x14ac:dyDescent="0.3">
      <c r="A2116" t="s">
        <v>561</v>
      </c>
      <c r="B2116">
        <v>2011</v>
      </c>
      <c r="C2116" t="s">
        <v>21</v>
      </c>
      <c r="D2116">
        <v>13</v>
      </c>
      <c r="E2116">
        <v>8</v>
      </c>
      <c r="F2116">
        <v>2</v>
      </c>
      <c r="G2116">
        <v>0</v>
      </c>
      <c r="H2116">
        <v>0</v>
      </c>
      <c r="I2116">
        <v>2</v>
      </c>
      <c r="J2116">
        <v>162.5</v>
      </c>
      <c r="L2116">
        <f>_xlfn.XLOOKUP(C2116, dim_teams[team_name], dim_teams[team_id], "Not found", 0)</f>
        <v>2</v>
      </c>
    </row>
    <row r="2117" spans="1:12" x14ac:dyDescent="0.3">
      <c r="A2117" t="s">
        <v>561</v>
      </c>
      <c r="B2117">
        <v>2012</v>
      </c>
      <c r="C2117" t="s">
        <v>21</v>
      </c>
      <c r="D2117">
        <v>14</v>
      </c>
      <c r="E2117">
        <v>8</v>
      </c>
      <c r="F2117">
        <v>3</v>
      </c>
      <c r="G2117">
        <v>0</v>
      </c>
      <c r="H2117">
        <v>0</v>
      </c>
      <c r="I2117">
        <v>1</v>
      </c>
      <c r="J2117">
        <v>175</v>
      </c>
      <c r="L2117">
        <f>_xlfn.XLOOKUP(C2117, dim_teams[team_name], dim_teams[team_id], "Not found", 0)</f>
        <v>2</v>
      </c>
    </row>
    <row r="2118" spans="1:12" x14ac:dyDescent="0.3">
      <c r="A2118" t="s">
        <v>561</v>
      </c>
      <c r="B2118">
        <v>2015</v>
      </c>
      <c r="C2118" t="s">
        <v>21</v>
      </c>
      <c r="D2118">
        <v>0</v>
      </c>
      <c r="E2118">
        <v>1</v>
      </c>
      <c r="F2118">
        <v>0</v>
      </c>
      <c r="G2118">
        <v>0</v>
      </c>
      <c r="H2118">
        <v>0</v>
      </c>
      <c r="I2118">
        <v>1</v>
      </c>
      <c r="J2118">
        <v>0</v>
      </c>
      <c r="L2118">
        <f>_xlfn.XLOOKUP(C2118, dim_teams[team_name], dim_teams[team_id], "Not found", 0)</f>
        <v>2</v>
      </c>
    </row>
    <row r="2119" spans="1:12" x14ac:dyDescent="0.3">
      <c r="A2119" t="s">
        <v>561</v>
      </c>
      <c r="B2119">
        <v>2017</v>
      </c>
      <c r="C2119" t="s">
        <v>21</v>
      </c>
      <c r="D2119">
        <v>32</v>
      </c>
      <c r="E2119">
        <v>40</v>
      </c>
      <c r="F2119">
        <v>2</v>
      </c>
      <c r="G2119">
        <v>0</v>
      </c>
      <c r="H2119">
        <v>3</v>
      </c>
      <c r="I2119">
        <v>6</v>
      </c>
      <c r="J2119">
        <v>80</v>
      </c>
      <c r="K2119">
        <v>10.67</v>
      </c>
      <c r="L2119">
        <f>_xlfn.XLOOKUP(C2119, dim_teams[team_name], dim_teams[team_id], "Not found", 0)</f>
        <v>2</v>
      </c>
    </row>
    <row r="2120" spans="1:12" x14ac:dyDescent="0.3">
      <c r="A2120" t="s">
        <v>562</v>
      </c>
      <c r="B2120">
        <v>2017</v>
      </c>
      <c r="C2120" t="s">
        <v>21</v>
      </c>
      <c r="D2120">
        <v>13</v>
      </c>
      <c r="E2120">
        <v>23</v>
      </c>
      <c r="F2120">
        <v>0</v>
      </c>
      <c r="G2120">
        <v>0</v>
      </c>
      <c r="H2120">
        <v>5</v>
      </c>
      <c r="I2120">
        <v>5</v>
      </c>
      <c r="J2120">
        <v>56.52</v>
      </c>
      <c r="K2120">
        <v>2.6</v>
      </c>
      <c r="L2120">
        <f>_xlfn.XLOOKUP(C2120, dim_teams[team_name], dim_teams[team_id], "Not found", 0)</f>
        <v>2</v>
      </c>
    </row>
    <row r="2121" spans="1:12" x14ac:dyDescent="0.3">
      <c r="A2121" t="s">
        <v>563</v>
      </c>
      <c r="B2121">
        <v>2008</v>
      </c>
      <c r="C2121" t="s">
        <v>25</v>
      </c>
      <c r="D2121">
        <v>192</v>
      </c>
      <c r="E2121">
        <v>130</v>
      </c>
      <c r="F2121">
        <v>21</v>
      </c>
      <c r="G2121">
        <v>8</v>
      </c>
      <c r="H2121">
        <v>6</v>
      </c>
      <c r="I2121">
        <v>11</v>
      </c>
      <c r="J2121">
        <v>147.69</v>
      </c>
      <c r="K2121">
        <v>32</v>
      </c>
      <c r="L2121">
        <f>_xlfn.XLOOKUP(C2121, dim_teams[team_name], dim_teams[team_id], "Not found", 0)</f>
        <v>3</v>
      </c>
    </row>
    <row r="2122" spans="1:12" x14ac:dyDescent="0.3">
      <c r="A2122" t="s">
        <v>563</v>
      </c>
      <c r="B2122">
        <v>2009</v>
      </c>
      <c r="C2122" t="s">
        <v>25</v>
      </c>
      <c r="D2122">
        <v>177</v>
      </c>
      <c r="E2122">
        <v>164</v>
      </c>
      <c r="F2122">
        <v>20</v>
      </c>
      <c r="G2122">
        <v>4</v>
      </c>
      <c r="H2122">
        <v>9</v>
      </c>
      <c r="I2122">
        <v>11</v>
      </c>
      <c r="J2122">
        <v>107.93</v>
      </c>
      <c r="K2122">
        <v>19.670000000000002</v>
      </c>
      <c r="L2122">
        <f>_xlfn.XLOOKUP(C2122, dim_teams[team_name], dim_teams[team_id], "Not found", 0)</f>
        <v>3</v>
      </c>
    </row>
    <row r="2123" spans="1:12" x14ac:dyDescent="0.3">
      <c r="A2123" t="s">
        <v>563</v>
      </c>
      <c r="B2123">
        <v>2010</v>
      </c>
      <c r="C2123" t="s">
        <v>25</v>
      </c>
      <c r="D2123">
        <v>356</v>
      </c>
      <c r="E2123">
        <v>301</v>
      </c>
      <c r="F2123">
        <v>41</v>
      </c>
      <c r="G2123">
        <v>5</v>
      </c>
      <c r="H2123">
        <v>12</v>
      </c>
      <c r="I2123">
        <v>15</v>
      </c>
      <c r="J2123">
        <v>118.27</v>
      </c>
      <c r="K2123">
        <v>29.67</v>
      </c>
      <c r="L2123">
        <f>_xlfn.XLOOKUP(C2123, dim_teams[team_name], dim_teams[team_id], "Not found", 0)</f>
        <v>3</v>
      </c>
    </row>
    <row r="2124" spans="1:12" x14ac:dyDescent="0.3">
      <c r="A2124" t="s">
        <v>563</v>
      </c>
      <c r="B2124">
        <v>2011</v>
      </c>
      <c r="C2124" t="s">
        <v>25</v>
      </c>
      <c r="D2124">
        <v>396</v>
      </c>
      <c r="E2124">
        <v>312</v>
      </c>
      <c r="F2124">
        <v>38</v>
      </c>
      <c r="G2124">
        <v>9</v>
      </c>
      <c r="H2124">
        <v>6</v>
      </c>
      <c r="I2124">
        <v>12</v>
      </c>
      <c r="J2124">
        <v>126.92</v>
      </c>
      <c r="K2124">
        <v>66</v>
      </c>
      <c r="L2124">
        <f>_xlfn.XLOOKUP(C2124, dim_teams[team_name], dim_teams[team_id], "Not found", 0)</f>
        <v>3</v>
      </c>
    </row>
    <row r="2125" spans="1:12" x14ac:dyDescent="0.3">
      <c r="A2125" t="s">
        <v>563</v>
      </c>
      <c r="B2125">
        <v>2012</v>
      </c>
      <c r="C2125" t="s">
        <v>25</v>
      </c>
      <c r="D2125">
        <v>196</v>
      </c>
      <c r="E2125">
        <v>181</v>
      </c>
      <c r="F2125">
        <v>23</v>
      </c>
      <c r="G2125">
        <v>2</v>
      </c>
      <c r="H2125">
        <v>8</v>
      </c>
      <c r="I2125">
        <v>9</v>
      </c>
      <c r="J2125">
        <v>108.29</v>
      </c>
      <c r="K2125">
        <v>24.5</v>
      </c>
      <c r="L2125">
        <f>_xlfn.XLOOKUP(C2125, dim_teams[team_name], dim_teams[team_id], "Not found", 0)</f>
        <v>3</v>
      </c>
    </row>
    <row r="2126" spans="1:12" x14ac:dyDescent="0.3">
      <c r="A2126" t="s">
        <v>563</v>
      </c>
      <c r="B2126">
        <v>2013</v>
      </c>
      <c r="C2126" t="s">
        <v>25</v>
      </c>
      <c r="D2126">
        <v>124</v>
      </c>
      <c r="E2126">
        <v>120</v>
      </c>
      <c r="F2126">
        <v>11</v>
      </c>
      <c r="G2126">
        <v>0</v>
      </c>
      <c r="H2126">
        <v>7</v>
      </c>
      <c r="I2126">
        <v>7</v>
      </c>
      <c r="J2126">
        <v>103.33</v>
      </c>
      <c r="K2126">
        <v>17.71</v>
      </c>
      <c r="L2126">
        <f>_xlfn.XLOOKUP(C2126, dim_teams[team_name], dim_teams[team_id], "Not found", 0)</f>
        <v>3</v>
      </c>
    </row>
    <row r="2127" spans="1:12" x14ac:dyDescent="0.3">
      <c r="A2127" t="s">
        <v>564</v>
      </c>
      <c r="B2127">
        <v>2008</v>
      </c>
      <c r="C2127" t="s">
        <v>21</v>
      </c>
      <c r="D2127">
        <v>25</v>
      </c>
      <c r="E2127">
        <v>31</v>
      </c>
      <c r="F2127">
        <v>4</v>
      </c>
      <c r="G2127">
        <v>0</v>
      </c>
      <c r="H2127">
        <v>3</v>
      </c>
      <c r="I2127">
        <v>3</v>
      </c>
      <c r="J2127">
        <v>80.650000000000006</v>
      </c>
      <c r="K2127">
        <v>8.33</v>
      </c>
      <c r="L2127">
        <f>_xlfn.XLOOKUP(C2127, dim_teams[team_name], dim_teams[team_id], "Not found", 0)</f>
        <v>2</v>
      </c>
    </row>
    <row r="2128" spans="1:12" x14ac:dyDescent="0.3">
      <c r="A2128" t="s">
        <v>565</v>
      </c>
      <c r="B2128">
        <v>2008</v>
      </c>
      <c r="C2128" t="s">
        <v>32</v>
      </c>
      <c r="D2128">
        <v>340</v>
      </c>
      <c r="E2128">
        <v>295</v>
      </c>
      <c r="F2128">
        <v>35</v>
      </c>
      <c r="G2128">
        <v>8</v>
      </c>
      <c r="H2128">
        <v>10</v>
      </c>
      <c r="I2128">
        <v>14</v>
      </c>
      <c r="J2128">
        <v>115.25</v>
      </c>
      <c r="K2128">
        <v>34</v>
      </c>
      <c r="L2128">
        <f>_xlfn.XLOOKUP(C2128, dim_teams[team_name], dim_teams[team_id], "Not found", 0)</f>
        <v>6</v>
      </c>
    </row>
    <row r="2129" spans="1:12" x14ac:dyDescent="0.3">
      <c r="A2129" t="s">
        <v>565</v>
      </c>
      <c r="B2129">
        <v>2009</v>
      </c>
      <c r="C2129" t="s">
        <v>23</v>
      </c>
      <c r="D2129">
        <v>40</v>
      </c>
      <c r="E2129">
        <v>45</v>
      </c>
      <c r="F2129">
        <v>3</v>
      </c>
      <c r="G2129">
        <v>0</v>
      </c>
      <c r="H2129">
        <v>4</v>
      </c>
      <c r="I2129">
        <v>4</v>
      </c>
      <c r="J2129">
        <v>88.89</v>
      </c>
      <c r="K2129">
        <v>10</v>
      </c>
      <c r="L2129">
        <f>_xlfn.XLOOKUP(C2129, dim_teams[team_name], dim_teams[team_id], "Not found", 0)</f>
        <v>7</v>
      </c>
    </row>
    <row r="2130" spans="1:12" x14ac:dyDescent="0.3">
      <c r="A2130" t="s">
        <v>565</v>
      </c>
      <c r="B2130">
        <v>2010</v>
      </c>
      <c r="C2130" t="s">
        <v>23</v>
      </c>
      <c r="D2130">
        <v>191</v>
      </c>
      <c r="E2130">
        <v>169</v>
      </c>
      <c r="F2130">
        <v>23</v>
      </c>
      <c r="G2130">
        <v>3</v>
      </c>
      <c r="H2130">
        <v>10</v>
      </c>
      <c r="I2130">
        <v>10</v>
      </c>
      <c r="J2130">
        <v>113.02</v>
      </c>
      <c r="K2130">
        <v>19.100000000000001</v>
      </c>
      <c r="L2130">
        <f>_xlfn.XLOOKUP(C2130, dim_teams[team_name], dim_teams[team_id], "Not found", 0)</f>
        <v>7</v>
      </c>
    </row>
    <row r="2131" spans="1:12" x14ac:dyDescent="0.3">
      <c r="A2131" t="s">
        <v>565</v>
      </c>
      <c r="B2131">
        <v>2011</v>
      </c>
      <c r="C2131" t="s">
        <v>12</v>
      </c>
      <c r="D2131">
        <v>400</v>
      </c>
      <c r="E2131">
        <v>309</v>
      </c>
      <c r="F2131">
        <v>47</v>
      </c>
      <c r="G2131">
        <v>7</v>
      </c>
      <c r="H2131">
        <v>12</v>
      </c>
      <c r="I2131">
        <v>14</v>
      </c>
      <c r="J2131">
        <v>129.44999999999999</v>
      </c>
      <c r="K2131">
        <v>33.33</v>
      </c>
      <c r="L2131">
        <f>_xlfn.XLOOKUP(C2131, dim_teams[team_name], dim_teams[team_id], "Not found", 0)</f>
        <v>8</v>
      </c>
    </row>
    <row r="2132" spans="1:12" x14ac:dyDescent="0.3">
      <c r="A2132" t="s">
        <v>565</v>
      </c>
      <c r="B2132">
        <v>2012</v>
      </c>
      <c r="C2132" t="s">
        <v>12</v>
      </c>
      <c r="D2132">
        <v>569</v>
      </c>
      <c r="E2132">
        <v>438</v>
      </c>
      <c r="F2132">
        <v>58</v>
      </c>
      <c r="G2132">
        <v>18</v>
      </c>
      <c r="H2132">
        <v>13</v>
      </c>
      <c r="I2132">
        <v>15</v>
      </c>
      <c r="J2132">
        <v>129.91</v>
      </c>
      <c r="K2132">
        <v>43.77</v>
      </c>
      <c r="L2132">
        <f>_xlfn.XLOOKUP(C2132, dim_teams[team_name], dim_teams[team_id], "Not found", 0)</f>
        <v>8</v>
      </c>
    </row>
    <row r="2133" spans="1:12" x14ac:dyDescent="0.3">
      <c r="A2133" t="s">
        <v>565</v>
      </c>
      <c r="B2133">
        <v>2013</v>
      </c>
      <c r="C2133" t="s">
        <v>13</v>
      </c>
      <c r="D2133">
        <v>311</v>
      </c>
      <c r="E2133">
        <v>253</v>
      </c>
      <c r="F2133">
        <v>37</v>
      </c>
      <c r="G2133">
        <v>5</v>
      </c>
      <c r="H2133">
        <v>8</v>
      </c>
      <c r="I2133">
        <v>10</v>
      </c>
      <c r="J2133">
        <v>122.92</v>
      </c>
      <c r="K2133">
        <v>38.880000000000003</v>
      </c>
      <c r="L2133">
        <f>_xlfn.XLOOKUP(C2133, dim_teams[team_name], dim_teams[team_id], "Not found", 0)</f>
        <v>11</v>
      </c>
    </row>
    <row r="2134" spans="1:12" x14ac:dyDescent="0.3">
      <c r="A2134" t="s">
        <v>565</v>
      </c>
      <c r="B2134">
        <v>2014</v>
      </c>
      <c r="C2134" t="s">
        <v>13</v>
      </c>
      <c r="D2134">
        <v>377</v>
      </c>
      <c r="E2134">
        <v>317</v>
      </c>
      <c r="F2134">
        <v>49</v>
      </c>
      <c r="G2134">
        <v>7</v>
      </c>
      <c r="H2134">
        <v>12</v>
      </c>
      <c r="I2134">
        <v>14</v>
      </c>
      <c r="J2134">
        <v>118.93</v>
      </c>
      <c r="K2134">
        <v>31.42</v>
      </c>
      <c r="L2134">
        <f>_xlfn.XLOOKUP(C2134, dim_teams[team_name], dim_teams[team_id], "Not found", 0)</f>
        <v>11</v>
      </c>
    </row>
    <row r="2135" spans="1:12" x14ac:dyDescent="0.3">
      <c r="A2135" t="s">
        <v>565</v>
      </c>
      <c r="B2135">
        <v>2015</v>
      </c>
      <c r="C2135" t="s">
        <v>13</v>
      </c>
      <c r="D2135">
        <v>353</v>
      </c>
      <c r="E2135">
        <v>285</v>
      </c>
      <c r="F2135">
        <v>45</v>
      </c>
      <c r="G2135">
        <v>6</v>
      </c>
      <c r="H2135">
        <v>13</v>
      </c>
      <c r="I2135">
        <v>14</v>
      </c>
      <c r="J2135">
        <v>123.86</v>
      </c>
      <c r="K2135">
        <v>27.15</v>
      </c>
      <c r="L2135">
        <f>_xlfn.XLOOKUP(C2135, dim_teams[team_name], dim_teams[team_id], "Not found", 0)</f>
        <v>11</v>
      </c>
    </row>
    <row r="2136" spans="1:12" x14ac:dyDescent="0.3">
      <c r="A2136" t="s">
        <v>565</v>
      </c>
      <c r="B2136">
        <v>2016</v>
      </c>
      <c r="C2136" t="s">
        <v>13</v>
      </c>
      <c r="D2136">
        <v>501</v>
      </c>
      <c r="E2136">
        <v>427</v>
      </c>
      <c r="F2136">
        <v>51</v>
      </c>
      <c r="G2136">
        <v>8</v>
      </c>
      <c r="H2136">
        <v>13</v>
      </c>
      <c r="I2136">
        <v>17</v>
      </c>
      <c r="J2136">
        <v>117.33</v>
      </c>
      <c r="K2136">
        <v>38.54</v>
      </c>
      <c r="L2136">
        <f>_xlfn.XLOOKUP(C2136, dim_teams[team_name], dim_teams[team_id], "Not found", 0)</f>
        <v>11</v>
      </c>
    </row>
    <row r="2137" spans="1:12" x14ac:dyDescent="0.3">
      <c r="A2137" t="s">
        <v>565</v>
      </c>
      <c r="B2137">
        <v>2017</v>
      </c>
      <c r="C2137" t="s">
        <v>13</v>
      </c>
      <c r="D2137">
        <v>479</v>
      </c>
      <c r="E2137">
        <v>375</v>
      </c>
      <c r="F2137">
        <v>53</v>
      </c>
      <c r="G2137">
        <v>9</v>
      </c>
      <c r="H2137">
        <v>13</v>
      </c>
      <c r="I2137">
        <v>14</v>
      </c>
      <c r="J2137">
        <v>127.73</v>
      </c>
      <c r="K2137">
        <v>36.85</v>
      </c>
      <c r="L2137">
        <f>_xlfn.XLOOKUP(C2137, dim_teams[team_name], dim_teams[team_id], "Not found", 0)</f>
        <v>11</v>
      </c>
    </row>
    <row r="2138" spans="1:12" x14ac:dyDescent="0.3">
      <c r="A2138" t="s">
        <v>565</v>
      </c>
      <c r="B2138">
        <v>2018</v>
      </c>
      <c r="C2138" t="s">
        <v>13</v>
      </c>
      <c r="D2138">
        <v>497</v>
      </c>
      <c r="E2138">
        <v>362</v>
      </c>
      <c r="F2138">
        <v>59</v>
      </c>
      <c r="G2138">
        <v>14</v>
      </c>
      <c r="H2138">
        <v>14</v>
      </c>
      <c r="I2138">
        <v>16</v>
      </c>
      <c r="J2138">
        <v>137.29</v>
      </c>
      <c r="K2138">
        <v>35.5</v>
      </c>
      <c r="L2138">
        <f>_xlfn.XLOOKUP(C2138, dim_teams[team_name], dim_teams[team_id], "Not found", 0)</f>
        <v>11</v>
      </c>
    </row>
    <row r="2139" spans="1:12" x14ac:dyDescent="0.3">
      <c r="A2139" t="s">
        <v>565</v>
      </c>
      <c r="B2139">
        <v>2019</v>
      </c>
      <c r="C2139" t="s">
        <v>33</v>
      </c>
      <c r="D2139">
        <v>521</v>
      </c>
      <c r="E2139">
        <v>382</v>
      </c>
      <c r="F2139">
        <v>64</v>
      </c>
      <c r="G2139">
        <v>11</v>
      </c>
      <c r="H2139">
        <v>16</v>
      </c>
      <c r="I2139">
        <v>16</v>
      </c>
      <c r="J2139">
        <v>136.38999999999999</v>
      </c>
      <c r="K2139">
        <v>32.56</v>
      </c>
      <c r="L2139">
        <f>_xlfn.XLOOKUP(C2139, dim_teams[team_name], dim_teams[team_id], "Not found", 0)</f>
        <v>15</v>
      </c>
    </row>
    <row r="2140" spans="1:12" x14ac:dyDescent="0.3">
      <c r="A2140" t="s">
        <v>565</v>
      </c>
      <c r="B2140">
        <v>2020</v>
      </c>
      <c r="C2140" t="s">
        <v>33</v>
      </c>
      <c r="D2140">
        <v>618</v>
      </c>
      <c r="E2140">
        <v>425</v>
      </c>
      <c r="F2140">
        <v>67</v>
      </c>
      <c r="G2140">
        <v>13</v>
      </c>
      <c r="H2140">
        <v>14</v>
      </c>
      <c r="I2140">
        <v>17</v>
      </c>
      <c r="J2140">
        <v>145.41</v>
      </c>
      <c r="K2140">
        <v>44.14</v>
      </c>
      <c r="L2140">
        <f>_xlfn.XLOOKUP(C2140, dim_teams[team_name], dim_teams[team_id], "Not found", 0)</f>
        <v>15</v>
      </c>
    </row>
    <row r="2141" spans="1:12" x14ac:dyDescent="0.3">
      <c r="A2141" t="s">
        <v>565</v>
      </c>
      <c r="B2141">
        <v>2021</v>
      </c>
      <c r="C2141" t="s">
        <v>33</v>
      </c>
      <c r="D2141">
        <v>587</v>
      </c>
      <c r="E2141">
        <v>471</v>
      </c>
      <c r="F2141">
        <v>63</v>
      </c>
      <c r="G2141">
        <v>16</v>
      </c>
      <c r="H2141">
        <v>15</v>
      </c>
      <c r="I2141">
        <v>16</v>
      </c>
      <c r="J2141">
        <v>124.63</v>
      </c>
      <c r="K2141">
        <v>39.130000000000003</v>
      </c>
      <c r="L2141">
        <f>_xlfn.XLOOKUP(C2141, dim_teams[team_name], dim_teams[team_id], "Not found", 0)</f>
        <v>15</v>
      </c>
    </row>
    <row r="2142" spans="1:12" x14ac:dyDescent="0.3">
      <c r="A2142" t="s">
        <v>565</v>
      </c>
      <c r="B2142">
        <v>2022</v>
      </c>
      <c r="C2142" t="s">
        <v>76</v>
      </c>
      <c r="D2142">
        <v>460</v>
      </c>
      <c r="E2142">
        <v>372</v>
      </c>
      <c r="F2142">
        <v>47</v>
      </c>
      <c r="G2142">
        <v>12</v>
      </c>
      <c r="H2142">
        <v>12</v>
      </c>
      <c r="I2142">
        <v>14</v>
      </c>
      <c r="J2142">
        <v>123.66</v>
      </c>
      <c r="K2142">
        <v>38.33</v>
      </c>
      <c r="L2142">
        <f>_xlfn.XLOOKUP(C2142, dim_teams[team_name], dim_teams[team_id], "Not found", 0)</f>
        <v>16</v>
      </c>
    </row>
    <row r="2143" spans="1:12" x14ac:dyDescent="0.3">
      <c r="A2143" t="s">
        <v>565</v>
      </c>
      <c r="B2143">
        <v>2023</v>
      </c>
      <c r="C2143" t="s">
        <v>76</v>
      </c>
      <c r="D2143">
        <v>373</v>
      </c>
      <c r="E2143">
        <v>258</v>
      </c>
      <c r="F2143">
        <v>49</v>
      </c>
      <c r="G2143">
        <v>12</v>
      </c>
      <c r="H2143">
        <v>10</v>
      </c>
      <c r="I2143">
        <v>11</v>
      </c>
      <c r="J2143">
        <v>144.57</v>
      </c>
      <c r="K2143">
        <v>37.299999999999997</v>
      </c>
      <c r="L2143">
        <f>_xlfn.XLOOKUP(C2143, dim_teams[team_name], dim_teams[team_id], "Not found", 0)</f>
        <v>16</v>
      </c>
    </row>
    <row r="2144" spans="1:12" x14ac:dyDescent="0.3">
      <c r="A2144" t="s">
        <v>565</v>
      </c>
      <c r="B2144">
        <v>2024</v>
      </c>
      <c r="C2144" t="s">
        <v>76</v>
      </c>
      <c r="D2144">
        <v>152</v>
      </c>
      <c r="E2144">
        <v>121</v>
      </c>
      <c r="F2144">
        <v>18</v>
      </c>
      <c r="G2144">
        <v>4</v>
      </c>
      <c r="H2144">
        <v>5</v>
      </c>
      <c r="I2144">
        <v>5</v>
      </c>
      <c r="J2144">
        <v>125.62</v>
      </c>
      <c r="K2144">
        <v>30.4</v>
      </c>
      <c r="L2144">
        <f>_xlfn.XLOOKUP(C2144, dim_teams[team_name], dim_teams[team_id], "Not found", 0)</f>
        <v>16</v>
      </c>
    </row>
    <row r="2145" spans="1:12" x14ac:dyDescent="0.3">
      <c r="A2145" t="s">
        <v>566</v>
      </c>
      <c r="B2145">
        <v>2019</v>
      </c>
      <c r="C2145" t="s">
        <v>21</v>
      </c>
      <c r="D2145">
        <v>40</v>
      </c>
      <c r="E2145">
        <v>33</v>
      </c>
      <c r="F2145">
        <v>1</v>
      </c>
      <c r="G2145">
        <v>3</v>
      </c>
      <c r="H2145">
        <v>4</v>
      </c>
      <c r="I2145">
        <v>4</v>
      </c>
      <c r="J2145">
        <v>121.21</v>
      </c>
      <c r="K2145">
        <v>10</v>
      </c>
      <c r="L2145">
        <f>_xlfn.XLOOKUP(C2145, dim_teams[team_name], dim_teams[team_id], "Not found", 0)</f>
        <v>2</v>
      </c>
    </row>
    <row r="2146" spans="1:12" x14ac:dyDescent="0.3">
      <c r="A2146" t="s">
        <v>566</v>
      </c>
      <c r="B2146">
        <v>2020</v>
      </c>
      <c r="C2146" t="s">
        <v>21</v>
      </c>
      <c r="D2146">
        <v>129</v>
      </c>
      <c r="E2146">
        <v>105</v>
      </c>
      <c r="F2146">
        <v>5</v>
      </c>
      <c r="G2146">
        <v>9</v>
      </c>
      <c r="H2146">
        <v>7</v>
      </c>
      <c r="I2146">
        <v>9</v>
      </c>
      <c r="J2146">
        <v>122.86</v>
      </c>
      <c r="K2146">
        <v>18.43</v>
      </c>
      <c r="L2146">
        <f>_xlfn.XLOOKUP(C2146, dim_teams[team_name], dim_teams[team_id], "Not found", 0)</f>
        <v>2</v>
      </c>
    </row>
    <row r="2147" spans="1:12" x14ac:dyDescent="0.3">
      <c r="A2147" t="s">
        <v>566</v>
      </c>
      <c r="B2147">
        <v>2021</v>
      </c>
      <c r="C2147" t="s">
        <v>17</v>
      </c>
      <c r="D2147">
        <v>230</v>
      </c>
      <c r="E2147">
        <v>193</v>
      </c>
      <c r="F2147">
        <v>18</v>
      </c>
      <c r="G2147">
        <v>10</v>
      </c>
      <c r="H2147">
        <v>8</v>
      </c>
      <c r="I2147">
        <v>9</v>
      </c>
      <c r="J2147">
        <v>119.17</v>
      </c>
      <c r="K2147">
        <v>28.75</v>
      </c>
      <c r="L2147">
        <f>_xlfn.XLOOKUP(C2147, dim_teams[team_name], dim_teams[team_id], "Not found", 0)</f>
        <v>5</v>
      </c>
    </row>
    <row r="2148" spans="1:12" x14ac:dyDescent="0.3">
      <c r="A2148" t="s">
        <v>566</v>
      </c>
      <c r="B2148">
        <v>2022</v>
      </c>
      <c r="C2148" t="s">
        <v>25</v>
      </c>
      <c r="D2148">
        <v>289</v>
      </c>
      <c r="E2148">
        <v>184</v>
      </c>
      <c r="F2148">
        <v>22</v>
      </c>
      <c r="G2148">
        <v>16</v>
      </c>
      <c r="H2148">
        <v>9</v>
      </c>
      <c r="I2148">
        <v>11</v>
      </c>
      <c r="J2148">
        <v>157.07</v>
      </c>
      <c r="K2148">
        <v>32.11</v>
      </c>
      <c r="L2148">
        <f>_xlfn.XLOOKUP(C2148, dim_teams[team_name], dim_teams[team_id], "Not found", 0)</f>
        <v>3</v>
      </c>
    </row>
    <row r="2149" spans="1:12" x14ac:dyDescent="0.3">
      <c r="A2149" t="s">
        <v>566</v>
      </c>
      <c r="B2149">
        <v>2023</v>
      </c>
      <c r="C2149" t="s">
        <v>25</v>
      </c>
      <c r="D2149">
        <v>418</v>
      </c>
      <c r="E2149">
        <v>264</v>
      </c>
      <c r="F2149">
        <v>12</v>
      </c>
      <c r="G2149">
        <v>35</v>
      </c>
      <c r="H2149">
        <v>11</v>
      </c>
      <c r="I2149">
        <v>14</v>
      </c>
      <c r="J2149">
        <v>158.33000000000001</v>
      </c>
      <c r="K2149">
        <v>38</v>
      </c>
      <c r="L2149">
        <f>_xlfn.XLOOKUP(C2149, dim_teams[team_name], dim_teams[team_id], "Not found", 0)</f>
        <v>3</v>
      </c>
    </row>
    <row r="2150" spans="1:12" x14ac:dyDescent="0.3">
      <c r="A2150" t="s">
        <v>566</v>
      </c>
      <c r="B2150">
        <v>2024</v>
      </c>
      <c r="C2150" t="s">
        <v>25</v>
      </c>
      <c r="D2150">
        <v>396</v>
      </c>
      <c r="E2150">
        <v>243</v>
      </c>
      <c r="F2150">
        <v>28</v>
      </c>
      <c r="G2150">
        <v>28</v>
      </c>
      <c r="H2150">
        <v>11</v>
      </c>
      <c r="I2150">
        <v>14</v>
      </c>
      <c r="J2150">
        <v>162.96</v>
      </c>
      <c r="K2150">
        <v>36</v>
      </c>
      <c r="L2150">
        <f>_xlfn.XLOOKUP(C2150, dim_teams[team_name], dim_teams[team_id], "Not found", 0)</f>
        <v>3</v>
      </c>
    </row>
    <row r="2151" spans="1:12" x14ac:dyDescent="0.3">
      <c r="A2151" t="s">
        <v>566</v>
      </c>
      <c r="B2151">
        <v>2025</v>
      </c>
      <c r="C2151" t="s">
        <v>25</v>
      </c>
      <c r="D2151">
        <v>357</v>
      </c>
      <c r="E2151">
        <v>268</v>
      </c>
      <c r="F2151">
        <v>22</v>
      </c>
      <c r="G2151">
        <v>21</v>
      </c>
      <c r="H2151">
        <v>11</v>
      </c>
      <c r="I2151">
        <v>14</v>
      </c>
      <c r="J2151">
        <v>133.21</v>
      </c>
      <c r="K2151">
        <v>32.450000000000003</v>
      </c>
      <c r="L2151">
        <f>_xlfn.XLOOKUP(C2151, dim_teams[team_name], dim_teams[team_id], "Not found", 0)</f>
        <v>3</v>
      </c>
    </row>
    <row r="2152" spans="1:12" x14ac:dyDescent="0.3">
      <c r="A2152" t="s">
        <v>567</v>
      </c>
      <c r="B2152">
        <v>2014</v>
      </c>
      <c r="C2152" t="s">
        <v>23</v>
      </c>
      <c r="D2152">
        <v>11</v>
      </c>
      <c r="E2152">
        <v>10</v>
      </c>
      <c r="F2152">
        <v>1</v>
      </c>
      <c r="G2152">
        <v>0</v>
      </c>
      <c r="H2152">
        <v>1</v>
      </c>
      <c r="I2152">
        <v>1</v>
      </c>
      <c r="J2152">
        <v>110</v>
      </c>
      <c r="K2152">
        <v>11</v>
      </c>
      <c r="L2152">
        <f>_xlfn.XLOOKUP(C2152, dim_teams[team_name], dim_teams[team_id], "Not found", 0)</f>
        <v>7</v>
      </c>
    </row>
    <row r="2153" spans="1:12" x14ac:dyDescent="0.3">
      <c r="A2153" t="s">
        <v>567</v>
      </c>
      <c r="B2153">
        <v>2015</v>
      </c>
      <c r="C2153" t="s">
        <v>23</v>
      </c>
      <c r="D2153">
        <v>1</v>
      </c>
      <c r="E2153">
        <v>1</v>
      </c>
      <c r="F2153">
        <v>0</v>
      </c>
      <c r="G2153">
        <v>0</v>
      </c>
      <c r="H2153">
        <v>0</v>
      </c>
      <c r="I2153">
        <v>1</v>
      </c>
      <c r="J2153">
        <v>100</v>
      </c>
      <c r="L2153">
        <f>_xlfn.XLOOKUP(C2153, dim_teams[team_name], dim_teams[team_id], "Not found", 0)</f>
        <v>7</v>
      </c>
    </row>
    <row r="2154" spans="1:12" x14ac:dyDescent="0.3">
      <c r="A2154" t="s">
        <v>567</v>
      </c>
      <c r="B2154">
        <v>2016</v>
      </c>
      <c r="C2154" t="s">
        <v>23</v>
      </c>
      <c r="D2154">
        <v>2</v>
      </c>
      <c r="E2154">
        <v>16</v>
      </c>
      <c r="F2154">
        <v>0</v>
      </c>
      <c r="G2154">
        <v>0</v>
      </c>
      <c r="H2154">
        <v>1</v>
      </c>
      <c r="I2154">
        <v>1</v>
      </c>
      <c r="J2154">
        <v>12.5</v>
      </c>
      <c r="K2154">
        <v>2</v>
      </c>
      <c r="L2154">
        <f>_xlfn.XLOOKUP(C2154, dim_teams[team_name], dim_teams[team_id], "Not found", 0)</f>
        <v>7</v>
      </c>
    </row>
    <row r="2155" spans="1:12" x14ac:dyDescent="0.3">
      <c r="A2155" t="s">
        <v>567</v>
      </c>
      <c r="B2155">
        <v>2018</v>
      </c>
      <c r="C2155" t="s">
        <v>17</v>
      </c>
      <c r="D2155">
        <v>50</v>
      </c>
      <c r="E2155">
        <v>45</v>
      </c>
      <c r="F2155">
        <v>5</v>
      </c>
      <c r="G2155">
        <v>0</v>
      </c>
      <c r="H2155">
        <v>2</v>
      </c>
      <c r="I2155">
        <v>4</v>
      </c>
      <c r="J2155">
        <v>111.11</v>
      </c>
      <c r="K2155">
        <v>25</v>
      </c>
      <c r="L2155">
        <f>_xlfn.XLOOKUP(C2155, dim_teams[team_name], dim_teams[team_id], "Not found", 0)</f>
        <v>5</v>
      </c>
    </row>
    <row r="2156" spans="1:12" x14ac:dyDescent="0.3">
      <c r="A2156" t="s">
        <v>567</v>
      </c>
      <c r="B2156">
        <v>2019</v>
      </c>
      <c r="C2156" t="s">
        <v>17</v>
      </c>
      <c r="D2156">
        <v>63</v>
      </c>
      <c r="E2156">
        <v>46</v>
      </c>
      <c r="F2156">
        <v>8</v>
      </c>
      <c r="G2156">
        <v>1</v>
      </c>
      <c r="H2156">
        <v>4</v>
      </c>
      <c r="I2156">
        <v>7</v>
      </c>
      <c r="J2156">
        <v>136.96</v>
      </c>
      <c r="K2156">
        <v>15.75</v>
      </c>
      <c r="L2156">
        <f>_xlfn.XLOOKUP(C2156, dim_teams[team_name], dim_teams[team_id], "Not found", 0)</f>
        <v>5</v>
      </c>
    </row>
    <row r="2157" spans="1:12" x14ac:dyDescent="0.3">
      <c r="A2157" t="s">
        <v>567</v>
      </c>
      <c r="B2157">
        <v>2020</v>
      </c>
      <c r="C2157" t="s">
        <v>17</v>
      </c>
      <c r="D2157">
        <v>37</v>
      </c>
      <c r="E2157">
        <v>39</v>
      </c>
      <c r="F2157">
        <v>3</v>
      </c>
      <c r="G2157">
        <v>0</v>
      </c>
      <c r="H2157">
        <v>4</v>
      </c>
      <c r="I2157">
        <v>5</v>
      </c>
      <c r="J2157">
        <v>94.87</v>
      </c>
      <c r="K2157">
        <v>9.25</v>
      </c>
      <c r="L2157">
        <f>_xlfn.XLOOKUP(C2157, dim_teams[team_name], dim_teams[team_id], "Not found", 0)</f>
        <v>5</v>
      </c>
    </row>
    <row r="2158" spans="1:12" x14ac:dyDescent="0.3">
      <c r="A2158" t="s">
        <v>567</v>
      </c>
      <c r="B2158">
        <v>2021</v>
      </c>
      <c r="C2158" t="s">
        <v>17</v>
      </c>
      <c r="D2158">
        <v>7</v>
      </c>
      <c r="E2158">
        <v>5</v>
      </c>
      <c r="F2158">
        <v>0</v>
      </c>
      <c r="G2158">
        <v>1</v>
      </c>
      <c r="H2158">
        <v>1</v>
      </c>
      <c r="I2158">
        <v>2</v>
      </c>
      <c r="J2158">
        <v>140</v>
      </c>
      <c r="K2158">
        <v>7</v>
      </c>
      <c r="L2158">
        <f>_xlfn.XLOOKUP(C2158, dim_teams[team_name], dim_teams[team_id], "Not found", 0)</f>
        <v>5</v>
      </c>
    </row>
    <row r="2159" spans="1:12" x14ac:dyDescent="0.3">
      <c r="A2159" t="s">
        <v>567</v>
      </c>
      <c r="B2159">
        <v>2022</v>
      </c>
      <c r="C2159" t="s">
        <v>13</v>
      </c>
      <c r="D2159">
        <v>9</v>
      </c>
      <c r="E2159">
        <v>7</v>
      </c>
      <c r="F2159">
        <v>2</v>
      </c>
      <c r="G2159">
        <v>0</v>
      </c>
      <c r="H2159">
        <v>0</v>
      </c>
      <c r="I2159">
        <v>1</v>
      </c>
      <c r="J2159">
        <v>128.57</v>
      </c>
      <c r="L2159">
        <f>_xlfn.XLOOKUP(C2159, dim_teams[team_name], dim_teams[team_id], "Not found", 0)</f>
        <v>11</v>
      </c>
    </row>
    <row r="2160" spans="1:12" x14ac:dyDescent="0.3">
      <c r="A2160" t="s">
        <v>568</v>
      </c>
      <c r="B2160">
        <v>2013</v>
      </c>
      <c r="C2160" t="s">
        <v>32</v>
      </c>
      <c r="D2160">
        <v>7</v>
      </c>
      <c r="E2160">
        <v>9</v>
      </c>
      <c r="F2160">
        <v>0</v>
      </c>
      <c r="G2160">
        <v>0</v>
      </c>
      <c r="H2160">
        <v>0</v>
      </c>
      <c r="I2160">
        <v>1</v>
      </c>
      <c r="J2160">
        <v>77.78</v>
      </c>
      <c r="L2160">
        <f>_xlfn.XLOOKUP(C2160, dim_teams[team_name], dim_teams[team_id], "Not found", 0)</f>
        <v>6</v>
      </c>
    </row>
    <row r="2161" spans="1:12" x14ac:dyDescent="0.3">
      <c r="A2161" t="s">
        <v>568</v>
      </c>
      <c r="B2161">
        <v>2014</v>
      </c>
      <c r="C2161" t="s">
        <v>32</v>
      </c>
      <c r="D2161">
        <v>2</v>
      </c>
      <c r="E2161">
        <v>2</v>
      </c>
      <c r="F2161">
        <v>0</v>
      </c>
      <c r="G2161">
        <v>0</v>
      </c>
      <c r="H2161">
        <v>0</v>
      </c>
      <c r="I2161">
        <v>1</v>
      </c>
      <c r="J2161">
        <v>100</v>
      </c>
      <c r="L2161">
        <f>_xlfn.XLOOKUP(C2161, dim_teams[team_name], dim_teams[team_id], "Not found", 0)</f>
        <v>6</v>
      </c>
    </row>
    <row r="2162" spans="1:12" x14ac:dyDescent="0.3">
      <c r="A2162" t="s">
        <v>568</v>
      </c>
      <c r="B2162">
        <v>2017</v>
      </c>
      <c r="C2162" t="s">
        <v>13</v>
      </c>
      <c r="D2162">
        <v>0</v>
      </c>
      <c r="E2162">
        <v>2</v>
      </c>
      <c r="F2162">
        <v>0</v>
      </c>
      <c r="G2162">
        <v>0</v>
      </c>
      <c r="H2162">
        <v>0</v>
      </c>
      <c r="I2162">
        <v>1</v>
      </c>
      <c r="J2162">
        <v>0</v>
      </c>
      <c r="L2162">
        <f>_xlfn.XLOOKUP(C2162, dim_teams[team_name], dim_teams[team_id], "Not found", 0)</f>
        <v>11</v>
      </c>
    </row>
    <row r="2163" spans="1:12" x14ac:dyDescent="0.3">
      <c r="A2163" t="s">
        <v>568</v>
      </c>
      <c r="B2163">
        <v>2018</v>
      </c>
      <c r="C2163" t="s">
        <v>13</v>
      </c>
      <c r="D2163">
        <v>3</v>
      </c>
      <c r="E2163">
        <v>14</v>
      </c>
      <c r="F2163">
        <v>0</v>
      </c>
      <c r="G2163">
        <v>0</v>
      </c>
      <c r="H2163">
        <v>2</v>
      </c>
      <c r="I2163">
        <v>3</v>
      </c>
      <c r="J2163">
        <v>21.43</v>
      </c>
      <c r="K2163">
        <v>1.5</v>
      </c>
      <c r="L2163">
        <f>_xlfn.XLOOKUP(C2163, dim_teams[team_name], dim_teams[team_id], "Not found", 0)</f>
        <v>11</v>
      </c>
    </row>
    <row r="2164" spans="1:12" x14ac:dyDescent="0.3">
      <c r="A2164" t="s">
        <v>568</v>
      </c>
      <c r="B2164">
        <v>2019</v>
      </c>
      <c r="C2164" t="s">
        <v>13</v>
      </c>
      <c r="D2164">
        <v>0</v>
      </c>
      <c r="E2164">
        <v>1</v>
      </c>
      <c r="F2164">
        <v>0</v>
      </c>
      <c r="G2164">
        <v>0</v>
      </c>
      <c r="H2164">
        <v>1</v>
      </c>
      <c r="I2164">
        <v>1</v>
      </c>
      <c r="J2164">
        <v>0</v>
      </c>
      <c r="K2164">
        <v>0</v>
      </c>
      <c r="L2164">
        <f>_xlfn.XLOOKUP(C2164, dim_teams[team_name], dim_teams[team_id], "Not found", 0)</f>
        <v>11</v>
      </c>
    </row>
    <row r="2165" spans="1:12" x14ac:dyDescent="0.3">
      <c r="A2165" t="s">
        <v>568</v>
      </c>
      <c r="B2165">
        <v>2021</v>
      </c>
      <c r="C2165" t="s">
        <v>13</v>
      </c>
      <c r="D2165">
        <v>8</v>
      </c>
      <c r="E2165">
        <v>8</v>
      </c>
      <c r="F2165">
        <v>1</v>
      </c>
      <c r="G2165">
        <v>0</v>
      </c>
      <c r="H2165">
        <v>0</v>
      </c>
      <c r="I2165">
        <v>2</v>
      </c>
      <c r="J2165">
        <v>100</v>
      </c>
      <c r="L2165">
        <f>_xlfn.XLOOKUP(C2165, dim_teams[team_name], dim_teams[team_id], "Not found", 0)</f>
        <v>11</v>
      </c>
    </row>
    <row r="2166" spans="1:12" x14ac:dyDescent="0.3">
      <c r="A2166" t="s">
        <v>569</v>
      </c>
      <c r="B2166">
        <v>2016</v>
      </c>
      <c r="C2166" t="s">
        <v>66</v>
      </c>
      <c r="D2166">
        <v>0</v>
      </c>
      <c r="E2166">
        <v>1</v>
      </c>
      <c r="F2166">
        <v>0</v>
      </c>
      <c r="G2166">
        <v>0</v>
      </c>
      <c r="H2166">
        <v>1</v>
      </c>
      <c r="I2166">
        <v>1</v>
      </c>
      <c r="J2166">
        <v>0</v>
      </c>
      <c r="K2166">
        <v>0</v>
      </c>
      <c r="L2166">
        <f>_xlfn.XLOOKUP(C2166, dim_teams[team_name], dim_teams[team_id], "Not found", 0)</f>
        <v>13</v>
      </c>
    </row>
    <row r="2167" spans="1:12" x14ac:dyDescent="0.3">
      <c r="A2167" t="s">
        <v>570</v>
      </c>
      <c r="B2167">
        <v>2010</v>
      </c>
      <c r="C2167" t="s">
        <v>32</v>
      </c>
      <c r="D2167">
        <v>0</v>
      </c>
      <c r="E2167">
        <v>9</v>
      </c>
      <c r="F2167">
        <v>0</v>
      </c>
      <c r="G2167">
        <v>0</v>
      </c>
      <c r="H2167">
        <v>2</v>
      </c>
      <c r="I2167">
        <v>2</v>
      </c>
      <c r="J2167">
        <v>0</v>
      </c>
      <c r="K2167">
        <v>0</v>
      </c>
      <c r="L2167">
        <f>_xlfn.XLOOKUP(C2167, dim_teams[team_name], dim_teams[team_id], "Not found", 0)</f>
        <v>6</v>
      </c>
    </row>
    <row r="2168" spans="1:12" x14ac:dyDescent="0.3">
      <c r="A2168" t="s">
        <v>571</v>
      </c>
      <c r="B2168">
        <v>2019</v>
      </c>
      <c r="C2168" t="s">
        <v>33</v>
      </c>
      <c r="D2168">
        <v>0</v>
      </c>
      <c r="E2168">
        <v>1</v>
      </c>
      <c r="F2168">
        <v>0</v>
      </c>
      <c r="G2168">
        <v>0</v>
      </c>
      <c r="H2168">
        <v>1</v>
      </c>
      <c r="I2168">
        <v>1</v>
      </c>
      <c r="J2168">
        <v>0</v>
      </c>
      <c r="K2168">
        <v>0</v>
      </c>
      <c r="L2168">
        <f>_xlfn.XLOOKUP(C2168, dim_teams[team_name], dim_teams[team_id], "Not found", 0)</f>
        <v>15</v>
      </c>
    </row>
    <row r="2169" spans="1:12" x14ac:dyDescent="0.3">
      <c r="A2169" t="s">
        <v>572</v>
      </c>
      <c r="B2169">
        <v>2011</v>
      </c>
      <c r="C2169" t="s">
        <v>32</v>
      </c>
      <c r="D2169">
        <v>0</v>
      </c>
      <c r="E2169">
        <v>1</v>
      </c>
      <c r="F2169">
        <v>0</v>
      </c>
      <c r="G2169">
        <v>0</v>
      </c>
      <c r="H2169">
        <v>1</v>
      </c>
      <c r="I2169">
        <v>1</v>
      </c>
      <c r="J2169">
        <v>0</v>
      </c>
      <c r="K2169">
        <v>0</v>
      </c>
      <c r="L2169">
        <f>_xlfn.XLOOKUP(C2169, dim_teams[team_name], dim_teams[team_id], "Not found", 0)</f>
        <v>6</v>
      </c>
    </row>
    <row r="2170" spans="1:12" x14ac:dyDescent="0.3">
      <c r="A2170" t="s">
        <v>572</v>
      </c>
      <c r="B2170">
        <v>2012</v>
      </c>
      <c r="C2170" t="s">
        <v>32</v>
      </c>
      <c r="D2170">
        <v>0</v>
      </c>
      <c r="E2170">
        <v>2</v>
      </c>
      <c r="F2170">
        <v>0</v>
      </c>
      <c r="G2170">
        <v>0</v>
      </c>
      <c r="H2170">
        <v>2</v>
      </c>
      <c r="I2170">
        <v>1</v>
      </c>
      <c r="J2170">
        <v>0</v>
      </c>
      <c r="K2170">
        <v>0</v>
      </c>
      <c r="L2170">
        <f>_xlfn.XLOOKUP(C2170, dim_teams[team_name], dim_teams[team_id], "Not found", 0)</f>
        <v>6</v>
      </c>
    </row>
    <row r="2171" spans="1:12" x14ac:dyDescent="0.3">
      <c r="A2171" t="s">
        <v>572</v>
      </c>
      <c r="B2171">
        <v>2013</v>
      </c>
      <c r="C2171" t="s">
        <v>32</v>
      </c>
      <c r="D2171">
        <v>14</v>
      </c>
      <c r="E2171">
        <v>27</v>
      </c>
      <c r="F2171">
        <v>1</v>
      </c>
      <c r="G2171">
        <v>0</v>
      </c>
      <c r="H2171">
        <v>5</v>
      </c>
      <c r="I2171">
        <v>6</v>
      </c>
      <c r="J2171">
        <v>51.85</v>
      </c>
      <c r="K2171">
        <v>2.8</v>
      </c>
      <c r="L2171">
        <f>_xlfn.XLOOKUP(C2171, dim_teams[team_name], dim_teams[team_id], "Not found", 0)</f>
        <v>6</v>
      </c>
    </row>
    <row r="2172" spans="1:12" x14ac:dyDescent="0.3">
      <c r="A2172" t="s">
        <v>572</v>
      </c>
      <c r="B2172">
        <v>2014</v>
      </c>
      <c r="C2172" t="s">
        <v>32</v>
      </c>
      <c r="D2172">
        <v>7</v>
      </c>
      <c r="E2172">
        <v>19</v>
      </c>
      <c r="F2172">
        <v>0</v>
      </c>
      <c r="G2172">
        <v>0</v>
      </c>
      <c r="H2172">
        <v>2</v>
      </c>
      <c r="I2172">
        <v>3</v>
      </c>
      <c r="J2172">
        <v>36.840000000000003</v>
      </c>
      <c r="K2172">
        <v>3.5</v>
      </c>
      <c r="L2172">
        <f>_xlfn.XLOOKUP(C2172, dim_teams[team_name], dim_teams[team_id], "Not found", 0)</f>
        <v>6</v>
      </c>
    </row>
    <row r="2173" spans="1:12" x14ac:dyDescent="0.3">
      <c r="A2173" t="s">
        <v>572</v>
      </c>
      <c r="B2173">
        <v>2015</v>
      </c>
      <c r="C2173" t="s">
        <v>32</v>
      </c>
      <c r="D2173">
        <v>2</v>
      </c>
      <c r="E2173">
        <v>7</v>
      </c>
      <c r="F2173">
        <v>0</v>
      </c>
      <c r="G2173">
        <v>0</v>
      </c>
      <c r="H2173">
        <v>1</v>
      </c>
      <c r="I2173">
        <v>1</v>
      </c>
      <c r="J2173">
        <v>28.57</v>
      </c>
      <c r="K2173">
        <v>2</v>
      </c>
      <c r="L2173">
        <f>_xlfn.XLOOKUP(C2173, dim_teams[team_name], dim_teams[team_id], "Not found", 0)</f>
        <v>6</v>
      </c>
    </row>
    <row r="2174" spans="1:12" x14ac:dyDescent="0.3">
      <c r="A2174" t="s">
        <v>572</v>
      </c>
      <c r="B2174">
        <v>2016</v>
      </c>
      <c r="C2174" t="s">
        <v>32</v>
      </c>
      <c r="D2174">
        <v>1</v>
      </c>
      <c r="E2174">
        <v>5</v>
      </c>
      <c r="F2174">
        <v>0</v>
      </c>
      <c r="G2174">
        <v>0</v>
      </c>
      <c r="H2174">
        <v>0</v>
      </c>
      <c r="I2174">
        <v>1</v>
      </c>
      <c r="J2174">
        <v>20</v>
      </c>
      <c r="L2174">
        <f>_xlfn.XLOOKUP(C2174, dim_teams[team_name], dim_teams[team_id], "Not found", 0)</f>
        <v>6</v>
      </c>
    </row>
    <row r="2175" spans="1:12" x14ac:dyDescent="0.3">
      <c r="A2175" t="s">
        <v>572</v>
      </c>
      <c r="B2175">
        <v>2017</v>
      </c>
      <c r="C2175" t="s">
        <v>32</v>
      </c>
      <c r="D2175">
        <v>2</v>
      </c>
      <c r="E2175">
        <v>9</v>
      </c>
      <c r="F2175">
        <v>0</v>
      </c>
      <c r="G2175">
        <v>0</v>
      </c>
      <c r="H2175">
        <v>3</v>
      </c>
      <c r="I2175">
        <v>3</v>
      </c>
      <c r="J2175">
        <v>22.22</v>
      </c>
      <c r="K2175">
        <v>0.67</v>
      </c>
      <c r="L2175">
        <f>_xlfn.XLOOKUP(C2175, dim_teams[team_name], dim_teams[team_id], "Not found", 0)</f>
        <v>6</v>
      </c>
    </row>
    <row r="2176" spans="1:12" x14ac:dyDescent="0.3">
      <c r="A2176" t="s">
        <v>572</v>
      </c>
      <c r="B2176">
        <v>2018</v>
      </c>
      <c r="C2176" t="s">
        <v>32</v>
      </c>
      <c r="D2176">
        <v>6</v>
      </c>
      <c r="E2176">
        <v>8</v>
      </c>
      <c r="F2176">
        <v>0</v>
      </c>
      <c r="G2176">
        <v>0</v>
      </c>
      <c r="H2176">
        <v>0</v>
      </c>
      <c r="I2176">
        <v>1</v>
      </c>
      <c r="J2176">
        <v>75</v>
      </c>
      <c r="L2176">
        <f>_xlfn.XLOOKUP(C2176, dim_teams[team_name], dim_teams[team_id], "Not found", 0)</f>
        <v>6</v>
      </c>
    </row>
    <row r="2177" spans="1:12" x14ac:dyDescent="0.3">
      <c r="A2177" t="s">
        <v>572</v>
      </c>
      <c r="B2177">
        <v>2020</v>
      </c>
      <c r="C2177" t="s">
        <v>13</v>
      </c>
      <c r="D2177">
        <v>7</v>
      </c>
      <c r="E2177">
        <v>8</v>
      </c>
      <c r="F2177">
        <v>1</v>
      </c>
      <c r="G2177">
        <v>0</v>
      </c>
      <c r="H2177">
        <v>1</v>
      </c>
      <c r="I2177">
        <v>2</v>
      </c>
      <c r="J2177">
        <v>87.5</v>
      </c>
      <c r="K2177">
        <v>7</v>
      </c>
      <c r="L2177">
        <f>_xlfn.XLOOKUP(C2177, dim_teams[team_name], dim_teams[team_id], "Not found", 0)</f>
        <v>11</v>
      </c>
    </row>
    <row r="2178" spans="1:12" x14ac:dyDescent="0.3">
      <c r="A2178" t="s">
        <v>572</v>
      </c>
      <c r="B2178">
        <v>2021</v>
      </c>
      <c r="C2178" t="s">
        <v>13</v>
      </c>
      <c r="D2178">
        <v>0</v>
      </c>
      <c r="E2178">
        <v>1</v>
      </c>
      <c r="F2178">
        <v>0</v>
      </c>
      <c r="G2178">
        <v>0</v>
      </c>
      <c r="H2178">
        <v>1</v>
      </c>
      <c r="I2178">
        <v>1</v>
      </c>
      <c r="J2178">
        <v>0</v>
      </c>
      <c r="K2178">
        <v>0</v>
      </c>
      <c r="L2178">
        <f>_xlfn.XLOOKUP(C2178, dim_teams[team_name], dim_teams[team_id], "Not found", 0)</f>
        <v>11</v>
      </c>
    </row>
    <row r="2179" spans="1:12" x14ac:dyDescent="0.3">
      <c r="A2179" t="s">
        <v>573</v>
      </c>
      <c r="B2179">
        <v>2010</v>
      </c>
      <c r="C2179" t="s">
        <v>17</v>
      </c>
      <c r="D2179">
        <v>14</v>
      </c>
      <c r="E2179">
        <v>12</v>
      </c>
      <c r="F2179">
        <v>2</v>
      </c>
      <c r="G2179">
        <v>0</v>
      </c>
      <c r="H2179">
        <v>3</v>
      </c>
      <c r="I2179">
        <v>3</v>
      </c>
      <c r="J2179">
        <v>116.67</v>
      </c>
      <c r="K2179">
        <v>4.67</v>
      </c>
      <c r="L2179">
        <f>_xlfn.XLOOKUP(C2179, dim_teams[team_name], dim_teams[team_id], "Not found", 0)</f>
        <v>5</v>
      </c>
    </row>
    <row r="2180" spans="1:12" x14ac:dyDescent="0.3">
      <c r="A2180" t="s">
        <v>573</v>
      </c>
      <c r="B2180">
        <v>2013</v>
      </c>
      <c r="C2180" t="s">
        <v>19</v>
      </c>
      <c r="D2180">
        <v>23</v>
      </c>
      <c r="E2180">
        <v>15</v>
      </c>
      <c r="F2180">
        <v>4</v>
      </c>
      <c r="G2180">
        <v>0</v>
      </c>
      <c r="H2180">
        <v>1</v>
      </c>
      <c r="I2180">
        <v>1</v>
      </c>
      <c r="J2180">
        <v>153.33000000000001</v>
      </c>
      <c r="K2180">
        <v>23</v>
      </c>
      <c r="L2180">
        <f>_xlfn.XLOOKUP(C2180, dim_teams[team_name], dim_teams[team_id], "Not found", 0)</f>
        <v>1</v>
      </c>
    </row>
    <row r="2181" spans="1:12" x14ac:dyDescent="0.3">
      <c r="A2181" t="s">
        <v>574</v>
      </c>
      <c r="B2181">
        <v>2011</v>
      </c>
      <c r="C2181" t="s">
        <v>37</v>
      </c>
      <c r="D2181">
        <v>18</v>
      </c>
      <c r="E2181">
        <v>15</v>
      </c>
      <c r="F2181">
        <v>2</v>
      </c>
      <c r="G2181">
        <v>0</v>
      </c>
      <c r="H2181">
        <v>1</v>
      </c>
      <c r="I2181">
        <v>1</v>
      </c>
      <c r="J2181">
        <v>120</v>
      </c>
      <c r="K2181">
        <v>18</v>
      </c>
      <c r="L2181">
        <f>_xlfn.XLOOKUP(C2181, dim_teams[team_name], dim_teams[team_id], "Not found", 0)</f>
        <v>10</v>
      </c>
    </row>
    <row r="2182" spans="1:12" x14ac:dyDescent="0.3">
      <c r="A2182" t="s">
        <v>574</v>
      </c>
      <c r="B2182">
        <v>2014</v>
      </c>
      <c r="C2182" t="s">
        <v>21</v>
      </c>
      <c r="D2182">
        <v>73</v>
      </c>
      <c r="E2182">
        <v>64</v>
      </c>
      <c r="F2182">
        <v>7</v>
      </c>
      <c r="G2182">
        <v>1</v>
      </c>
      <c r="H2182">
        <v>4</v>
      </c>
      <c r="I2182">
        <v>7</v>
      </c>
      <c r="J2182">
        <v>114.06</v>
      </c>
      <c r="K2182">
        <v>18.25</v>
      </c>
      <c r="L2182">
        <f>_xlfn.XLOOKUP(C2182, dim_teams[team_name], dim_teams[team_id], "Not found", 0)</f>
        <v>2</v>
      </c>
    </row>
    <row r="2183" spans="1:12" x14ac:dyDescent="0.3">
      <c r="A2183" t="s">
        <v>575</v>
      </c>
      <c r="B2183">
        <v>2011</v>
      </c>
      <c r="C2183" t="s">
        <v>25</v>
      </c>
      <c r="D2183">
        <v>2</v>
      </c>
      <c r="E2183">
        <v>4</v>
      </c>
      <c r="F2183">
        <v>0</v>
      </c>
      <c r="G2183">
        <v>0</v>
      </c>
      <c r="H2183">
        <v>1</v>
      </c>
      <c r="I2183">
        <v>1</v>
      </c>
      <c r="J2183">
        <v>50</v>
      </c>
      <c r="K2183">
        <v>2</v>
      </c>
      <c r="L2183">
        <f>_xlfn.XLOOKUP(C2183, dim_teams[team_name], dim_teams[team_id], "Not found", 0)</f>
        <v>3</v>
      </c>
    </row>
    <row r="2184" spans="1:12" x14ac:dyDescent="0.3">
      <c r="A2184" t="s">
        <v>576</v>
      </c>
      <c r="B2184">
        <v>2008</v>
      </c>
      <c r="C2184" t="s">
        <v>54</v>
      </c>
      <c r="D2184">
        <v>4</v>
      </c>
      <c r="E2184">
        <v>8</v>
      </c>
      <c r="F2184">
        <v>0</v>
      </c>
      <c r="G2184">
        <v>0</v>
      </c>
      <c r="H2184">
        <v>2</v>
      </c>
      <c r="I2184">
        <v>2</v>
      </c>
      <c r="J2184">
        <v>50</v>
      </c>
      <c r="K2184">
        <v>2</v>
      </c>
      <c r="L2184">
        <f>_xlfn.XLOOKUP(C2184, dim_teams[team_name], dim_teams[team_id], "Not found", 0)</f>
        <v>4</v>
      </c>
    </row>
    <row r="2185" spans="1:12" x14ac:dyDescent="0.3">
      <c r="A2185" t="s">
        <v>576</v>
      </c>
      <c r="B2185">
        <v>2009</v>
      </c>
      <c r="C2185" t="s">
        <v>54</v>
      </c>
      <c r="D2185">
        <v>115</v>
      </c>
      <c r="E2185">
        <v>91</v>
      </c>
      <c r="F2185">
        <v>9</v>
      </c>
      <c r="G2185">
        <v>8</v>
      </c>
      <c r="H2185">
        <v>7</v>
      </c>
      <c r="I2185">
        <v>8</v>
      </c>
      <c r="J2185">
        <v>126.37</v>
      </c>
      <c r="K2185">
        <v>16.43</v>
      </c>
      <c r="L2185">
        <f>_xlfn.XLOOKUP(C2185, dim_teams[team_name], dim_teams[team_id], "Not found", 0)</f>
        <v>4</v>
      </c>
    </row>
    <row r="2186" spans="1:12" x14ac:dyDescent="0.3">
      <c r="A2186" t="s">
        <v>576</v>
      </c>
      <c r="B2186">
        <v>2011</v>
      </c>
      <c r="C2186" t="s">
        <v>12</v>
      </c>
      <c r="D2186">
        <v>249</v>
      </c>
      <c r="E2186">
        <v>190</v>
      </c>
      <c r="F2186">
        <v>25</v>
      </c>
      <c r="G2186">
        <v>10</v>
      </c>
      <c r="H2186">
        <v>9</v>
      </c>
      <c r="I2186">
        <v>10</v>
      </c>
      <c r="J2186">
        <v>131.05000000000001</v>
      </c>
      <c r="K2186">
        <v>27.67</v>
      </c>
      <c r="L2186">
        <f>_xlfn.XLOOKUP(C2186, dim_teams[team_name], dim_teams[team_id], "Not found", 0)</f>
        <v>8</v>
      </c>
    </row>
    <row r="2187" spans="1:12" x14ac:dyDescent="0.3">
      <c r="A2187" t="s">
        <v>577</v>
      </c>
      <c r="B2187">
        <v>2008</v>
      </c>
      <c r="C2187" t="s">
        <v>54</v>
      </c>
      <c r="D2187">
        <v>0</v>
      </c>
      <c r="E2187">
        <v>3</v>
      </c>
      <c r="F2187">
        <v>0</v>
      </c>
      <c r="G2187">
        <v>0</v>
      </c>
      <c r="H2187">
        <v>1</v>
      </c>
      <c r="I2187">
        <v>2</v>
      </c>
      <c r="J2187">
        <v>0</v>
      </c>
      <c r="K2187">
        <v>0</v>
      </c>
      <c r="L2187">
        <f>_xlfn.XLOOKUP(C2187, dim_teams[team_name], dim_teams[team_id], "Not found", 0)</f>
        <v>4</v>
      </c>
    </row>
    <row r="2188" spans="1:12" x14ac:dyDescent="0.3">
      <c r="A2188" t="s">
        <v>577</v>
      </c>
      <c r="B2188">
        <v>2009</v>
      </c>
      <c r="C2188" t="s">
        <v>54</v>
      </c>
      <c r="D2188">
        <v>5</v>
      </c>
      <c r="E2188">
        <v>18</v>
      </c>
      <c r="F2188">
        <v>1</v>
      </c>
      <c r="G2188">
        <v>0</v>
      </c>
      <c r="H2188">
        <v>0</v>
      </c>
      <c r="I2188">
        <v>2</v>
      </c>
      <c r="J2188">
        <v>27.78</v>
      </c>
      <c r="L2188">
        <f>_xlfn.XLOOKUP(C2188, dim_teams[team_name], dim_teams[team_id], "Not found", 0)</f>
        <v>4</v>
      </c>
    </row>
    <row r="2189" spans="1:12" x14ac:dyDescent="0.3">
      <c r="A2189" t="s">
        <v>577</v>
      </c>
      <c r="B2189">
        <v>2010</v>
      </c>
      <c r="C2189" t="s">
        <v>54</v>
      </c>
      <c r="D2189">
        <v>27</v>
      </c>
      <c r="E2189">
        <v>21</v>
      </c>
      <c r="F2189">
        <v>5</v>
      </c>
      <c r="G2189">
        <v>0</v>
      </c>
      <c r="H2189">
        <v>0</v>
      </c>
      <c r="I2189">
        <v>3</v>
      </c>
      <c r="J2189">
        <v>128.57</v>
      </c>
      <c r="L2189">
        <f>_xlfn.XLOOKUP(C2189, dim_teams[team_name], dim_teams[team_id], "Not found", 0)</f>
        <v>4</v>
      </c>
    </row>
    <row r="2190" spans="1:12" x14ac:dyDescent="0.3">
      <c r="A2190" t="s">
        <v>577</v>
      </c>
      <c r="B2190">
        <v>2011</v>
      </c>
      <c r="C2190" t="s">
        <v>122</v>
      </c>
      <c r="D2190">
        <v>1</v>
      </c>
      <c r="E2190">
        <v>9</v>
      </c>
      <c r="F2190">
        <v>0</v>
      </c>
      <c r="G2190">
        <v>0</v>
      </c>
      <c r="H2190">
        <v>1</v>
      </c>
      <c r="I2190">
        <v>3</v>
      </c>
      <c r="J2190">
        <v>11.11</v>
      </c>
      <c r="K2190">
        <v>1</v>
      </c>
      <c r="L2190">
        <f>_xlfn.XLOOKUP(C2190, dim_teams[team_name], dim_teams[team_id], "Not found", 0)</f>
        <v>9</v>
      </c>
    </row>
    <row r="2191" spans="1:12" x14ac:dyDescent="0.3">
      <c r="A2191" t="s">
        <v>577</v>
      </c>
      <c r="B2191">
        <v>2013</v>
      </c>
      <c r="C2191" t="s">
        <v>17</v>
      </c>
      <c r="D2191">
        <v>1</v>
      </c>
      <c r="E2191">
        <v>4</v>
      </c>
      <c r="F2191">
        <v>0</v>
      </c>
      <c r="G2191">
        <v>0</v>
      </c>
      <c r="H2191">
        <v>1</v>
      </c>
      <c r="I2191">
        <v>2</v>
      </c>
      <c r="J2191">
        <v>25</v>
      </c>
      <c r="K2191">
        <v>1</v>
      </c>
      <c r="L2191">
        <f>_xlfn.XLOOKUP(C2191, dim_teams[team_name], dim_teams[team_id], "Not found", 0)</f>
        <v>5</v>
      </c>
    </row>
    <row r="2192" spans="1:12" x14ac:dyDescent="0.3">
      <c r="A2192" t="s">
        <v>578</v>
      </c>
      <c r="B2192">
        <v>2010</v>
      </c>
      <c r="C2192" t="s">
        <v>21</v>
      </c>
      <c r="D2192">
        <v>27</v>
      </c>
      <c r="E2192">
        <v>29</v>
      </c>
      <c r="F2192">
        <v>3</v>
      </c>
      <c r="G2192">
        <v>0</v>
      </c>
      <c r="H2192">
        <v>1</v>
      </c>
      <c r="I2192">
        <v>1</v>
      </c>
      <c r="J2192">
        <v>93.1</v>
      </c>
      <c r="K2192">
        <v>27</v>
      </c>
      <c r="L2192">
        <f>_xlfn.XLOOKUP(C2192, dim_teams[team_name], dim_teams[team_id], "Not found", 0)</f>
        <v>2</v>
      </c>
    </row>
    <row r="2193" spans="1:12" x14ac:dyDescent="0.3">
      <c r="A2193" t="s">
        <v>578</v>
      </c>
      <c r="B2193">
        <v>2011</v>
      </c>
      <c r="C2193" t="s">
        <v>32</v>
      </c>
      <c r="D2193">
        <v>4</v>
      </c>
      <c r="E2193">
        <v>7</v>
      </c>
      <c r="F2193">
        <v>0</v>
      </c>
      <c r="G2193">
        <v>0</v>
      </c>
      <c r="H2193">
        <v>1</v>
      </c>
      <c r="I2193">
        <v>1</v>
      </c>
      <c r="J2193">
        <v>57.14</v>
      </c>
      <c r="K2193">
        <v>4</v>
      </c>
      <c r="L2193">
        <f>_xlfn.XLOOKUP(C2193, dim_teams[team_name], dim_teams[team_id], "Not found", 0)</f>
        <v>6</v>
      </c>
    </row>
    <row r="2194" spans="1:12" x14ac:dyDescent="0.3">
      <c r="A2194" t="s">
        <v>579</v>
      </c>
      <c r="B2194">
        <v>2010</v>
      </c>
      <c r="C2194" t="s">
        <v>25</v>
      </c>
      <c r="D2194">
        <v>3</v>
      </c>
      <c r="E2194">
        <v>4</v>
      </c>
      <c r="F2194">
        <v>0</v>
      </c>
      <c r="G2194">
        <v>0</v>
      </c>
      <c r="H2194">
        <v>0</v>
      </c>
      <c r="I2194">
        <v>1</v>
      </c>
      <c r="J2194">
        <v>75</v>
      </c>
      <c r="L2194">
        <f>_xlfn.XLOOKUP(C2194, dim_teams[team_name], dim_teams[team_id], "Not found", 0)</f>
        <v>3</v>
      </c>
    </row>
    <row r="2195" spans="1:12" x14ac:dyDescent="0.3">
      <c r="A2195" t="s">
        <v>580</v>
      </c>
      <c r="B2195">
        <v>2008</v>
      </c>
      <c r="C2195" t="s">
        <v>25</v>
      </c>
      <c r="D2195">
        <v>145</v>
      </c>
      <c r="E2195">
        <v>109</v>
      </c>
      <c r="F2195">
        <v>21</v>
      </c>
      <c r="G2195">
        <v>3</v>
      </c>
      <c r="H2195">
        <v>8</v>
      </c>
      <c r="I2195">
        <v>8</v>
      </c>
      <c r="J2195">
        <v>133.03</v>
      </c>
      <c r="K2195">
        <v>18.12</v>
      </c>
      <c r="L2195">
        <f>_xlfn.XLOOKUP(C2195, dim_teams[team_name], dim_teams[team_id], "Not found", 0)</f>
        <v>3</v>
      </c>
    </row>
    <row r="2196" spans="1:12" x14ac:dyDescent="0.3">
      <c r="A2196" t="s">
        <v>581</v>
      </c>
      <c r="B2196">
        <v>2015</v>
      </c>
      <c r="C2196" t="s">
        <v>21</v>
      </c>
      <c r="D2196">
        <v>15</v>
      </c>
      <c r="E2196">
        <v>13</v>
      </c>
      <c r="F2196">
        <v>1</v>
      </c>
      <c r="G2196">
        <v>1</v>
      </c>
      <c r="H2196">
        <v>1</v>
      </c>
      <c r="I2196">
        <v>2</v>
      </c>
      <c r="J2196">
        <v>115.38</v>
      </c>
      <c r="K2196">
        <v>15</v>
      </c>
      <c r="L2196">
        <f>_xlfn.XLOOKUP(C2196, dim_teams[team_name], dim_teams[team_id], "Not found", 0)</f>
        <v>2</v>
      </c>
    </row>
    <row r="2197" spans="1:12" x14ac:dyDescent="0.3">
      <c r="A2197" t="s">
        <v>581</v>
      </c>
      <c r="B2197">
        <v>2022</v>
      </c>
      <c r="C2197" t="s">
        <v>13</v>
      </c>
      <c r="D2197">
        <v>7</v>
      </c>
      <c r="E2197">
        <v>5</v>
      </c>
      <c r="F2197">
        <v>0</v>
      </c>
      <c r="G2197">
        <v>1</v>
      </c>
      <c r="H2197">
        <v>1</v>
      </c>
      <c r="I2197">
        <v>1</v>
      </c>
      <c r="J2197">
        <v>140</v>
      </c>
      <c r="K2197">
        <v>7</v>
      </c>
      <c r="L2197">
        <f>_xlfn.XLOOKUP(C2197, dim_teams[team_name], dim_teams[team_id], "Not found", 0)</f>
        <v>11</v>
      </c>
    </row>
    <row r="2198" spans="1:12" x14ac:dyDescent="0.3">
      <c r="A2198" t="s">
        <v>582</v>
      </c>
      <c r="B2198">
        <v>2008</v>
      </c>
      <c r="C2198" t="s">
        <v>17</v>
      </c>
      <c r="D2198">
        <v>311</v>
      </c>
      <c r="E2198">
        <v>231</v>
      </c>
      <c r="F2198">
        <v>43</v>
      </c>
      <c r="G2198">
        <v>6</v>
      </c>
      <c r="H2198">
        <v>9</v>
      </c>
      <c r="I2198">
        <v>9</v>
      </c>
      <c r="J2198">
        <v>134.63</v>
      </c>
      <c r="K2198">
        <v>34.56</v>
      </c>
      <c r="L2198">
        <f>_xlfn.XLOOKUP(C2198, dim_teams[team_name], dim_teams[team_id], "Not found", 0)</f>
        <v>5</v>
      </c>
    </row>
    <row r="2199" spans="1:12" x14ac:dyDescent="0.3">
      <c r="A2199" t="s">
        <v>582</v>
      </c>
      <c r="B2199">
        <v>2009</v>
      </c>
      <c r="C2199" t="s">
        <v>17</v>
      </c>
      <c r="D2199">
        <v>98</v>
      </c>
      <c r="E2199">
        <v>93</v>
      </c>
      <c r="F2199">
        <v>11</v>
      </c>
      <c r="G2199">
        <v>4</v>
      </c>
      <c r="H2199">
        <v>8</v>
      </c>
      <c r="I2199">
        <v>8</v>
      </c>
      <c r="J2199">
        <v>105.38</v>
      </c>
      <c r="K2199">
        <v>12.25</v>
      </c>
      <c r="L2199">
        <f>_xlfn.XLOOKUP(C2199, dim_teams[team_name], dim_teams[team_id], "Not found", 0)</f>
        <v>5</v>
      </c>
    </row>
    <row r="2200" spans="1:12" x14ac:dyDescent="0.3">
      <c r="A2200" t="s">
        <v>582</v>
      </c>
      <c r="B2200">
        <v>2010</v>
      </c>
      <c r="C2200" t="s">
        <v>17</v>
      </c>
      <c r="D2200">
        <v>5</v>
      </c>
      <c r="E2200">
        <v>4</v>
      </c>
      <c r="F2200">
        <v>1</v>
      </c>
      <c r="G2200">
        <v>0</v>
      </c>
      <c r="H2200">
        <v>1</v>
      </c>
      <c r="I2200">
        <v>1</v>
      </c>
      <c r="J2200">
        <v>125</v>
      </c>
      <c r="K2200">
        <v>5</v>
      </c>
      <c r="L2200">
        <f>_xlfn.XLOOKUP(C2200, dim_teams[team_name], dim_teams[team_id], "Not found", 0)</f>
        <v>5</v>
      </c>
    </row>
    <row r="2201" spans="1:12" x14ac:dyDescent="0.3">
      <c r="A2201" t="s">
        <v>582</v>
      </c>
      <c r="B2201">
        <v>2011</v>
      </c>
      <c r="C2201" t="s">
        <v>17</v>
      </c>
      <c r="D2201">
        <v>9</v>
      </c>
      <c r="E2201">
        <v>9</v>
      </c>
      <c r="F2201">
        <v>1</v>
      </c>
      <c r="G2201">
        <v>0</v>
      </c>
      <c r="H2201">
        <v>1</v>
      </c>
      <c r="I2201">
        <v>1</v>
      </c>
      <c r="J2201">
        <v>100</v>
      </c>
      <c r="K2201">
        <v>9</v>
      </c>
      <c r="L2201">
        <f>_xlfn.XLOOKUP(C2201, dim_teams[team_name], dim_teams[team_id], "Not found", 0)</f>
        <v>5</v>
      </c>
    </row>
    <row r="2202" spans="1:12" x14ac:dyDescent="0.3">
      <c r="A2202" t="s">
        <v>583</v>
      </c>
      <c r="B2202">
        <v>2012</v>
      </c>
      <c r="C2202" t="s">
        <v>23</v>
      </c>
      <c r="D2202">
        <v>0</v>
      </c>
      <c r="E2202">
        <v>4</v>
      </c>
      <c r="F2202">
        <v>0</v>
      </c>
      <c r="G2202">
        <v>0</v>
      </c>
      <c r="H2202">
        <v>1</v>
      </c>
      <c r="I2202">
        <v>1</v>
      </c>
      <c r="J2202">
        <v>0</v>
      </c>
      <c r="K2202">
        <v>0</v>
      </c>
      <c r="L2202">
        <f>_xlfn.XLOOKUP(C2202, dim_teams[team_name], dim_teams[team_id], "Not found", 0)</f>
        <v>7</v>
      </c>
    </row>
    <row r="2203" spans="1:12" x14ac:dyDescent="0.3">
      <c r="A2203" t="s">
        <v>583</v>
      </c>
      <c r="B2203">
        <v>2014</v>
      </c>
      <c r="C2203" t="s">
        <v>19</v>
      </c>
      <c r="D2203">
        <v>164</v>
      </c>
      <c r="E2203">
        <v>115</v>
      </c>
      <c r="F2203">
        <v>16</v>
      </c>
      <c r="G2203">
        <v>5</v>
      </c>
      <c r="H2203">
        <v>6</v>
      </c>
      <c r="I2203">
        <v>10</v>
      </c>
      <c r="J2203">
        <v>142.61000000000001</v>
      </c>
      <c r="K2203">
        <v>27.33</v>
      </c>
      <c r="L2203">
        <f>_xlfn.XLOOKUP(C2203, dim_teams[team_name], dim_teams[team_id], "Not found", 0)</f>
        <v>1</v>
      </c>
    </row>
    <row r="2204" spans="1:12" x14ac:dyDescent="0.3">
      <c r="A2204" t="s">
        <v>583</v>
      </c>
      <c r="B2204">
        <v>2015</v>
      </c>
      <c r="C2204" t="s">
        <v>19</v>
      </c>
      <c r="D2204">
        <v>157</v>
      </c>
      <c r="E2204">
        <v>113</v>
      </c>
      <c r="F2204">
        <v>12</v>
      </c>
      <c r="G2204">
        <v>8</v>
      </c>
      <c r="H2204">
        <v>9</v>
      </c>
      <c r="I2204">
        <v>13</v>
      </c>
      <c r="J2204">
        <v>138.94</v>
      </c>
      <c r="K2204">
        <v>17.440000000000001</v>
      </c>
      <c r="L2204">
        <f>_xlfn.XLOOKUP(C2204, dim_teams[team_name], dim_teams[team_id], "Not found", 0)</f>
        <v>1</v>
      </c>
    </row>
    <row r="2205" spans="1:12" x14ac:dyDescent="0.3">
      <c r="A2205" t="s">
        <v>583</v>
      </c>
      <c r="B2205">
        <v>2016</v>
      </c>
      <c r="C2205" t="s">
        <v>19</v>
      </c>
      <c r="D2205">
        <v>182</v>
      </c>
      <c r="E2205">
        <v>141</v>
      </c>
      <c r="F2205">
        <v>18</v>
      </c>
      <c r="G2205">
        <v>5</v>
      </c>
      <c r="H2205">
        <v>7</v>
      </c>
      <c r="I2205">
        <v>11</v>
      </c>
      <c r="J2205">
        <v>129.08000000000001</v>
      </c>
      <c r="K2205">
        <v>26</v>
      </c>
      <c r="L2205">
        <f>_xlfn.XLOOKUP(C2205, dim_teams[team_name], dim_teams[team_id], "Not found", 0)</f>
        <v>1</v>
      </c>
    </row>
    <row r="2206" spans="1:12" x14ac:dyDescent="0.3">
      <c r="A2206" t="s">
        <v>583</v>
      </c>
      <c r="B2206">
        <v>2017</v>
      </c>
      <c r="C2206" t="s">
        <v>19</v>
      </c>
      <c r="D2206">
        <v>105</v>
      </c>
      <c r="E2206">
        <v>88</v>
      </c>
      <c r="F2206">
        <v>8</v>
      </c>
      <c r="G2206">
        <v>3</v>
      </c>
      <c r="H2206">
        <v>6</v>
      </c>
      <c r="I2206">
        <v>7</v>
      </c>
      <c r="J2206">
        <v>119.32</v>
      </c>
      <c r="K2206">
        <v>17.5</v>
      </c>
      <c r="L2206">
        <f>_xlfn.XLOOKUP(C2206, dim_teams[team_name], dim_teams[team_id], "Not found", 0)</f>
        <v>1</v>
      </c>
    </row>
    <row r="2207" spans="1:12" x14ac:dyDescent="0.3">
      <c r="A2207" t="s">
        <v>583</v>
      </c>
      <c r="B2207">
        <v>2018</v>
      </c>
      <c r="C2207" t="s">
        <v>23</v>
      </c>
      <c r="D2207">
        <v>512</v>
      </c>
      <c r="E2207">
        <v>384</v>
      </c>
      <c r="F2207">
        <v>61</v>
      </c>
      <c r="G2207">
        <v>16</v>
      </c>
      <c r="H2207">
        <v>14</v>
      </c>
      <c r="I2207">
        <v>14</v>
      </c>
      <c r="J2207">
        <v>133.33000000000001</v>
      </c>
      <c r="K2207">
        <v>36.57</v>
      </c>
      <c r="L2207">
        <f>_xlfn.XLOOKUP(C2207, dim_teams[team_name], dim_teams[team_id], "Not found", 0)</f>
        <v>7</v>
      </c>
    </row>
    <row r="2208" spans="1:12" x14ac:dyDescent="0.3">
      <c r="A2208" t="s">
        <v>583</v>
      </c>
      <c r="B2208">
        <v>2019</v>
      </c>
      <c r="C2208" t="s">
        <v>23</v>
      </c>
      <c r="D2208">
        <v>424</v>
      </c>
      <c r="E2208">
        <v>324</v>
      </c>
      <c r="F2208">
        <v>45</v>
      </c>
      <c r="G2208">
        <v>10</v>
      </c>
      <c r="H2208">
        <v>14</v>
      </c>
      <c r="I2208">
        <v>15</v>
      </c>
      <c r="J2208">
        <v>130.86000000000001</v>
      </c>
      <c r="K2208">
        <v>30.29</v>
      </c>
      <c r="L2208">
        <f>_xlfn.XLOOKUP(C2208, dim_teams[team_name], dim_teams[team_id], "Not found", 0)</f>
        <v>7</v>
      </c>
    </row>
    <row r="2209" spans="1:12" x14ac:dyDescent="0.3">
      <c r="A2209" t="s">
        <v>583</v>
      </c>
      <c r="B2209">
        <v>2020</v>
      </c>
      <c r="C2209" t="s">
        <v>23</v>
      </c>
      <c r="D2209">
        <v>480</v>
      </c>
      <c r="E2209">
        <v>330</v>
      </c>
      <c r="F2209">
        <v>61</v>
      </c>
      <c r="G2209">
        <v>11</v>
      </c>
      <c r="H2209">
        <v>9</v>
      </c>
      <c r="I2209">
        <v>15</v>
      </c>
      <c r="J2209">
        <v>145.44999999999999</v>
      </c>
      <c r="K2209">
        <v>53.33</v>
      </c>
      <c r="L2209">
        <f>_xlfn.XLOOKUP(C2209, dim_teams[team_name], dim_teams[team_id], "Not found", 0)</f>
        <v>7</v>
      </c>
    </row>
    <row r="2210" spans="1:12" x14ac:dyDescent="0.3">
      <c r="A2210" t="s">
        <v>583</v>
      </c>
      <c r="B2210">
        <v>2021</v>
      </c>
      <c r="C2210" t="s">
        <v>23</v>
      </c>
      <c r="D2210">
        <v>317</v>
      </c>
      <c r="E2210">
        <v>220</v>
      </c>
      <c r="F2210">
        <v>40</v>
      </c>
      <c r="G2210">
        <v>10</v>
      </c>
      <c r="H2210">
        <v>14</v>
      </c>
      <c r="I2210">
        <v>14</v>
      </c>
      <c r="J2210">
        <v>144.09</v>
      </c>
      <c r="K2210">
        <v>22.64</v>
      </c>
      <c r="L2210">
        <f>_xlfn.XLOOKUP(C2210, dim_teams[team_name], dim_teams[team_id], "Not found", 0)</f>
        <v>7</v>
      </c>
    </row>
    <row r="2211" spans="1:12" x14ac:dyDescent="0.3">
      <c r="A2211" t="s">
        <v>583</v>
      </c>
      <c r="B2211">
        <v>2022</v>
      </c>
      <c r="C2211" t="s">
        <v>23</v>
      </c>
      <c r="D2211">
        <v>303</v>
      </c>
      <c r="E2211">
        <v>206</v>
      </c>
      <c r="F2211">
        <v>23</v>
      </c>
      <c r="G2211">
        <v>16</v>
      </c>
      <c r="H2211">
        <v>8</v>
      </c>
      <c r="I2211">
        <v>8</v>
      </c>
      <c r="J2211">
        <v>147.09</v>
      </c>
      <c r="K2211">
        <v>37.880000000000003</v>
      </c>
      <c r="L2211">
        <f>_xlfn.XLOOKUP(C2211, dim_teams[team_name], dim_teams[team_id], "Not found", 0)</f>
        <v>7</v>
      </c>
    </row>
    <row r="2212" spans="1:12" x14ac:dyDescent="0.3">
      <c r="A2212" t="s">
        <v>583</v>
      </c>
      <c r="B2212">
        <v>2023</v>
      </c>
      <c r="C2212" t="s">
        <v>23</v>
      </c>
      <c r="D2212">
        <v>605</v>
      </c>
      <c r="E2212">
        <v>332</v>
      </c>
      <c r="F2212">
        <v>65</v>
      </c>
      <c r="G2212">
        <v>28</v>
      </c>
      <c r="H2212">
        <v>14</v>
      </c>
      <c r="I2212">
        <v>16</v>
      </c>
      <c r="J2212">
        <v>182.23</v>
      </c>
      <c r="K2212">
        <v>43.21</v>
      </c>
      <c r="L2212">
        <f>_xlfn.XLOOKUP(C2212, dim_teams[team_name], dim_teams[team_id], "Not found", 0)</f>
        <v>7</v>
      </c>
    </row>
    <row r="2213" spans="1:12" x14ac:dyDescent="0.3">
      <c r="A2213" t="s">
        <v>583</v>
      </c>
      <c r="B2213">
        <v>2024</v>
      </c>
      <c r="C2213" t="s">
        <v>23</v>
      </c>
      <c r="D2213">
        <v>345</v>
      </c>
      <c r="E2213">
        <v>205</v>
      </c>
      <c r="F2213">
        <v>36</v>
      </c>
      <c r="G2213">
        <v>18</v>
      </c>
      <c r="H2213">
        <v>10</v>
      </c>
      <c r="I2213">
        <v>11</v>
      </c>
      <c r="J2213">
        <v>168.29</v>
      </c>
      <c r="K2213">
        <v>34.5</v>
      </c>
      <c r="L2213">
        <f>_xlfn.XLOOKUP(C2213, dim_teams[team_name], dim_teams[team_id], "Not found", 0)</f>
        <v>7</v>
      </c>
    </row>
    <row r="2214" spans="1:12" x14ac:dyDescent="0.3">
      <c r="A2214" t="s">
        <v>583</v>
      </c>
      <c r="B2214">
        <v>2025</v>
      </c>
      <c r="C2214" t="s">
        <v>23</v>
      </c>
      <c r="D2214">
        <v>717</v>
      </c>
      <c r="E2214">
        <v>427</v>
      </c>
      <c r="F2214">
        <v>69</v>
      </c>
      <c r="G2214">
        <v>38</v>
      </c>
      <c r="H2214">
        <v>11</v>
      </c>
      <c r="I2214">
        <v>16</v>
      </c>
      <c r="J2214">
        <v>167.92</v>
      </c>
      <c r="K2214">
        <v>65.180000000000007</v>
      </c>
      <c r="L2214">
        <f>_xlfn.XLOOKUP(C2214, dim_teams[team_name], dim_teams[team_id], "Not found", 0)</f>
        <v>7</v>
      </c>
    </row>
    <row r="2215" spans="1:12" x14ac:dyDescent="0.3">
      <c r="A2215" t="s">
        <v>584</v>
      </c>
      <c r="B2215">
        <v>2008</v>
      </c>
      <c r="C2215" t="s">
        <v>12</v>
      </c>
      <c r="D2215">
        <v>47</v>
      </c>
      <c r="E2215">
        <v>49</v>
      </c>
      <c r="F2215">
        <v>1</v>
      </c>
      <c r="G2215">
        <v>3</v>
      </c>
      <c r="H2215">
        <v>5</v>
      </c>
      <c r="I2215">
        <v>6</v>
      </c>
      <c r="J2215">
        <v>95.92</v>
      </c>
      <c r="K2215">
        <v>9.4</v>
      </c>
      <c r="L2215">
        <f>_xlfn.XLOOKUP(C2215, dim_teams[team_name], dim_teams[team_id], "Not found", 0)</f>
        <v>8</v>
      </c>
    </row>
    <row r="2216" spans="1:12" x14ac:dyDescent="0.3">
      <c r="A2216" t="s">
        <v>584</v>
      </c>
      <c r="B2216">
        <v>2009</v>
      </c>
      <c r="C2216" t="s">
        <v>19</v>
      </c>
      <c r="D2216">
        <v>2</v>
      </c>
      <c r="E2216">
        <v>9</v>
      </c>
      <c r="F2216">
        <v>0</v>
      </c>
      <c r="G2216">
        <v>0</v>
      </c>
      <c r="H2216">
        <v>1</v>
      </c>
      <c r="I2216">
        <v>1</v>
      </c>
      <c r="J2216">
        <v>22.22</v>
      </c>
      <c r="K2216">
        <v>2</v>
      </c>
      <c r="L2216">
        <f>_xlfn.XLOOKUP(C2216, dim_teams[team_name], dim_teams[team_id], "Not found", 0)</f>
        <v>1</v>
      </c>
    </row>
    <row r="2217" spans="1:12" x14ac:dyDescent="0.3">
      <c r="A2217" t="s">
        <v>585</v>
      </c>
      <c r="B2217">
        <v>2024</v>
      </c>
      <c r="C2217" t="s">
        <v>17</v>
      </c>
      <c r="D2217">
        <v>33</v>
      </c>
      <c r="E2217">
        <v>19</v>
      </c>
      <c r="F2217">
        <v>3</v>
      </c>
      <c r="G2217">
        <v>2</v>
      </c>
      <c r="H2217">
        <v>2</v>
      </c>
      <c r="I2217">
        <v>3</v>
      </c>
      <c r="J2217">
        <v>173.68</v>
      </c>
      <c r="K2217">
        <v>16.5</v>
      </c>
      <c r="L2217">
        <f>_xlfn.XLOOKUP(C2217, dim_teams[team_name], dim_teams[team_id], "Not found", 0)</f>
        <v>5</v>
      </c>
    </row>
    <row r="2218" spans="1:12" x14ac:dyDescent="0.3">
      <c r="A2218" t="s">
        <v>585</v>
      </c>
      <c r="B2218">
        <v>2025</v>
      </c>
      <c r="C2218" t="s">
        <v>17</v>
      </c>
      <c r="D2218">
        <v>106</v>
      </c>
      <c r="E2218">
        <v>65</v>
      </c>
      <c r="F2218">
        <v>6</v>
      </c>
      <c r="G2218">
        <v>8</v>
      </c>
      <c r="H2218">
        <v>5</v>
      </c>
      <c r="I2218">
        <v>8</v>
      </c>
      <c r="J2218">
        <v>163.08000000000001</v>
      </c>
      <c r="K2218">
        <v>21.2</v>
      </c>
      <c r="L2218">
        <f>_xlfn.XLOOKUP(C2218, dim_teams[team_name], dim_teams[team_id], "Not found", 0)</f>
        <v>5</v>
      </c>
    </row>
    <row r="2219" spans="1:12" x14ac:dyDescent="0.3">
      <c r="A2219" t="s">
        <v>586</v>
      </c>
      <c r="B2219">
        <v>2009</v>
      </c>
      <c r="C2219" t="s">
        <v>25</v>
      </c>
      <c r="D2219">
        <v>20</v>
      </c>
      <c r="E2219">
        <v>15</v>
      </c>
      <c r="F2219">
        <v>3</v>
      </c>
      <c r="G2219">
        <v>0</v>
      </c>
      <c r="H2219">
        <v>2</v>
      </c>
      <c r="I2219">
        <v>2</v>
      </c>
      <c r="J2219">
        <v>133.33000000000001</v>
      </c>
      <c r="K2219">
        <v>10</v>
      </c>
      <c r="L2219">
        <f>_xlfn.XLOOKUP(C2219, dim_teams[team_name], dim_teams[team_id], "Not found", 0)</f>
        <v>3</v>
      </c>
    </row>
    <row r="2220" spans="1:12" x14ac:dyDescent="0.3">
      <c r="A2220" t="s">
        <v>586</v>
      </c>
      <c r="B2220">
        <v>2012</v>
      </c>
      <c r="C2220" t="s">
        <v>25</v>
      </c>
      <c r="D2220">
        <v>7</v>
      </c>
      <c r="E2220">
        <v>12</v>
      </c>
      <c r="F2220">
        <v>0</v>
      </c>
      <c r="G2220">
        <v>0</v>
      </c>
      <c r="H2220">
        <v>0</v>
      </c>
      <c r="I2220">
        <v>2</v>
      </c>
      <c r="J2220">
        <v>58.33</v>
      </c>
      <c r="L2220">
        <f>_xlfn.XLOOKUP(C2220, dim_teams[team_name], dim_teams[team_id], "Not found", 0)</f>
        <v>3</v>
      </c>
    </row>
    <row r="2221" spans="1:12" x14ac:dyDescent="0.3">
      <c r="A2221" t="s">
        <v>586</v>
      </c>
      <c r="B2221">
        <v>2016</v>
      </c>
      <c r="C2221" t="s">
        <v>66</v>
      </c>
      <c r="D2221">
        <v>1</v>
      </c>
      <c r="E2221">
        <v>2</v>
      </c>
      <c r="F2221">
        <v>0</v>
      </c>
      <c r="G2221">
        <v>0</v>
      </c>
      <c r="H2221">
        <v>0</v>
      </c>
      <c r="I2221">
        <v>1</v>
      </c>
      <c r="J2221">
        <v>50</v>
      </c>
      <c r="L2221">
        <f>_xlfn.XLOOKUP(C2221, dim_teams[team_name], dim_teams[team_id], "Not found", 0)</f>
        <v>13</v>
      </c>
    </row>
    <row r="2222" spans="1:12" x14ac:dyDescent="0.3">
      <c r="A2222" t="s">
        <v>587</v>
      </c>
      <c r="B2222">
        <v>2008</v>
      </c>
      <c r="C2222" t="s">
        <v>21</v>
      </c>
      <c r="D2222">
        <v>6</v>
      </c>
      <c r="E2222">
        <v>14</v>
      </c>
      <c r="F2222">
        <v>0</v>
      </c>
      <c r="G2222">
        <v>0</v>
      </c>
      <c r="H2222">
        <v>2</v>
      </c>
      <c r="I2222">
        <v>2</v>
      </c>
      <c r="J2222">
        <v>42.86</v>
      </c>
      <c r="K2222">
        <v>3</v>
      </c>
      <c r="L2222">
        <f>_xlfn.XLOOKUP(C2222, dim_teams[team_name], dim_teams[team_id], "Not found", 0)</f>
        <v>2</v>
      </c>
    </row>
    <row r="2223" spans="1:12" x14ac:dyDescent="0.3">
      <c r="A2223" t="s">
        <v>588</v>
      </c>
      <c r="B2223">
        <v>2008</v>
      </c>
      <c r="C2223" t="s">
        <v>12</v>
      </c>
      <c r="D2223">
        <v>112</v>
      </c>
      <c r="E2223">
        <v>122</v>
      </c>
      <c r="F2223">
        <v>9</v>
      </c>
      <c r="G2223">
        <v>2</v>
      </c>
      <c r="H2223">
        <v>6</v>
      </c>
      <c r="I2223">
        <v>8</v>
      </c>
      <c r="J2223">
        <v>91.8</v>
      </c>
      <c r="K2223">
        <v>18.670000000000002</v>
      </c>
      <c r="L2223">
        <f>_xlfn.XLOOKUP(C2223, dim_teams[team_name], dim_teams[team_id], "Not found", 0)</f>
        <v>8</v>
      </c>
    </row>
    <row r="2224" spans="1:12" x14ac:dyDescent="0.3">
      <c r="A2224" t="s">
        <v>588</v>
      </c>
      <c r="B2224">
        <v>2009</v>
      </c>
      <c r="C2224" t="s">
        <v>12</v>
      </c>
      <c r="D2224">
        <v>14</v>
      </c>
      <c r="E2224">
        <v>8</v>
      </c>
      <c r="F2224">
        <v>0</v>
      </c>
      <c r="G2224">
        <v>1</v>
      </c>
      <c r="H2224">
        <v>1</v>
      </c>
      <c r="I2224">
        <v>1</v>
      </c>
      <c r="J2224">
        <v>175</v>
      </c>
      <c r="K2224">
        <v>14</v>
      </c>
      <c r="L2224">
        <f>_xlfn.XLOOKUP(C2224, dim_teams[team_name], dim_teams[team_id], "Not found", 0)</f>
        <v>8</v>
      </c>
    </row>
    <row r="2225" spans="1:12" x14ac:dyDescent="0.3">
      <c r="A2225" t="s">
        <v>588</v>
      </c>
      <c r="B2225">
        <v>2011</v>
      </c>
      <c r="C2225" t="s">
        <v>25</v>
      </c>
      <c r="D2225">
        <v>5</v>
      </c>
      <c r="E2225">
        <v>2</v>
      </c>
      <c r="F2225">
        <v>1</v>
      </c>
      <c r="G2225">
        <v>0</v>
      </c>
      <c r="H2225">
        <v>0</v>
      </c>
      <c r="I2225">
        <v>1</v>
      </c>
      <c r="J2225">
        <v>250</v>
      </c>
      <c r="L2225">
        <f>_xlfn.XLOOKUP(C2225, dim_teams[team_name], dim_teams[team_id], "Not found", 0)</f>
        <v>3</v>
      </c>
    </row>
    <row r="2226" spans="1:12" x14ac:dyDescent="0.3">
      <c r="A2226" t="s">
        <v>589</v>
      </c>
      <c r="B2226">
        <v>2011</v>
      </c>
      <c r="C2226" t="s">
        <v>37</v>
      </c>
      <c r="D2226">
        <v>2</v>
      </c>
      <c r="E2226">
        <v>3</v>
      </c>
      <c r="F2226">
        <v>0</v>
      </c>
      <c r="G2226">
        <v>0</v>
      </c>
      <c r="H2226">
        <v>2</v>
      </c>
      <c r="I2226">
        <v>2</v>
      </c>
      <c r="J2226">
        <v>66.67</v>
      </c>
      <c r="K2226">
        <v>1</v>
      </c>
      <c r="L2226">
        <f>_xlfn.XLOOKUP(C2226, dim_teams[team_name], dim_teams[team_id], "Not found", 0)</f>
        <v>10</v>
      </c>
    </row>
    <row r="2227" spans="1:12" x14ac:dyDescent="0.3">
      <c r="A2227" t="s">
        <v>590</v>
      </c>
      <c r="B2227">
        <v>2008</v>
      </c>
      <c r="C2227" t="s">
        <v>19</v>
      </c>
      <c r="D2227">
        <v>349</v>
      </c>
      <c r="E2227">
        <v>305</v>
      </c>
      <c r="F2227">
        <v>33</v>
      </c>
      <c r="G2227">
        <v>15</v>
      </c>
      <c r="H2227">
        <v>14</v>
      </c>
      <c r="I2227">
        <v>13</v>
      </c>
      <c r="J2227">
        <v>114.43</v>
      </c>
      <c r="K2227">
        <v>24.93</v>
      </c>
      <c r="L2227">
        <f>_xlfn.XLOOKUP(C2227, dim_teams[team_name], dim_teams[team_id], "Not found", 0)</f>
        <v>1</v>
      </c>
    </row>
    <row r="2228" spans="1:12" x14ac:dyDescent="0.3">
      <c r="A2228" t="s">
        <v>590</v>
      </c>
      <c r="B2228">
        <v>2009</v>
      </c>
      <c r="C2228" t="s">
        <v>19</v>
      </c>
      <c r="D2228">
        <v>189</v>
      </c>
      <c r="E2228">
        <v>205</v>
      </c>
      <c r="F2228">
        <v>13</v>
      </c>
      <c r="G2228">
        <v>6</v>
      </c>
      <c r="H2228">
        <v>11</v>
      </c>
      <c r="I2228">
        <v>11</v>
      </c>
      <c r="J2228">
        <v>92.2</v>
      </c>
      <c r="K2228">
        <v>17.18</v>
      </c>
      <c r="L2228">
        <f>_xlfn.XLOOKUP(C2228, dim_teams[team_name], dim_teams[team_id], "Not found", 0)</f>
        <v>1</v>
      </c>
    </row>
    <row r="2229" spans="1:12" x14ac:dyDescent="0.3">
      <c r="A2229" t="s">
        <v>590</v>
      </c>
      <c r="B2229">
        <v>2010</v>
      </c>
      <c r="C2229" t="s">
        <v>19</v>
      </c>
      <c r="D2229">
        <v>493</v>
      </c>
      <c r="E2229">
        <v>418</v>
      </c>
      <c r="F2229">
        <v>58</v>
      </c>
      <c r="G2229">
        <v>15</v>
      </c>
      <c r="H2229">
        <v>13</v>
      </c>
      <c r="I2229">
        <v>14</v>
      </c>
      <c r="J2229">
        <v>117.94</v>
      </c>
      <c r="K2229">
        <v>37.92</v>
      </c>
      <c r="L2229">
        <f>_xlfn.XLOOKUP(C2229, dim_teams[team_name], dim_teams[team_id], "Not found", 0)</f>
        <v>1</v>
      </c>
    </row>
    <row r="2230" spans="1:12" x14ac:dyDescent="0.3">
      <c r="A2230" t="s">
        <v>590</v>
      </c>
      <c r="B2230">
        <v>2011</v>
      </c>
      <c r="C2230" t="s">
        <v>37</v>
      </c>
      <c r="D2230">
        <v>50</v>
      </c>
      <c r="E2230">
        <v>58</v>
      </c>
      <c r="F2230">
        <v>3</v>
      </c>
      <c r="G2230">
        <v>2</v>
      </c>
      <c r="H2230">
        <v>2</v>
      </c>
      <c r="I2230">
        <v>3</v>
      </c>
      <c r="J2230">
        <v>86.21</v>
      </c>
      <c r="K2230">
        <v>25</v>
      </c>
      <c r="L2230">
        <f>_xlfn.XLOOKUP(C2230, dim_teams[team_name], dim_teams[team_id], "Not found", 0)</f>
        <v>10</v>
      </c>
    </row>
    <row r="2231" spans="1:12" x14ac:dyDescent="0.3">
      <c r="A2231" t="s">
        <v>590</v>
      </c>
      <c r="B2231">
        <v>2012</v>
      </c>
      <c r="C2231" t="s">
        <v>37</v>
      </c>
      <c r="D2231">
        <v>268</v>
      </c>
      <c r="E2231">
        <v>271</v>
      </c>
      <c r="F2231">
        <v>30</v>
      </c>
      <c r="G2231">
        <v>4</v>
      </c>
      <c r="H2231">
        <v>14</v>
      </c>
      <c r="I2231">
        <v>15</v>
      </c>
      <c r="J2231">
        <v>98.89</v>
      </c>
      <c r="K2231">
        <v>19.14</v>
      </c>
      <c r="L2231">
        <f>_xlfn.XLOOKUP(C2231, dim_teams[team_name], dim_teams[team_id], "Not found", 0)</f>
        <v>10</v>
      </c>
    </row>
    <row r="2232" spans="1:12" x14ac:dyDescent="0.3">
      <c r="A2232" t="s">
        <v>591</v>
      </c>
      <c r="B2232">
        <v>2008</v>
      </c>
      <c r="C2232" t="s">
        <v>23</v>
      </c>
      <c r="D2232">
        <v>18</v>
      </c>
      <c r="E2232">
        <v>9</v>
      </c>
      <c r="F2232">
        <v>1</v>
      </c>
      <c r="G2232">
        <v>1</v>
      </c>
      <c r="H2232">
        <v>2</v>
      </c>
      <c r="I2232">
        <v>2</v>
      </c>
      <c r="J2232">
        <v>200</v>
      </c>
      <c r="K2232">
        <v>9</v>
      </c>
      <c r="L2232">
        <f>_xlfn.XLOOKUP(C2232, dim_teams[team_name], dim_teams[team_id], "Not found", 0)</f>
        <v>7</v>
      </c>
    </row>
    <row r="2233" spans="1:12" x14ac:dyDescent="0.3">
      <c r="A2233" t="s">
        <v>591</v>
      </c>
      <c r="B2233">
        <v>2009</v>
      </c>
      <c r="C2233" t="s">
        <v>17</v>
      </c>
      <c r="D2233">
        <v>6</v>
      </c>
      <c r="E2233">
        <v>8</v>
      </c>
      <c r="F2233">
        <v>1</v>
      </c>
      <c r="G2233">
        <v>0</v>
      </c>
      <c r="H2233">
        <v>1</v>
      </c>
      <c r="I2233">
        <v>1</v>
      </c>
      <c r="J2233">
        <v>75</v>
      </c>
      <c r="K2233">
        <v>6</v>
      </c>
      <c r="L2233">
        <f>_xlfn.XLOOKUP(C2233, dim_teams[team_name], dim_teams[team_id], "Not found", 0)</f>
        <v>5</v>
      </c>
    </row>
    <row r="2234" spans="1:12" x14ac:dyDescent="0.3">
      <c r="A2234" t="s">
        <v>591</v>
      </c>
      <c r="B2234">
        <v>2011</v>
      </c>
      <c r="C2234" t="s">
        <v>54</v>
      </c>
      <c r="D2234">
        <v>9</v>
      </c>
      <c r="E2234">
        <v>9</v>
      </c>
      <c r="F2234">
        <v>1</v>
      </c>
      <c r="G2234">
        <v>0</v>
      </c>
      <c r="H2234">
        <v>1</v>
      </c>
      <c r="I2234">
        <v>1</v>
      </c>
      <c r="J2234">
        <v>100</v>
      </c>
      <c r="K2234">
        <v>9</v>
      </c>
      <c r="L2234">
        <f>_xlfn.XLOOKUP(C2234, dim_teams[team_name], dim_teams[team_id], "Not found", 0)</f>
        <v>4</v>
      </c>
    </row>
    <row r="2235" spans="1:12" x14ac:dyDescent="0.3">
      <c r="A2235" t="s">
        <v>591</v>
      </c>
      <c r="B2235">
        <v>2012</v>
      </c>
      <c r="C2235" t="s">
        <v>54</v>
      </c>
      <c r="D2235">
        <v>66</v>
      </c>
      <c r="E2235">
        <v>62</v>
      </c>
      <c r="F2235">
        <v>7</v>
      </c>
      <c r="G2235">
        <v>1</v>
      </c>
      <c r="H2235">
        <v>3</v>
      </c>
      <c r="I2235">
        <v>4</v>
      </c>
      <c r="J2235">
        <v>106.45</v>
      </c>
      <c r="K2235">
        <v>22</v>
      </c>
      <c r="L2235">
        <f>_xlfn.XLOOKUP(C2235, dim_teams[team_name], dim_teams[team_id], "Not found", 0)</f>
        <v>4</v>
      </c>
    </row>
    <row r="2236" spans="1:12" x14ac:dyDescent="0.3">
      <c r="A2236" t="s">
        <v>592</v>
      </c>
      <c r="B2236">
        <v>2024</v>
      </c>
      <c r="C2236" t="s">
        <v>33</v>
      </c>
      <c r="D2236">
        <v>183</v>
      </c>
      <c r="E2236">
        <v>122</v>
      </c>
      <c r="F2236">
        <v>12</v>
      </c>
      <c r="G2236">
        <v>12</v>
      </c>
      <c r="H2236">
        <v>8</v>
      </c>
      <c r="I2236">
        <v>9</v>
      </c>
      <c r="J2236">
        <v>150</v>
      </c>
      <c r="K2236">
        <v>22.88</v>
      </c>
      <c r="L2236">
        <f>_xlfn.XLOOKUP(C2236, dim_teams[team_name], dim_teams[team_id], "Not found", 0)</f>
        <v>15</v>
      </c>
    </row>
    <row r="2237" spans="1:12" x14ac:dyDescent="0.3">
      <c r="A2237" t="s">
        <v>593</v>
      </c>
      <c r="B2237">
        <v>2019</v>
      </c>
      <c r="C2237" t="s">
        <v>23</v>
      </c>
      <c r="D2237">
        <v>15</v>
      </c>
      <c r="E2237">
        <v>13</v>
      </c>
      <c r="F2237">
        <v>1</v>
      </c>
      <c r="G2237">
        <v>1</v>
      </c>
      <c r="H2237">
        <v>1</v>
      </c>
      <c r="I2237">
        <v>1</v>
      </c>
      <c r="J2237">
        <v>115.38</v>
      </c>
      <c r="K2237">
        <v>15</v>
      </c>
      <c r="L2237">
        <f>_xlfn.XLOOKUP(C2237, dim_teams[team_name], dim_teams[team_id], "Not found", 0)</f>
        <v>7</v>
      </c>
    </row>
    <row r="2238" spans="1:12" x14ac:dyDescent="0.3">
      <c r="A2238" t="s">
        <v>594</v>
      </c>
      <c r="B2238">
        <v>2010</v>
      </c>
      <c r="C2238" t="s">
        <v>19</v>
      </c>
      <c r="D2238">
        <v>1</v>
      </c>
      <c r="E2238">
        <v>2</v>
      </c>
      <c r="F2238">
        <v>0</v>
      </c>
      <c r="G2238">
        <v>0</v>
      </c>
      <c r="H2238">
        <v>1</v>
      </c>
      <c r="I2238">
        <v>1</v>
      </c>
      <c r="J2238">
        <v>50</v>
      </c>
      <c r="K2238">
        <v>1</v>
      </c>
      <c r="L2238">
        <f>_xlfn.XLOOKUP(C2238, dim_teams[team_name], dim_teams[team_id], "Not found", 0)</f>
        <v>1</v>
      </c>
    </row>
    <row r="2239" spans="1:12" x14ac:dyDescent="0.3">
      <c r="A2239" t="s">
        <v>595</v>
      </c>
      <c r="B2239">
        <v>2008</v>
      </c>
      <c r="C2239" t="s">
        <v>54</v>
      </c>
      <c r="D2239">
        <v>616</v>
      </c>
      <c r="E2239">
        <v>440</v>
      </c>
      <c r="F2239">
        <v>59</v>
      </c>
      <c r="G2239">
        <v>26</v>
      </c>
      <c r="H2239">
        <v>10</v>
      </c>
      <c r="I2239">
        <v>11</v>
      </c>
      <c r="J2239">
        <v>140</v>
      </c>
      <c r="K2239">
        <v>61.6</v>
      </c>
      <c r="L2239">
        <f>_xlfn.XLOOKUP(C2239, dim_teams[team_name], dim_teams[team_id], "Not found", 0)</f>
        <v>4</v>
      </c>
    </row>
    <row r="2240" spans="1:12" x14ac:dyDescent="0.3">
      <c r="A2240" t="s">
        <v>595</v>
      </c>
      <c r="B2240">
        <v>2010</v>
      </c>
      <c r="C2240" t="s">
        <v>54</v>
      </c>
      <c r="D2240">
        <v>147</v>
      </c>
      <c r="E2240">
        <v>114</v>
      </c>
      <c r="F2240">
        <v>14</v>
      </c>
      <c r="G2240">
        <v>6</v>
      </c>
      <c r="H2240">
        <v>3</v>
      </c>
      <c r="I2240">
        <v>4</v>
      </c>
      <c r="J2240">
        <v>128.94999999999999</v>
      </c>
      <c r="K2240">
        <v>49</v>
      </c>
      <c r="L2240">
        <f>_xlfn.XLOOKUP(C2240, dim_teams[team_name], dim_teams[team_id], "Not found", 0)</f>
        <v>4</v>
      </c>
    </row>
    <row r="2241" spans="1:12" x14ac:dyDescent="0.3">
      <c r="A2241" t="s">
        <v>595</v>
      </c>
      <c r="B2241">
        <v>2011</v>
      </c>
      <c r="C2241" t="s">
        <v>54</v>
      </c>
      <c r="D2241">
        <v>504</v>
      </c>
      <c r="E2241">
        <v>343</v>
      </c>
      <c r="F2241">
        <v>52</v>
      </c>
      <c r="G2241">
        <v>20</v>
      </c>
      <c r="H2241">
        <v>12</v>
      </c>
      <c r="I2241">
        <v>13</v>
      </c>
      <c r="J2241">
        <v>146.94</v>
      </c>
      <c r="K2241">
        <v>42</v>
      </c>
      <c r="L2241">
        <f>_xlfn.XLOOKUP(C2241, dim_teams[team_name], dim_teams[team_id], "Not found", 0)</f>
        <v>4</v>
      </c>
    </row>
    <row r="2242" spans="1:12" x14ac:dyDescent="0.3">
      <c r="A2242" t="s">
        <v>595</v>
      </c>
      <c r="B2242">
        <v>2012</v>
      </c>
      <c r="C2242" t="s">
        <v>54</v>
      </c>
      <c r="D2242">
        <v>336</v>
      </c>
      <c r="E2242">
        <v>280</v>
      </c>
      <c r="F2242">
        <v>39</v>
      </c>
      <c r="G2242">
        <v>7</v>
      </c>
      <c r="H2242">
        <v>10</v>
      </c>
      <c r="I2242">
        <v>13</v>
      </c>
      <c r="J2242">
        <v>120</v>
      </c>
      <c r="K2242">
        <v>33.6</v>
      </c>
      <c r="L2242">
        <f>_xlfn.XLOOKUP(C2242, dim_teams[team_name], dim_teams[team_id], "Not found", 0)</f>
        <v>4</v>
      </c>
    </row>
    <row r="2243" spans="1:12" x14ac:dyDescent="0.3">
      <c r="A2243" t="s">
        <v>595</v>
      </c>
      <c r="B2243">
        <v>2013</v>
      </c>
      <c r="C2243" t="s">
        <v>54</v>
      </c>
      <c r="D2243">
        <v>300</v>
      </c>
      <c r="E2243">
        <v>249</v>
      </c>
      <c r="F2243">
        <v>39</v>
      </c>
      <c r="G2243">
        <v>4</v>
      </c>
      <c r="H2243">
        <v>8</v>
      </c>
      <c r="I2243">
        <v>8</v>
      </c>
      <c r="J2243">
        <v>120.48</v>
      </c>
      <c r="K2243">
        <v>37.5</v>
      </c>
      <c r="L2243">
        <f>_xlfn.XLOOKUP(C2243, dim_teams[team_name], dim_teams[team_id], "Not found", 0)</f>
        <v>4</v>
      </c>
    </row>
    <row r="2244" spans="1:12" x14ac:dyDescent="0.3">
      <c r="A2244" t="s">
        <v>595</v>
      </c>
      <c r="B2244">
        <v>2014</v>
      </c>
      <c r="C2244" t="s">
        <v>54</v>
      </c>
      <c r="D2244">
        <v>70</v>
      </c>
      <c r="E2244">
        <v>52</v>
      </c>
      <c r="F2244">
        <v>7</v>
      </c>
      <c r="G2244">
        <v>3</v>
      </c>
      <c r="H2244">
        <v>2</v>
      </c>
      <c r="I2244">
        <v>2</v>
      </c>
      <c r="J2244">
        <v>134.62</v>
      </c>
      <c r="K2244">
        <v>35</v>
      </c>
      <c r="L2244">
        <f>_xlfn.XLOOKUP(C2244, dim_teams[team_name], dim_teams[team_id], "Not found", 0)</f>
        <v>4</v>
      </c>
    </row>
    <row r="2245" spans="1:12" x14ac:dyDescent="0.3">
      <c r="A2245" t="s">
        <v>595</v>
      </c>
      <c r="B2245">
        <v>2015</v>
      </c>
      <c r="C2245" t="s">
        <v>54</v>
      </c>
      <c r="D2245">
        <v>93</v>
      </c>
      <c r="E2245">
        <v>62</v>
      </c>
      <c r="F2245">
        <v>10</v>
      </c>
      <c r="G2245">
        <v>3</v>
      </c>
      <c r="H2245">
        <v>6</v>
      </c>
      <c r="I2245">
        <v>4</v>
      </c>
      <c r="J2245">
        <v>150</v>
      </c>
      <c r="K2245">
        <v>15.5</v>
      </c>
      <c r="L2245">
        <f>_xlfn.XLOOKUP(C2245, dim_teams[team_name], dim_teams[team_id], "Not found", 0)</f>
        <v>4</v>
      </c>
    </row>
    <row r="2246" spans="1:12" x14ac:dyDescent="0.3">
      <c r="A2246" t="s">
        <v>595</v>
      </c>
      <c r="B2246">
        <v>2016</v>
      </c>
      <c r="C2246" t="s">
        <v>54</v>
      </c>
      <c r="D2246">
        <v>159</v>
      </c>
      <c r="E2246">
        <v>134</v>
      </c>
      <c r="F2246">
        <v>13</v>
      </c>
      <c r="G2246">
        <v>4</v>
      </c>
      <c r="H2246">
        <v>6</v>
      </c>
      <c r="I2246">
        <v>6</v>
      </c>
      <c r="J2246">
        <v>118.66</v>
      </c>
      <c r="K2246">
        <v>26.5</v>
      </c>
      <c r="L2246">
        <f>_xlfn.XLOOKUP(C2246, dim_teams[team_name], dim_teams[team_id], "Not found", 0)</f>
        <v>4</v>
      </c>
    </row>
    <row r="2247" spans="1:12" x14ac:dyDescent="0.3">
      <c r="A2247" t="s">
        <v>595</v>
      </c>
      <c r="B2247">
        <v>2017</v>
      </c>
      <c r="C2247" t="s">
        <v>54</v>
      </c>
      <c r="D2247">
        <v>264</v>
      </c>
      <c r="E2247">
        <v>192</v>
      </c>
      <c r="F2247">
        <v>36</v>
      </c>
      <c r="G2247">
        <v>5</v>
      </c>
      <c r="H2247">
        <v>8</v>
      </c>
      <c r="I2247">
        <v>8</v>
      </c>
      <c r="J2247">
        <v>137.5</v>
      </c>
      <c r="K2247">
        <v>33</v>
      </c>
      <c r="L2247">
        <f>_xlfn.XLOOKUP(C2247, dim_teams[team_name], dim_teams[team_id], "Not found", 0)</f>
        <v>4</v>
      </c>
    </row>
    <row r="2248" spans="1:12" x14ac:dyDescent="0.3">
      <c r="A2248" t="s">
        <v>596</v>
      </c>
      <c r="B2248">
        <v>2019</v>
      </c>
      <c r="C2248" t="s">
        <v>33</v>
      </c>
      <c r="D2248">
        <v>73</v>
      </c>
      <c r="E2248">
        <v>54</v>
      </c>
      <c r="F2248">
        <v>2</v>
      </c>
      <c r="G2248">
        <v>7</v>
      </c>
      <c r="H2248">
        <v>5</v>
      </c>
      <c r="I2248">
        <v>7</v>
      </c>
      <c r="J2248">
        <v>135.19</v>
      </c>
      <c r="K2248">
        <v>14.6</v>
      </c>
      <c r="L2248">
        <f>_xlfn.XLOOKUP(C2248, dim_teams[team_name], dim_teams[team_id], "Not found", 0)</f>
        <v>15</v>
      </c>
    </row>
    <row r="2249" spans="1:12" x14ac:dyDescent="0.3">
      <c r="A2249" t="s">
        <v>596</v>
      </c>
      <c r="B2249">
        <v>2022</v>
      </c>
      <c r="C2249" t="s">
        <v>21</v>
      </c>
      <c r="D2249">
        <v>33</v>
      </c>
      <c r="E2249">
        <v>50</v>
      </c>
      <c r="F2249">
        <v>1</v>
      </c>
      <c r="G2249">
        <v>1</v>
      </c>
      <c r="H2249">
        <v>2</v>
      </c>
      <c r="I2249">
        <v>2</v>
      </c>
      <c r="J2249">
        <v>66</v>
      </c>
      <c r="K2249">
        <v>16.5</v>
      </c>
      <c r="L2249">
        <f>_xlfn.XLOOKUP(C2249, dim_teams[team_name], dim_teams[team_id], "Not found", 0)</f>
        <v>2</v>
      </c>
    </row>
    <row r="2250" spans="1:12" x14ac:dyDescent="0.3">
      <c r="A2250" t="s">
        <v>596</v>
      </c>
      <c r="B2250">
        <v>2025</v>
      </c>
      <c r="C2250" t="s">
        <v>29</v>
      </c>
      <c r="D2250">
        <v>291</v>
      </c>
      <c r="E2250">
        <v>184</v>
      </c>
      <c r="F2250">
        <v>22</v>
      </c>
      <c r="G2250">
        <v>18</v>
      </c>
      <c r="H2250">
        <v>11</v>
      </c>
      <c r="I2250">
        <v>11</v>
      </c>
      <c r="J2250">
        <v>158.15</v>
      </c>
      <c r="K2250">
        <v>26.45</v>
      </c>
      <c r="L2250">
        <f>_xlfn.XLOOKUP(C2250, dim_teams[team_name], dim_teams[team_id], "Not found", 0)</f>
        <v>18</v>
      </c>
    </row>
    <row r="2251" spans="1:12" x14ac:dyDescent="0.3">
      <c r="A2251" t="s">
        <v>597</v>
      </c>
      <c r="B2251">
        <v>2024</v>
      </c>
      <c r="C2251" t="s">
        <v>29</v>
      </c>
      <c r="D2251">
        <v>6</v>
      </c>
      <c r="E2251">
        <v>7</v>
      </c>
      <c r="F2251">
        <v>1</v>
      </c>
      <c r="G2251">
        <v>0</v>
      </c>
      <c r="H2251">
        <v>0</v>
      </c>
      <c r="I2251">
        <v>3</v>
      </c>
      <c r="J2251">
        <v>85.71</v>
      </c>
      <c r="L2251">
        <f>_xlfn.XLOOKUP(C2251, dim_teams[team_name], dim_teams[team_id], "Not found", 0)</f>
        <v>18</v>
      </c>
    </row>
    <row r="2252" spans="1:12" x14ac:dyDescent="0.3">
      <c r="A2252" t="s">
        <v>597</v>
      </c>
      <c r="B2252">
        <v>2025</v>
      </c>
      <c r="C2252" t="s">
        <v>19</v>
      </c>
      <c r="D2252">
        <v>2</v>
      </c>
      <c r="E2252">
        <v>4</v>
      </c>
      <c r="F2252">
        <v>0</v>
      </c>
      <c r="G2252">
        <v>0</v>
      </c>
      <c r="H2252">
        <v>0</v>
      </c>
      <c r="I2252">
        <v>2</v>
      </c>
      <c r="J2252">
        <v>50</v>
      </c>
      <c r="L2252">
        <f>_xlfn.XLOOKUP(C2252, dim_teams[team_name], dim_teams[team_id], "Not found", 0)</f>
        <v>1</v>
      </c>
    </row>
    <row r="2253" spans="1:12" x14ac:dyDescent="0.3">
      <c r="A2253" t="s">
        <v>598</v>
      </c>
      <c r="B2253">
        <v>2010</v>
      </c>
      <c r="C2253" t="s">
        <v>54</v>
      </c>
      <c r="D2253">
        <v>1</v>
      </c>
      <c r="E2253">
        <v>2</v>
      </c>
      <c r="F2253">
        <v>0</v>
      </c>
      <c r="G2253">
        <v>0</v>
      </c>
      <c r="H2253">
        <v>1</v>
      </c>
      <c r="I2253">
        <v>2</v>
      </c>
      <c r="J2253">
        <v>50</v>
      </c>
      <c r="K2253">
        <v>1</v>
      </c>
      <c r="L2253">
        <f>_xlfn.XLOOKUP(C2253, dim_teams[team_name], dim_teams[team_id], "Not found", 0)</f>
        <v>4</v>
      </c>
    </row>
    <row r="2254" spans="1:12" x14ac:dyDescent="0.3">
      <c r="A2254" t="s">
        <v>598</v>
      </c>
      <c r="B2254">
        <v>2011</v>
      </c>
      <c r="C2254" t="s">
        <v>54</v>
      </c>
      <c r="D2254">
        <v>4</v>
      </c>
      <c r="E2254">
        <v>3</v>
      </c>
      <c r="F2254">
        <v>0</v>
      </c>
      <c r="G2254">
        <v>0</v>
      </c>
      <c r="H2254">
        <v>0</v>
      </c>
      <c r="I2254">
        <v>2</v>
      </c>
      <c r="J2254">
        <v>133.33000000000001</v>
      </c>
      <c r="L2254">
        <f>_xlfn.XLOOKUP(C2254, dim_teams[team_name], dim_teams[team_id], "Not found", 0)</f>
        <v>4</v>
      </c>
    </row>
    <row r="2255" spans="1:12" x14ac:dyDescent="0.3">
      <c r="A2255" t="s">
        <v>599</v>
      </c>
      <c r="B2255">
        <v>2008</v>
      </c>
      <c r="C2255" t="s">
        <v>25</v>
      </c>
      <c r="D2255">
        <v>421</v>
      </c>
      <c r="E2255">
        <v>294</v>
      </c>
      <c r="F2255">
        <v>35</v>
      </c>
      <c r="G2255">
        <v>18</v>
      </c>
      <c r="H2255">
        <v>9</v>
      </c>
      <c r="I2255">
        <v>14</v>
      </c>
      <c r="J2255">
        <v>143.19999999999999</v>
      </c>
      <c r="K2255">
        <v>46.78</v>
      </c>
      <c r="L2255">
        <f>_xlfn.XLOOKUP(C2255, dim_teams[team_name], dim_teams[team_id], "Not found", 0)</f>
        <v>3</v>
      </c>
    </row>
    <row r="2256" spans="1:12" x14ac:dyDescent="0.3">
      <c r="A2256" t="s">
        <v>599</v>
      </c>
      <c r="B2256">
        <v>2009</v>
      </c>
      <c r="C2256" t="s">
        <v>25</v>
      </c>
      <c r="D2256">
        <v>434</v>
      </c>
      <c r="E2256">
        <v>306</v>
      </c>
      <c r="F2256">
        <v>37</v>
      </c>
      <c r="G2256">
        <v>21</v>
      </c>
      <c r="H2256">
        <v>15</v>
      </c>
      <c r="I2256">
        <v>14</v>
      </c>
      <c r="J2256">
        <v>141.83000000000001</v>
      </c>
      <c r="K2256">
        <v>28.93</v>
      </c>
      <c r="L2256">
        <f>_xlfn.XLOOKUP(C2256, dim_teams[team_name], dim_teams[team_id], "Not found", 0)</f>
        <v>3</v>
      </c>
    </row>
    <row r="2257" spans="1:12" x14ac:dyDescent="0.3">
      <c r="A2257" t="s">
        <v>599</v>
      </c>
      <c r="B2257">
        <v>2010</v>
      </c>
      <c r="C2257" t="s">
        <v>25</v>
      </c>
      <c r="D2257">
        <v>528</v>
      </c>
      <c r="E2257">
        <v>364</v>
      </c>
      <c r="F2257">
        <v>45</v>
      </c>
      <c r="G2257">
        <v>23</v>
      </c>
      <c r="H2257">
        <v>13</v>
      </c>
      <c r="I2257">
        <v>16</v>
      </c>
      <c r="J2257">
        <v>145.05000000000001</v>
      </c>
      <c r="K2257">
        <v>40.619999999999997</v>
      </c>
      <c r="L2257">
        <f>_xlfn.XLOOKUP(C2257, dim_teams[team_name], dim_teams[team_id], "Not found", 0)</f>
        <v>3</v>
      </c>
    </row>
    <row r="2258" spans="1:12" x14ac:dyDescent="0.3">
      <c r="A2258" t="s">
        <v>599</v>
      </c>
      <c r="B2258">
        <v>2011</v>
      </c>
      <c r="C2258" t="s">
        <v>25</v>
      </c>
      <c r="D2258">
        <v>438</v>
      </c>
      <c r="E2258">
        <v>323</v>
      </c>
      <c r="F2258">
        <v>36</v>
      </c>
      <c r="G2258">
        <v>17</v>
      </c>
      <c r="H2258">
        <v>14</v>
      </c>
      <c r="I2258">
        <v>16</v>
      </c>
      <c r="J2258">
        <v>135.6</v>
      </c>
      <c r="K2258">
        <v>31.29</v>
      </c>
      <c r="L2258">
        <f>_xlfn.XLOOKUP(C2258, dim_teams[team_name], dim_teams[team_id], "Not found", 0)</f>
        <v>3</v>
      </c>
    </row>
    <row r="2259" spans="1:12" x14ac:dyDescent="0.3">
      <c r="A2259" t="s">
        <v>599</v>
      </c>
      <c r="B2259">
        <v>2012</v>
      </c>
      <c r="C2259" t="s">
        <v>25</v>
      </c>
      <c r="D2259">
        <v>441</v>
      </c>
      <c r="E2259">
        <v>324</v>
      </c>
      <c r="F2259">
        <v>36</v>
      </c>
      <c r="G2259">
        <v>19</v>
      </c>
      <c r="H2259">
        <v>17</v>
      </c>
      <c r="I2259">
        <v>18</v>
      </c>
      <c r="J2259">
        <v>136.11000000000001</v>
      </c>
      <c r="K2259">
        <v>25.94</v>
      </c>
      <c r="L2259">
        <f>_xlfn.XLOOKUP(C2259, dim_teams[team_name], dim_teams[team_id], "Not found", 0)</f>
        <v>3</v>
      </c>
    </row>
    <row r="2260" spans="1:12" x14ac:dyDescent="0.3">
      <c r="A2260" t="s">
        <v>599</v>
      </c>
      <c r="B2260">
        <v>2013</v>
      </c>
      <c r="C2260" t="s">
        <v>25</v>
      </c>
      <c r="D2260">
        <v>548</v>
      </c>
      <c r="E2260">
        <v>364</v>
      </c>
      <c r="F2260">
        <v>50</v>
      </c>
      <c r="G2260">
        <v>18</v>
      </c>
      <c r="H2260">
        <v>12</v>
      </c>
      <c r="I2260">
        <v>17</v>
      </c>
      <c r="J2260">
        <v>150.55000000000001</v>
      </c>
      <c r="K2260">
        <v>45.67</v>
      </c>
      <c r="L2260">
        <f>_xlfn.XLOOKUP(C2260, dim_teams[team_name], dim_teams[team_id], "Not found", 0)</f>
        <v>3</v>
      </c>
    </row>
    <row r="2261" spans="1:12" x14ac:dyDescent="0.3">
      <c r="A2261" t="s">
        <v>599</v>
      </c>
      <c r="B2261">
        <v>2014</v>
      </c>
      <c r="C2261" t="s">
        <v>25</v>
      </c>
      <c r="D2261">
        <v>523</v>
      </c>
      <c r="E2261">
        <v>357</v>
      </c>
      <c r="F2261">
        <v>51</v>
      </c>
      <c r="G2261">
        <v>19</v>
      </c>
      <c r="H2261">
        <v>12</v>
      </c>
      <c r="I2261">
        <v>16</v>
      </c>
      <c r="J2261">
        <v>146.5</v>
      </c>
      <c r="K2261">
        <v>43.58</v>
      </c>
      <c r="L2261">
        <f>_xlfn.XLOOKUP(C2261, dim_teams[team_name], dim_teams[team_id], "Not found", 0)</f>
        <v>3</v>
      </c>
    </row>
    <row r="2262" spans="1:12" x14ac:dyDescent="0.3">
      <c r="A2262" t="s">
        <v>599</v>
      </c>
      <c r="B2262">
        <v>2015</v>
      </c>
      <c r="C2262" t="s">
        <v>25</v>
      </c>
      <c r="D2262">
        <v>374</v>
      </c>
      <c r="E2262">
        <v>303</v>
      </c>
      <c r="F2262">
        <v>31</v>
      </c>
      <c r="G2262">
        <v>16</v>
      </c>
      <c r="H2262">
        <v>15</v>
      </c>
      <c r="I2262">
        <v>17</v>
      </c>
      <c r="J2262">
        <v>123.43</v>
      </c>
      <c r="K2262">
        <v>24.93</v>
      </c>
      <c r="L2262">
        <f>_xlfn.XLOOKUP(C2262, dim_teams[team_name], dim_teams[team_id], "Not found", 0)</f>
        <v>3</v>
      </c>
    </row>
    <row r="2263" spans="1:12" x14ac:dyDescent="0.3">
      <c r="A2263" t="s">
        <v>599</v>
      </c>
      <c r="B2263">
        <v>2016</v>
      </c>
      <c r="C2263" t="s">
        <v>66</v>
      </c>
      <c r="D2263">
        <v>399</v>
      </c>
      <c r="E2263">
        <v>312</v>
      </c>
      <c r="F2263">
        <v>39</v>
      </c>
      <c r="G2263">
        <v>10</v>
      </c>
      <c r="H2263">
        <v>15</v>
      </c>
      <c r="I2263">
        <v>15</v>
      </c>
      <c r="J2263">
        <v>127.88</v>
      </c>
      <c r="K2263">
        <v>26.6</v>
      </c>
      <c r="L2263">
        <f>_xlfn.XLOOKUP(C2263, dim_teams[team_name], dim_teams[team_id], "Not found", 0)</f>
        <v>13</v>
      </c>
    </row>
    <row r="2264" spans="1:12" x14ac:dyDescent="0.3">
      <c r="A2264" t="s">
        <v>599</v>
      </c>
      <c r="B2264">
        <v>2017</v>
      </c>
      <c r="C2264" t="s">
        <v>66</v>
      </c>
      <c r="D2264">
        <v>442</v>
      </c>
      <c r="E2264">
        <v>304</v>
      </c>
      <c r="F2264">
        <v>42</v>
      </c>
      <c r="G2264">
        <v>13</v>
      </c>
      <c r="H2264">
        <v>11</v>
      </c>
      <c r="I2264">
        <v>14</v>
      </c>
      <c r="J2264">
        <v>145.38999999999999</v>
      </c>
      <c r="K2264">
        <v>40.18</v>
      </c>
      <c r="L2264">
        <f>_xlfn.XLOOKUP(C2264, dim_teams[team_name], dim_teams[team_id], "Not found", 0)</f>
        <v>13</v>
      </c>
    </row>
    <row r="2265" spans="1:12" x14ac:dyDescent="0.3">
      <c r="A2265" t="s">
        <v>599</v>
      </c>
      <c r="B2265">
        <v>2018</v>
      </c>
      <c r="C2265" t="s">
        <v>25</v>
      </c>
      <c r="D2265">
        <v>445</v>
      </c>
      <c r="E2265">
        <v>335</v>
      </c>
      <c r="F2265">
        <v>46</v>
      </c>
      <c r="G2265">
        <v>12</v>
      </c>
      <c r="H2265">
        <v>12</v>
      </c>
      <c r="I2265">
        <v>15</v>
      </c>
      <c r="J2265">
        <v>132.84</v>
      </c>
      <c r="K2265">
        <v>37.08</v>
      </c>
      <c r="L2265">
        <f>_xlfn.XLOOKUP(C2265, dim_teams[team_name], dim_teams[team_id], "Not found", 0)</f>
        <v>3</v>
      </c>
    </row>
    <row r="2266" spans="1:12" x14ac:dyDescent="0.3">
      <c r="A2266" t="s">
        <v>599</v>
      </c>
      <c r="B2266">
        <v>2019</v>
      </c>
      <c r="C2266" t="s">
        <v>25</v>
      </c>
      <c r="D2266">
        <v>383</v>
      </c>
      <c r="E2266">
        <v>312</v>
      </c>
      <c r="F2266">
        <v>45</v>
      </c>
      <c r="G2266">
        <v>9</v>
      </c>
      <c r="H2266">
        <v>16</v>
      </c>
      <c r="I2266">
        <v>17</v>
      </c>
      <c r="J2266">
        <v>122.76</v>
      </c>
      <c r="K2266">
        <v>23.94</v>
      </c>
      <c r="L2266">
        <f>_xlfn.XLOOKUP(C2266, dim_teams[team_name], dim_teams[team_id], "Not found", 0)</f>
        <v>3</v>
      </c>
    </row>
    <row r="2267" spans="1:12" x14ac:dyDescent="0.3">
      <c r="A2267" t="s">
        <v>599</v>
      </c>
      <c r="B2267">
        <v>2021</v>
      </c>
      <c r="C2267" t="s">
        <v>25</v>
      </c>
      <c r="D2267">
        <v>160</v>
      </c>
      <c r="E2267">
        <v>127</v>
      </c>
      <c r="F2267">
        <v>13</v>
      </c>
      <c r="G2267">
        <v>9</v>
      </c>
      <c r="H2267">
        <v>7</v>
      </c>
      <c r="I2267">
        <v>11</v>
      </c>
      <c r="J2267">
        <v>125.98</v>
      </c>
      <c r="K2267">
        <v>22.86</v>
      </c>
      <c r="L2267">
        <f>_xlfn.XLOOKUP(C2267, dim_teams[team_name], dim_teams[team_id], "Not found", 0)</f>
        <v>3</v>
      </c>
    </row>
    <row r="2268" spans="1:12" x14ac:dyDescent="0.3">
      <c r="A2268" t="s">
        <v>600</v>
      </c>
      <c r="B2268">
        <v>2025</v>
      </c>
      <c r="C2268" t="s">
        <v>25</v>
      </c>
      <c r="D2268">
        <v>71</v>
      </c>
      <c r="E2268">
        <v>63</v>
      </c>
      <c r="F2268">
        <v>9</v>
      </c>
      <c r="G2268">
        <v>2</v>
      </c>
      <c r="H2268">
        <v>5</v>
      </c>
      <c r="I2268">
        <v>5</v>
      </c>
      <c r="J2268">
        <v>112.7</v>
      </c>
      <c r="K2268">
        <v>14.2</v>
      </c>
      <c r="L2268">
        <f>_xlfn.XLOOKUP(C2268, dim_teams[team_name], dim_teams[team_id], "Not found", 0)</f>
        <v>3</v>
      </c>
    </row>
    <row r="2269" spans="1:12" x14ac:dyDescent="0.3">
      <c r="A2269" t="s">
        <v>601</v>
      </c>
      <c r="B2269">
        <v>2008</v>
      </c>
      <c r="C2269" t="s">
        <v>17</v>
      </c>
      <c r="D2269">
        <v>5</v>
      </c>
      <c r="E2269">
        <v>12</v>
      </c>
      <c r="F2269">
        <v>0</v>
      </c>
      <c r="G2269">
        <v>0</v>
      </c>
      <c r="H2269">
        <v>1</v>
      </c>
      <c r="I2269">
        <v>3</v>
      </c>
      <c r="J2269">
        <v>41.67</v>
      </c>
      <c r="K2269">
        <v>5</v>
      </c>
      <c r="L2269">
        <f>_xlfn.XLOOKUP(C2269, dim_teams[team_name], dim_teams[team_id], "Not found", 0)</f>
        <v>5</v>
      </c>
    </row>
    <row r="2270" spans="1:12" x14ac:dyDescent="0.3">
      <c r="A2270" t="s">
        <v>601</v>
      </c>
      <c r="B2270">
        <v>2009</v>
      </c>
      <c r="C2270" t="s">
        <v>17</v>
      </c>
      <c r="D2270">
        <v>9</v>
      </c>
      <c r="E2270">
        <v>17</v>
      </c>
      <c r="F2270">
        <v>0</v>
      </c>
      <c r="G2270">
        <v>0</v>
      </c>
      <c r="H2270">
        <v>2</v>
      </c>
      <c r="I2270">
        <v>3</v>
      </c>
      <c r="J2270">
        <v>52.94</v>
      </c>
      <c r="K2270">
        <v>4.5</v>
      </c>
      <c r="L2270">
        <f>_xlfn.XLOOKUP(C2270, dim_teams[team_name], dim_teams[team_id], "Not found", 0)</f>
        <v>5</v>
      </c>
    </row>
    <row r="2271" spans="1:12" x14ac:dyDescent="0.3">
      <c r="A2271" t="s">
        <v>601</v>
      </c>
      <c r="B2271">
        <v>2010</v>
      </c>
      <c r="C2271" t="s">
        <v>17</v>
      </c>
      <c r="D2271">
        <v>20</v>
      </c>
      <c r="E2271">
        <v>14</v>
      </c>
      <c r="F2271">
        <v>3</v>
      </c>
      <c r="G2271">
        <v>1</v>
      </c>
      <c r="H2271">
        <v>3</v>
      </c>
      <c r="I2271">
        <v>4</v>
      </c>
      <c r="J2271">
        <v>142.86000000000001</v>
      </c>
      <c r="K2271">
        <v>6.67</v>
      </c>
      <c r="L2271">
        <f>_xlfn.XLOOKUP(C2271, dim_teams[team_name], dim_teams[team_id], "Not found", 0)</f>
        <v>5</v>
      </c>
    </row>
    <row r="2272" spans="1:12" x14ac:dyDescent="0.3">
      <c r="A2272" t="s">
        <v>601</v>
      </c>
      <c r="B2272">
        <v>2011</v>
      </c>
      <c r="C2272" t="s">
        <v>17</v>
      </c>
      <c r="D2272">
        <v>0</v>
      </c>
      <c r="E2272">
        <v>2</v>
      </c>
      <c r="F2272">
        <v>0</v>
      </c>
      <c r="G2272">
        <v>0</v>
      </c>
      <c r="H2272">
        <v>1</v>
      </c>
      <c r="I2272">
        <v>1</v>
      </c>
      <c r="J2272">
        <v>0</v>
      </c>
      <c r="K2272">
        <v>0</v>
      </c>
      <c r="L2272">
        <f>_xlfn.XLOOKUP(C2272, dim_teams[team_name], dim_teams[team_id], "Not found", 0)</f>
        <v>5</v>
      </c>
    </row>
    <row r="2273" spans="1:12" x14ac:dyDescent="0.3">
      <c r="A2273" t="s">
        <v>601</v>
      </c>
      <c r="B2273">
        <v>2012</v>
      </c>
      <c r="C2273" t="s">
        <v>17</v>
      </c>
      <c r="D2273">
        <v>5</v>
      </c>
      <c r="E2273">
        <v>6</v>
      </c>
      <c r="F2273">
        <v>0</v>
      </c>
      <c r="G2273">
        <v>0</v>
      </c>
      <c r="H2273">
        <v>0</v>
      </c>
      <c r="I2273">
        <v>1</v>
      </c>
      <c r="J2273">
        <v>83.33</v>
      </c>
      <c r="L2273">
        <f>_xlfn.XLOOKUP(C2273, dim_teams[team_name], dim_teams[team_id], "Not found", 0)</f>
        <v>5</v>
      </c>
    </row>
    <row r="2274" spans="1:12" x14ac:dyDescent="0.3">
      <c r="A2274" t="s">
        <v>601</v>
      </c>
      <c r="B2274">
        <v>2013</v>
      </c>
      <c r="C2274" t="s">
        <v>17</v>
      </c>
      <c r="D2274">
        <v>3</v>
      </c>
      <c r="E2274">
        <v>7</v>
      </c>
      <c r="F2274">
        <v>0</v>
      </c>
      <c r="G2274">
        <v>0</v>
      </c>
      <c r="H2274">
        <v>1</v>
      </c>
      <c r="I2274">
        <v>2</v>
      </c>
      <c r="J2274">
        <v>42.86</v>
      </c>
      <c r="K2274">
        <v>3</v>
      </c>
      <c r="L2274">
        <f>_xlfn.XLOOKUP(C2274, dim_teams[team_name], dim_teams[team_id], "Not found", 0)</f>
        <v>5</v>
      </c>
    </row>
    <row r="2275" spans="1:12" x14ac:dyDescent="0.3">
      <c r="A2275" t="s">
        <v>602</v>
      </c>
      <c r="B2275">
        <v>2008</v>
      </c>
      <c r="C2275" t="s">
        <v>17</v>
      </c>
      <c r="D2275">
        <v>70</v>
      </c>
      <c r="E2275">
        <v>58</v>
      </c>
      <c r="F2275">
        <v>7</v>
      </c>
      <c r="G2275">
        <v>2</v>
      </c>
      <c r="H2275">
        <v>7</v>
      </c>
      <c r="I2275">
        <v>7</v>
      </c>
      <c r="J2275">
        <v>120.69</v>
      </c>
      <c r="K2275">
        <v>10</v>
      </c>
      <c r="L2275">
        <f>_xlfn.XLOOKUP(C2275, dim_teams[team_name], dim_teams[team_id], "Not found", 0)</f>
        <v>5</v>
      </c>
    </row>
    <row r="2276" spans="1:12" x14ac:dyDescent="0.3">
      <c r="A2276" t="s">
        <v>602</v>
      </c>
      <c r="B2276">
        <v>2009</v>
      </c>
      <c r="C2276" t="s">
        <v>17</v>
      </c>
      <c r="D2276">
        <v>108</v>
      </c>
      <c r="E2276">
        <v>116</v>
      </c>
      <c r="F2276">
        <v>6</v>
      </c>
      <c r="G2276">
        <v>4</v>
      </c>
      <c r="H2276">
        <v>7</v>
      </c>
      <c r="I2276">
        <v>10</v>
      </c>
      <c r="J2276">
        <v>93.1</v>
      </c>
      <c r="K2276">
        <v>15.43</v>
      </c>
      <c r="L2276">
        <f>_xlfn.XLOOKUP(C2276, dim_teams[team_name], dim_teams[team_id], "Not found", 0)</f>
        <v>5</v>
      </c>
    </row>
    <row r="2277" spans="1:12" x14ac:dyDescent="0.3">
      <c r="A2277" t="s">
        <v>602</v>
      </c>
      <c r="B2277">
        <v>2010</v>
      </c>
      <c r="C2277" t="s">
        <v>17</v>
      </c>
      <c r="D2277">
        <v>10</v>
      </c>
      <c r="E2277">
        <v>19</v>
      </c>
      <c r="F2277">
        <v>0</v>
      </c>
      <c r="G2277">
        <v>0</v>
      </c>
      <c r="H2277">
        <v>3</v>
      </c>
      <c r="I2277">
        <v>6</v>
      </c>
      <c r="J2277">
        <v>52.63</v>
      </c>
      <c r="K2277">
        <v>3.33</v>
      </c>
      <c r="L2277">
        <f>_xlfn.XLOOKUP(C2277, dim_teams[team_name], dim_teams[team_id], "Not found", 0)</f>
        <v>5</v>
      </c>
    </row>
    <row r="2278" spans="1:12" x14ac:dyDescent="0.3">
      <c r="A2278" t="s">
        <v>602</v>
      </c>
      <c r="B2278">
        <v>2011</v>
      </c>
      <c r="C2278" t="s">
        <v>17</v>
      </c>
      <c r="D2278">
        <v>10</v>
      </c>
      <c r="E2278">
        <v>20</v>
      </c>
      <c r="F2278">
        <v>1</v>
      </c>
      <c r="G2278">
        <v>0</v>
      </c>
      <c r="H2278">
        <v>2</v>
      </c>
      <c r="I2278">
        <v>4</v>
      </c>
      <c r="J2278">
        <v>50</v>
      </c>
      <c r="K2278">
        <v>5</v>
      </c>
      <c r="L2278">
        <f>_xlfn.XLOOKUP(C2278, dim_teams[team_name], dim_teams[team_id], "Not found", 0)</f>
        <v>5</v>
      </c>
    </row>
    <row r="2279" spans="1:12" x14ac:dyDescent="0.3">
      <c r="A2279" t="s">
        <v>603</v>
      </c>
      <c r="B2279">
        <v>2009</v>
      </c>
      <c r="C2279" t="s">
        <v>23</v>
      </c>
      <c r="D2279">
        <v>0</v>
      </c>
      <c r="E2279">
        <v>1</v>
      </c>
      <c r="F2279">
        <v>0</v>
      </c>
      <c r="G2279">
        <v>0</v>
      </c>
      <c r="H2279">
        <v>1</v>
      </c>
      <c r="I2279">
        <v>1</v>
      </c>
      <c r="J2279">
        <v>0</v>
      </c>
      <c r="K2279">
        <v>0</v>
      </c>
      <c r="L2279">
        <f>_xlfn.XLOOKUP(C2279, dim_teams[team_name], dim_teams[team_id], "Not found", 0)</f>
        <v>7</v>
      </c>
    </row>
    <row r="2280" spans="1:12" x14ac:dyDescent="0.3">
      <c r="A2280" t="s">
        <v>603</v>
      </c>
      <c r="B2280">
        <v>2010</v>
      </c>
      <c r="C2280" t="s">
        <v>23</v>
      </c>
      <c r="D2280">
        <v>1</v>
      </c>
      <c r="E2280">
        <v>1</v>
      </c>
      <c r="F2280">
        <v>0</v>
      </c>
      <c r="G2280">
        <v>0</v>
      </c>
      <c r="H2280">
        <v>0</v>
      </c>
      <c r="I2280">
        <v>1</v>
      </c>
      <c r="J2280">
        <v>100</v>
      </c>
      <c r="L2280">
        <f>_xlfn.XLOOKUP(C2280, dim_teams[team_name], dim_teams[team_id], "Not found", 0)</f>
        <v>7</v>
      </c>
    </row>
    <row r="2281" spans="1:12" x14ac:dyDescent="0.3">
      <c r="A2281" t="s">
        <v>603</v>
      </c>
      <c r="B2281">
        <v>2011</v>
      </c>
      <c r="C2281" t="s">
        <v>23</v>
      </c>
      <c r="D2281">
        <v>8</v>
      </c>
      <c r="E2281">
        <v>9</v>
      </c>
      <c r="F2281">
        <v>0</v>
      </c>
      <c r="G2281">
        <v>1</v>
      </c>
      <c r="H2281">
        <v>2</v>
      </c>
      <c r="I2281">
        <v>2</v>
      </c>
      <c r="J2281">
        <v>88.89</v>
      </c>
      <c r="K2281">
        <v>4</v>
      </c>
      <c r="L2281">
        <f>_xlfn.XLOOKUP(C2281, dim_teams[team_name], dim_teams[team_id], "Not found", 0)</f>
        <v>7</v>
      </c>
    </row>
    <row r="2282" spans="1:12" x14ac:dyDescent="0.3">
      <c r="A2282" t="s">
        <v>603</v>
      </c>
      <c r="B2282">
        <v>2012</v>
      </c>
      <c r="C2282" t="s">
        <v>23</v>
      </c>
      <c r="D2282">
        <v>55</v>
      </c>
      <c r="E2282">
        <v>53</v>
      </c>
      <c r="F2282">
        <v>4</v>
      </c>
      <c r="G2282">
        <v>3</v>
      </c>
      <c r="H2282">
        <v>5</v>
      </c>
      <c r="I2282">
        <v>6</v>
      </c>
      <c r="J2282">
        <v>103.77</v>
      </c>
      <c r="K2282">
        <v>11</v>
      </c>
      <c r="L2282">
        <f>_xlfn.XLOOKUP(C2282, dim_teams[team_name], dim_teams[team_id], "Not found", 0)</f>
        <v>7</v>
      </c>
    </row>
    <row r="2283" spans="1:12" x14ac:dyDescent="0.3">
      <c r="A2283" t="s">
        <v>603</v>
      </c>
      <c r="B2283">
        <v>2013</v>
      </c>
      <c r="C2283" t="s">
        <v>23</v>
      </c>
      <c r="D2283">
        <v>9</v>
      </c>
      <c r="E2283">
        <v>18</v>
      </c>
      <c r="F2283">
        <v>1</v>
      </c>
      <c r="G2283">
        <v>0</v>
      </c>
      <c r="H2283">
        <v>3</v>
      </c>
      <c r="I2283">
        <v>6</v>
      </c>
      <c r="J2283">
        <v>50</v>
      </c>
      <c r="K2283">
        <v>3</v>
      </c>
      <c r="L2283">
        <f>_xlfn.XLOOKUP(C2283, dim_teams[team_name], dim_teams[team_id], "Not found", 0)</f>
        <v>7</v>
      </c>
    </row>
    <row r="2284" spans="1:12" x14ac:dyDescent="0.3">
      <c r="A2284" t="s">
        <v>603</v>
      </c>
      <c r="B2284">
        <v>2014</v>
      </c>
      <c r="C2284" t="s">
        <v>23</v>
      </c>
      <c r="D2284">
        <v>2</v>
      </c>
      <c r="E2284">
        <v>4</v>
      </c>
      <c r="F2284">
        <v>0</v>
      </c>
      <c r="G2284">
        <v>0</v>
      </c>
      <c r="H2284">
        <v>0</v>
      </c>
      <c r="I2284">
        <v>1</v>
      </c>
      <c r="J2284">
        <v>50</v>
      </c>
      <c r="L2284">
        <f>_xlfn.XLOOKUP(C2284, dim_teams[team_name], dim_teams[team_id], "Not found", 0)</f>
        <v>7</v>
      </c>
    </row>
    <row r="2285" spans="1:12" x14ac:dyDescent="0.3">
      <c r="A2285" t="s">
        <v>603</v>
      </c>
      <c r="B2285">
        <v>2015</v>
      </c>
      <c r="C2285" t="s">
        <v>23</v>
      </c>
      <c r="D2285">
        <v>6</v>
      </c>
      <c r="E2285">
        <v>10</v>
      </c>
      <c r="F2285">
        <v>1</v>
      </c>
      <c r="G2285">
        <v>0</v>
      </c>
      <c r="H2285">
        <v>0</v>
      </c>
      <c r="I2285">
        <v>1</v>
      </c>
      <c r="J2285">
        <v>60</v>
      </c>
      <c r="L2285">
        <f>_xlfn.XLOOKUP(C2285, dim_teams[team_name], dim_teams[team_id], "Not found", 0)</f>
        <v>7</v>
      </c>
    </row>
    <row r="2286" spans="1:12" x14ac:dyDescent="0.3">
      <c r="A2286" t="s">
        <v>603</v>
      </c>
      <c r="B2286">
        <v>2017</v>
      </c>
      <c r="C2286" t="s">
        <v>23</v>
      </c>
      <c r="D2286">
        <v>7</v>
      </c>
      <c r="E2286">
        <v>3</v>
      </c>
      <c r="F2286">
        <v>0</v>
      </c>
      <c r="G2286">
        <v>1</v>
      </c>
      <c r="H2286">
        <v>1</v>
      </c>
      <c r="I2286">
        <v>2</v>
      </c>
      <c r="J2286">
        <v>233.33</v>
      </c>
      <c r="K2286">
        <v>7</v>
      </c>
      <c r="L2286">
        <f>_xlfn.XLOOKUP(C2286, dim_teams[team_name], dim_teams[team_id], "Not found", 0)</f>
        <v>7</v>
      </c>
    </row>
    <row r="2287" spans="1:12" x14ac:dyDescent="0.3">
      <c r="A2287" t="s">
        <v>604</v>
      </c>
      <c r="B2287">
        <v>2019</v>
      </c>
      <c r="C2287" t="s">
        <v>54</v>
      </c>
      <c r="D2287">
        <v>95</v>
      </c>
      <c r="E2287">
        <v>55</v>
      </c>
      <c r="F2287">
        <v>13</v>
      </c>
      <c r="G2287">
        <v>3</v>
      </c>
      <c r="H2287">
        <v>4</v>
      </c>
      <c r="I2287">
        <v>8</v>
      </c>
      <c r="J2287">
        <v>172.73</v>
      </c>
      <c r="K2287">
        <v>23.75</v>
      </c>
      <c r="L2287">
        <f>_xlfn.XLOOKUP(C2287, dim_teams[team_name], dim_teams[team_id], "Not found", 0)</f>
        <v>4</v>
      </c>
    </row>
    <row r="2288" spans="1:12" x14ac:dyDescent="0.3">
      <c r="A2288" t="s">
        <v>604</v>
      </c>
      <c r="B2288">
        <v>2020</v>
      </c>
      <c r="C2288" t="s">
        <v>25</v>
      </c>
      <c r="D2288">
        <v>186</v>
      </c>
      <c r="E2288">
        <v>141</v>
      </c>
      <c r="F2288">
        <v>12</v>
      </c>
      <c r="G2288">
        <v>12</v>
      </c>
      <c r="H2288">
        <v>8</v>
      </c>
      <c r="I2288">
        <v>11</v>
      </c>
      <c r="J2288">
        <v>131.91</v>
      </c>
      <c r="K2288">
        <v>23.25</v>
      </c>
      <c r="L2288">
        <f>_xlfn.XLOOKUP(C2288, dim_teams[team_name], dim_teams[team_id], "Not found", 0)</f>
        <v>3</v>
      </c>
    </row>
    <row r="2289" spans="1:12" x14ac:dyDescent="0.3">
      <c r="A2289" t="s">
        <v>604</v>
      </c>
      <c r="B2289">
        <v>2021</v>
      </c>
      <c r="C2289" t="s">
        <v>25</v>
      </c>
      <c r="D2289">
        <v>56</v>
      </c>
      <c r="E2289">
        <v>29</v>
      </c>
      <c r="F2289">
        <v>5</v>
      </c>
      <c r="G2289">
        <v>3</v>
      </c>
      <c r="H2289">
        <v>3</v>
      </c>
      <c r="I2289">
        <v>4</v>
      </c>
      <c r="J2289">
        <v>193.1</v>
      </c>
      <c r="K2289">
        <v>18.670000000000002</v>
      </c>
      <c r="L2289">
        <f>_xlfn.XLOOKUP(C2289, dim_teams[team_name], dim_teams[team_id], "Not found", 0)</f>
        <v>3</v>
      </c>
    </row>
    <row r="2290" spans="1:12" x14ac:dyDescent="0.3">
      <c r="A2290" t="s">
        <v>604</v>
      </c>
      <c r="B2290">
        <v>2023</v>
      </c>
      <c r="C2290" t="s">
        <v>76</v>
      </c>
      <c r="D2290">
        <v>276</v>
      </c>
      <c r="E2290">
        <v>201</v>
      </c>
      <c r="F2290">
        <v>20</v>
      </c>
      <c r="G2290">
        <v>13</v>
      </c>
      <c r="H2290">
        <v>10</v>
      </c>
      <c r="I2290">
        <v>13</v>
      </c>
      <c r="J2290">
        <v>137.31</v>
      </c>
      <c r="K2290">
        <v>27.6</v>
      </c>
      <c r="L2290">
        <f>_xlfn.XLOOKUP(C2290, dim_teams[team_name], dim_teams[team_id], "Not found", 0)</f>
        <v>16</v>
      </c>
    </row>
    <row r="2291" spans="1:12" x14ac:dyDescent="0.3">
      <c r="A2291" t="s">
        <v>604</v>
      </c>
      <c r="B2291">
        <v>2024</v>
      </c>
      <c r="C2291" t="s">
        <v>76</v>
      </c>
      <c r="D2291">
        <v>270</v>
      </c>
      <c r="E2291">
        <v>217</v>
      </c>
      <c r="F2291">
        <v>24</v>
      </c>
      <c r="G2291">
        <v>6</v>
      </c>
      <c r="H2291">
        <v>11</v>
      </c>
      <c r="I2291">
        <v>12</v>
      </c>
      <c r="J2291">
        <v>124.42</v>
      </c>
      <c r="K2291">
        <v>24.55</v>
      </c>
      <c r="L2291">
        <f>_xlfn.XLOOKUP(C2291, dim_teams[team_name], dim_teams[team_id], "Not found", 0)</f>
        <v>16</v>
      </c>
    </row>
    <row r="2292" spans="1:12" x14ac:dyDescent="0.3">
      <c r="A2292" t="s">
        <v>604</v>
      </c>
      <c r="B2292">
        <v>2025</v>
      </c>
      <c r="C2292" t="s">
        <v>25</v>
      </c>
      <c r="D2292">
        <v>114</v>
      </c>
      <c r="E2292">
        <v>82</v>
      </c>
      <c r="F2292">
        <v>11</v>
      </c>
      <c r="G2292">
        <v>4</v>
      </c>
      <c r="H2292">
        <v>5</v>
      </c>
      <c r="I2292">
        <v>5</v>
      </c>
      <c r="J2292">
        <v>139.02000000000001</v>
      </c>
      <c r="K2292">
        <v>22.8</v>
      </c>
      <c r="L2292">
        <f>_xlfn.XLOOKUP(C2292, dim_teams[team_name], dim_teams[team_id], "Not found", 0)</f>
        <v>3</v>
      </c>
    </row>
    <row r="2293" spans="1:12" x14ac:dyDescent="0.3">
      <c r="A2293" t="s">
        <v>605</v>
      </c>
      <c r="B2293">
        <v>2009</v>
      </c>
      <c r="C2293" t="s">
        <v>17</v>
      </c>
      <c r="D2293">
        <v>9</v>
      </c>
      <c r="E2293">
        <v>13</v>
      </c>
      <c r="F2293">
        <v>0</v>
      </c>
      <c r="G2293">
        <v>0</v>
      </c>
      <c r="H2293">
        <v>0</v>
      </c>
      <c r="I2293">
        <v>2</v>
      </c>
      <c r="J2293">
        <v>69.23</v>
      </c>
      <c r="L2293">
        <f>_xlfn.XLOOKUP(C2293, dim_teams[team_name], dim_teams[team_id], "Not found", 0)</f>
        <v>5</v>
      </c>
    </row>
    <row r="2294" spans="1:12" x14ac:dyDescent="0.3">
      <c r="A2294" t="s">
        <v>606</v>
      </c>
      <c r="B2294">
        <v>2008</v>
      </c>
      <c r="C2294" t="s">
        <v>54</v>
      </c>
      <c r="D2294">
        <v>96</v>
      </c>
      <c r="E2294">
        <v>68</v>
      </c>
      <c r="F2294">
        <v>11</v>
      </c>
      <c r="G2294">
        <v>2</v>
      </c>
      <c r="H2294">
        <v>1</v>
      </c>
      <c r="I2294">
        <v>2</v>
      </c>
      <c r="J2294">
        <v>141.18</v>
      </c>
      <c r="K2294">
        <v>96</v>
      </c>
      <c r="L2294">
        <f>_xlfn.XLOOKUP(C2294, dim_teams[team_name], dim_teams[team_id], "Not found", 0)</f>
        <v>4</v>
      </c>
    </row>
    <row r="2295" spans="1:12" x14ac:dyDescent="0.3">
      <c r="A2295" t="s">
        <v>606</v>
      </c>
      <c r="B2295">
        <v>2009</v>
      </c>
      <c r="C2295" t="s">
        <v>54</v>
      </c>
      <c r="D2295">
        <v>145</v>
      </c>
      <c r="E2295">
        <v>117</v>
      </c>
      <c r="F2295">
        <v>15</v>
      </c>
      <c r="G2295">
        <v>6</v>
      </c>
      <c r="H2295">
        <v>9</v>
      </c>
      <c r="I2295">
        <v>9</v>
      </c>
      <c r="J2295">
        <v>123.93</v>
      </c>
      <c r="K2295">
        <v>16.11</v>
      </c>
      <c r="L2295">
        <f>_xlfn.XLOOKUP(C2295, dim_teams[team_name], dim_teams[team_id], "Not found", 0)</f>
        <v>4</v>
      </c>
    </row>
    <row r="2296" spans="1:12" x14ac:dyDescent="0.3">
      <c r="A2296" t="s">
        <v>607</v>
      </c>
      <c r="B2296">
        <v>2008</v>
      </c>
      <c r="C2296" t="s">
        <v>23</v>
      </c>
      <c r="D2296">
        <v>147</v>
      </c>
      <c r="E2296">
        <v>111</v>
      </c>
      <c r="F2296">
        <v>12</v>
      </c>
      <c r="G2296">
        <v>8</v>
      </c>
      <c r="H2296">
        <v>8</v>
      </c>
      <c r="I2296">
        <v>8</v>
      </c>
      <c r="J2296">
        <v>132.43</v>
      </c>
      <c r="K2296">
        <v>18.38</v>
      </c>
      <c r="L2296">
        <f>_xlfn.XLOOKUP(C2296, dim_teams[team_name], dim_teams[team_id], "Not found", 0)</f>
        <v>7</v>
      </c>
    </row>
    <row r="2297" spans="1:12" x14ac:dyDescent="0.3">
      <c r="A2297" t="s">
        <v>608</v>
      </c>
      <c r="B2297">
        <v>2013</v>
      </c>
      <c r="C2297" t="s">
        <v>19</v>
      </c>
      <c r="D2297">
        <v>10</v>
      </c>
      <c r="E2297">
        <v>16</v>
      </c>
      <c r="F2297">
        <v>0</v>
      </c>
      <c r="G2297">
        <v>0</v>
      </c>
      <c r="H2297">
        <v>1</v>
      </c>
      <c r="I2297">
        <v>4</v>
      </c>
      <c r="J2297">
        <v>62.5</v>
      </c>
      <c r="K2297">
        <v>10</v>
      </c>
      <c r="L2297">
        <f>_xlfn.XLOOKUP(C2297, dim_teams[team_name], dim_teams[team_id], "Not found", 0)</f>
        <v>1</v>
      </c>
    </row>
    <row r="2298" spans="1:12" x14ac:dyDescent="0.3">
      <c r="A2298" t="s">
        <v>609</v>
      </c>
      <c r="B2298">
        <v>2015</v>
      </c>
      <c r="C2298" t="s">
        <v>21</v>
      </c>
      <c r="D2298">
        <v>111</v>
      </c>
      <c r="E2298">
        <v>70</v>
      </c>
      <c r="F2298">
        <v>12</v>
      </c>
      <c r="G2298">
        <v>2</v>
      </c>
      <c r="H2298">
        <v>6</v>
      </c>
      <c r="I2298">
        <v>7</v>
      </c>
      <c r="J2298">
        <v>158.57</v>
      </c>
      <c r="K2298">
        <v>18.5</v>
      </c>
      <c r="L2298">
        <f>_xlfn.XLOOKUP(C2298, dim_teams[team_name], dim_teams[team_id], "Not found", 0)</f>
        <v>2</v>
      </c>
    </row>
    <row r="2299" spans="1:12" x14ac:dyDescent="0.3">
      <c r="A2299" t="s">
        <v>609</v>
      </c>
      <c r="B2299">
        <v>2016</v>
      </c>
      <c r="C2299" t="s">
        <v>21</v>
      </c>
      <c r="D2299">
        <v>66</v>
      </c>
      <c r="E2299">
        <v>31</v>
      </c>
      <c r="F2299">
        <v>7</v>
      </c>
      <c r="G2299">
        <v>4</v>
      </c>
      <c r="H2299">
        <v>2</v>
      </c>
      <c r="I2299">
        <v>4</v>
      </c>
      <c r="J2299">
        <v>212.9</v>
      </c>
      <c r="K2299">
        <v>33</v>
      </c>
      <c r="L2299">
        <f>_xlfn.XLOOKUP(C2299, dim_teams[team_name], dim_teams[team_id], "Not found", 0)</f>
        <v>2</v>
      </c>
    </row>
    <row r="2300" spans="1:12" x14ac:dyDescent="0.3">
      <c r="A2300" t="s">
        <v>609</v>
      </c>
      <c r="B2300">
        <v>2018</v>
      </c>
      <c r="C2300" t="s">
        <v>21</v>
      </c>
      <c r="D2300">
        <v>51</v>
      </c>
      <c r="E2300">
        <v>41</v>
      </c>
      <c r="F2300">
        <v>7</v>
      </c>
      <c r="G2300">
        <v>1</v>
      </c>
      <c r="H2300">
        <v>5</v>
      </c>
      <c r="I2300">
        <v>6</v>
      </c>
      <c r="J2300">
        <v>124.39</v>
      </c>
      <c r="K2300">
        <v>10.199999999999999</v>
      </c>
      <c r="L2300">
        <f>_xlfn.XLOOKUP(C2300, dim_teams[team_name], dim_teams[team_id], "Not found", 0)</f>
        <v>2</v>
      </c>
    </row>
    <row r="2301" spans="1:12" x14ac:dyDescent="0.3">
      <c r="A2301" t="s">
        <v>609</v>
      </c>
      <c r="B2301">
        <v>2019</v>
      </c>
      <c r="C2301" t="s">
        <v>54</v>
      </c>
      <c r="D2301">
        <v>180</v>
      </c>
      <c r="E2301">
        <v>141</v>
      </c>
      <c r="F2301">
        <v>19</v>
      </c>
      <c r="G2301">
        <v>4</v>
      </c>
      <c r="H2301">
        <v>5</v>
      </c>
      <c r="I2301">
        <v>5</v>
      </c>
      <c r="J2301">
        <v>127.66</v>
      </c>
      <c r="K2301">
        <v>36</v>
      </c>
      <c r="L2301">
        <f>_xlfn.XLOOKUP(C2301, dim_teams[team_name], dim_teams[team_id], "Not found", 0)</f>
        <v>4</v>
      </c>
    </row>
    <row r="2302" spans="1:12" x14ac:dyDescent="0.3">
      <c r="A2302" t="s">
        <v>609</v>
      </c>
      <c r="B2302">
        <v>2020</v>
      </c>
      <c r="C2302" t="s">
        <v>54</v>
      </c>
      <c r="D2302">
        <v>33</v>
      </c>
      <c r="E2302">
        <v>29</v>
      </c>
      <c r="F2302">
        <v>5</v>
      </c>
      <c r="G2302">
        <v>0</v>
      </c>
      <c r="H2302">
        <v>2</v>
      </c>
      <c r="I2302">
        <v>3</v>
      </c>
      <c r="J2302">
        <v>113.79</v>
      </c>
      <c r="K2302">
        <v>16.5</v>
      </c>
      <c r="L2302">
        <f>_xlfn.XLOOKUP(C2302, dim_teams[team_name], dim_teams[team_id], "Not found", 0)</f>
        <v>4</v>
      </c>
    </row>
    <row r="2303" spans="1:12" x14ac:dyDescent="0.3">
      <c r="A2303" t="s">
        <v>609</v>
      </c>
      <c r="B2303">
        <v>2021</v>
      </c>
      <c r="C2303" t="s">
        <v>76</v>
      </c>
      <c r="D2303">
        <v>0</v>
      </c>
      <c r="E2303">
        <v>4</v>
      </c>
      <c r="F2303">
        <v>0</v>
      </c>
      <c r="G2303">
        <v>0</v>
      </c>
      <c r="H2303">
        <v>2</v>
      </c>
      <c r="I2303">
        <v>2</v>
      </c>
      <c r="J2303">
        <v>0</v>
      </c>
      <c r="K2303">
        <v>0</v>
      </c>
      <c r="L2303">
        <f>_xlfn.XLOOKUP(C2303, dim_teams[team_name], dim_teams[team_id], "Not found", 0)</f>
        <v>16</v>
      </c>
    </row>
    <row r="2304" spans="1:12" x14ac:dyDescent="0.3">
      <c r="A2304" t="s">
        <v>609</v>
      </c>
      <c r="B2304">
        <v>2022</v>
      </c>
      <c r="C2304" t="s">
        <v>33</v>
      </c>
      <c r="D2304">
        <v>91</v>
      </c>
      <c r="E2304">
        <v>67</v>
      </c>
      <c r="F2304">
        <v>9</v>
      </c>
      <c r="G2304">
        <v>2</v>
      </c>
      <c r="H2304">
        <v>3</v>
      </c>
      <c r="I2304">
        <v>5</v>
      </c>
      <c r="J2304">
        <v>135.82</v>
      </c>
      <c r="K2304">
        <v>30.33</v>
      </c>
      <c r="L2304">
        <f>_xlfn.XLOOKUP(C2304, dim_teams[team_name], dim_teams[team_id], "Not found", 0)</f>
        <v>15</v>
      </c>
    </row>
    <row r="2305" spans="1:12" x14ac:dyDescent="0.3">
      <c r="A2305" t="s">
        <v>609</v>
      </c>
      <c r="B2305">
        <v>2023</v>
      </c>
      <c r="C2305" t="s">
        <v>33</v>
      </c>
      <c r="D2305">
        <v>53</v>
      </c>
      <c r="E2305">
        <v>61</v>
      </c>
      <c r="F2305">
        <v>4</v>
      </c>
      <c r="G2305">
        <v>1</v>
      </c>
      <c r="H2305">
        <v>4</v>
      </c>
      <c r="I2305">
        <v>4</v>
      </c>
      <c r="J2305">
        <v>86.89</v>
      </c>
      <c r="K2305">
        <v>13.25</v>
      </c>
      <c r="L2305">
        <f>_xlfn.XLOOKUP(C2305, dim_teams[team_name], dim_teams[team_id], "Not found", 0)</f>
        <v>15</v>
      </c>
    </row>
    <row r="2306" spans="1:12" x14ac:dyDescent="0.3">
      <c r="A2306" t="s">
        <v>610</v>
      </c>
      <c r="B2306">
        <v>2015</v>
      </c>
      <c r="C2306" t="s">
        <v>54</v>
      </c>
      <c r="D2306">
        <v>7</v>
      </c>
      <c r="E2306">
        <v>6</v>
      </c>
      <c r="F2306">
        <v>1</v>
      </c>
      <c r="G2306">
        <v>0</v>
      </c>
      <c r="H2306">
        <v>0</v>
      </c>
      <c r="I2306">
        <v>1</v>
      </c>
      <c r="J2306">
        <v>116.67</v>
      </c>
      <c r="L2306">
        <f>_xlfn.XLOOKUP(C2306, dim_teams[team_name], dim_teams[team_id], "Not found", 0)</f>
        <v>4</v>
      </c>
    </row>
    <row r="2307" spans="1:12" x14ac:dyDescent="0.3">
      <c r="A2307" t="s">
        <v>610</v>
      </c>
      <c r="B2307">
        <v>2017</v>
      </c>
      <c r="C2307" t="s">
        <v>46</v>
      </c>
      <c r="D2307">
        <v>0</v>
      </c>
      <c r="E2307">
        <v>3</v>
      </c>
      <c r="F2307">
        <v>0</v>
      </c>
      <c r="G2307">
        <v>0</v>
      </c>
      <c r="H2307">
        <v>3</v>
      </c>
      <c r="I2307">
        <v>3</v>
      </c>
      <c r="J2307">
        <v>0</v>
      </c>
      <c r="K2307">
        <v>0</v>
      </c>
      <c r="L2307">
        <f>_xlfn.XLOOKUP(C2307, dim_teams[team_name], dim_teams[team_id], "Not found", 0)</f>
        <v>14</v>
      </c>
    </row>
    <row r="2308" spans="1:12" x14ac:dyDescent="0.3">
      <c r="A2308" t="s">
        <v>610</v>
      </c>
      <c r="B2308">
        <v>2018</v>
      </c>
      <c r="C2308" t="s">
        <v>25</v>
      </c>
      <c r="D2308">
        <v>15</v>
      </c>
      <c r="E2308">
        <v>5</v>
      </c>
      <c r="F2308">
        <v>3</v>
      </c>
      <c r="G2308">
        <v>0</v>
      </c>
      <c r="H2308">
        <v>0</v>
      </c>
      <c r="I2308">
        <v>1</v>
      </c>
      <c r="J2308">
        <v>300</v>
      </c>
      <c r="L2308">
        <f>_xlfn.XLOOKUP(C2308, dim_teams[team_name], dim_teams[team_id], "Not found", 0)</f>
        <v>3</v>
      </c>
    </row>
    <row r="2309" spans="1:12" x14ac:dyDescent="0.3">
      <c r="A2309" t="s">
        <v>610</v>
      </c>
      <c r="B2309">
        <v>2019</v>
      </c>
      <c r="C2309" t="s">
        <v>25</v>
      </c>
      <c r="D2309">
        <v>14</v>
      </c>
      <c r="E2309">
        <v>7</v>
      </c>
      <c r="F2309">
        <v>1</v>
      </c>
      <c r="G2309">
        <v>1</v>
      </c>
      <c r="H2309">
        <v>1</v>
      </c>
      <c r="I2309">
        <v>2</v>
      </c>
      <c r="J2309">
        <v>200</v>
      </c>
      <c r="K2309">
        <v>14</v>
      </c>
      <c r="L2309">
        <f>_xlfn.XLOOKUP(C2309, dim_teams[team_name], dim_teams[team_id], "Not found", 0)</f>
        <v>3</v>
      </c>
    </row>
    <row r="2310" spans="1:12" x14ac:dyDescent="0.3">
      <c r="A2310" t="s">
        <v>610</v>
      </c>
      <c r="B2310">
        <v>2020</v>
      </c>
      <c r="C2310" t="s">
        <v>25</v>
      </c>
      <c r="D2310">
        <v>12</v>
      </c>
      <c r="E2310">
        <v>21</v>
      </c>
      <c r="F2310">
        <v>0</v>
      </c>
      <c r="G2310">
        <v>0</v>
      </c>
      <c r="H2310">
        <v>1</v>
      </c>
      <c r="I2310">
        <v>2</v>
      </c>
      <c r="J2310">
        <v>57.14</v>
      </c>
      <c r="K2310">
        <v>12</v>
      </c>
      <c r="L2310">
        <f>_xlfn.XLOOKUP(C2310, dim_teams[team_name], dim_teams[team_id], "Not found", 0)</f>
        <v>3</v>
      </c>
    </row>
    <row r="2311" spans="1:12" x14ac:dyDescent="0.3">
      <c r="A2311" t="s">
        <v>610</v>
      </c>
      <c r="B2311">
        <v>2021</v>
      </c>
      <c r="C2311" t="s">
        <v>25</v>
      </c>
      <c r="D2311">
        <v>5</v>
      </c>
      <c r="E2311">
        <v>4</v>
      </c>
      <c r="F2311">
        <v>0</v>
      </c>
      <c r="G2311">
        <v>0</v>
      </c>
      <c r="H2311">
        <v>1</v>
      </c>
      <c r="I2311">
        <v>4</v>
      </c>
      <c r="J2311">
        <v>125</v>
      </c>
      <c r="K2311">
        <v>5</v>
      </c>
      <c r="L2311">
        <f>_xlfn.XLOOKUP(C2311, dim_teams[team_name], dim_teams[team_id], "Not found", 0)</f>
        <v>3</v>
      </c>
    </row>
    <row r="2312" spans="1:12" x14ac:dyDescent="0.3">
      <c r="A2312" t="s">
        <v>610</v>
      </c>
      <c r="B2312">
        <v>2022</v>
      </c>
      <c r="C2312" t="s">
        <v>33</v>
      </c>
      <c r="D2312">
        <v>120</v>
      </c>
      <c r="E2312">
        <v>87</v>
      </c>
      <c r="F2312">
        <v>7</v>
      </c>
      <c r="G2312">
        <v>7</v>
      </c>
      <c r="H2312">
        <v>8</v>
      </c>
      <c r="I2312">
        <v>10</v>
      </c>
      <c r="J2312">
        <v>137.93</v>
      </c>
      <c r="K2312">
        <v>15</v>
      </c>
      <c r="L2312">
        <f>_xlfn.XLOOKUP(C2312, dim_teams[team_name], dim_teams[team_id], "Not found", 0)</f>
        <v>15</v>
      </c>
    </row>
    <row r="2313" spans="1:12" x14ac:dyDescent="0.3">
      <c r="A2313" t="s">
        <v>610</v>
      </c>
      <c r="B2313">
        <v>2023</v>
      </c>
      <c r="C2313" t="s">
        <v>19</v>
      </c>
      <c r="D2313">
        <v>113</v>
      </c>
      <c r="E2313">
        <v>70</v>
      </c>
      <c r="F2313">
        <v>13</v>
      </c>
      <c r="G2313">
        <v>4</v>
      </c>
      <c r="H2313">
        <v>8</v>
      </c>
      <c r="I2313">
        <v>9</v>
      </c>
      <c r="J2313">
        <v>161.43</v>
      </c>
      <c r="K2313">
        <v>14.12</v>
      </c>
      <c r="L2313">
        <f>_xlfn.XLOOKUP(C2313, dim_teams[team_name], dim_teams[team_id], "Not found", 0)</f>
        <v>1</v>
      </c>
    </row>
    <row r="2314" spans="1:12" x14ac:dyDescent="0.3">
      <c r="A2314" t="s">
        <v>610</v>
      </c>
      <c r="B2314">
        <v>2024</v>
      </c>
      <c r="C2314" t="s">
        <v>25</v>
      </c>
      <c r="D2314">
        <v>21</v>
      </c>
      <c r="E2314">
        <v>17</v>
      </c>
      <c r="F2314">
        <v>2</v>
      </c>
      <c r="G2314">
        <v>1</v>
      </c>
      <c r="H2314">
        <v>1</v>
      </c>
      <c r="I2314">
        <v>3</v>
      </c>
      <c r="J2314">
        <v>123.53</v>
      </c>
      <c r="K2314">
        <v>21</v>
      </c>
      <c r="L2314">
        <f>_xlfn.XLOOKUP(C2314, dim_teams[team_name], dim_teams[team_id], "Not found", 0)</f>
        <v>3</v>
      </c>
    </row>
    <row r="2315" spans="1:12" x14ac:dyDescent="0.3">
      <c r="A2315" t="s">
        <v>610</v>
      </c>
      <c r="B2315">
        <v>2025</v>
      </c>
      <c r="C2315" t="s">
        <v>15</v>
      </c>
      <c r="D2315">
        <v>18</v>
      </c>
      <c r="E2315">
        <v>12</v>
      </c>
      <c r="F2315">
        <v>3</v>
      </c>
      <c r="G2315">
        <v>0</v>
      </c>
      <c r="H2315">
        <v>3</v>
      </c>
      <c r="I2315">
        <v>5</v>
      </c>
      <c r="J2315">
        <v>150</v>
      </c>
      <c r="K2315">
        <v>6</v>
      </c>
      <c r="L2315">
        <f>_xlfn.XLOOKUP(C2315, dim_teams[team_name], dim_teams[team_id], "Not found", 0)</f>
        <v>17</v>
      </c>
    </row>
    <row r="2316" spans="1:12" x14ac:dyDescent="0.3">
      <c r="A2316" t="s">
        <v>611</v>
      </c>
      <c r="B2316">
        <v>2019</v>
      </c>
      <c r="C2316" t="s">
        <v>21</v>
      </c>
      <c r="D2316">
        <v>90</v>
      </c>
      <c r="E2316">
        <v>73</v>
      </c>
      <c r="F2316">
        <v>4</v>
      </c>
      <c r="G2316">
        <v>7</v>
      </c>
      <c r="H2316">
        <v>5</v>
      </c>
      <c r="I2316">
        <v>5</v>
      </c>
      <c r="J2316">
        <v>123.29</v>
      </c>
      <c r="K2316">
        <v>18</v>
      </c>
      <c r="L2316">
        <f>_xlfn.XLOOKUP(C2316, dim_teams[team_name], dim_teams[team_id], "Not found", 0)</f>
        <v>2</v>
      </c>
    </row>
    <row r="2317" spans="1:12" x14ac:dyDescent="0.3">
      <c r="A2317" t="s">
        <v>611</v>
      </c>
      <c r="B2317">
        <v>2020</v>
      </c>
      <c r="C2317" t="s">
        <v>33</v>
      </c>
      <c r="D2317">
        <v>185</v>
      </c>
      <c r="E2317">
        <v>124</v>
      </c>
      <c r="F2317">
        <v>11</v>
      </c>
      <c r="G2317">
        <v>12</v>
      </c>
      <c r="H2317">
        <v>8</v>
      </c>
      <c r="I2317">
        <v>11</v>
      </c>
      <c r="J2317">
        <v>149.19</v>
      </c>
      <c r="K2317">
        <v>23.12</v>
      </c>
      <c r="L2317">
        <f>_xlfn.XLOOKUP(C2317, dim_teams[team_name], dim_teams[team_id], "Not found", 0)</f>
        <v>15</v>
      </c>
    </row>
    <row r="2318" spans="1:12" x14ac:dyDescent="0.3">
      <c r="A2318" t="s">
        <v>611</v>
      </c>
      <c r="B2318">
        <v>2021</v>
      </c>
      <c r="C2318" t="s">
        <v>33</v>
      </c>
      <c r="D2318">
        <v>242</v>
      </c>
      <c r="E2318">
        <v>142</v>
      </c>
      <c r="F2318">
        <v>19</v>
      </c>
      <c r="G2318">
        <v>12</v>
      </c>
      <c r="H2318">
        <v>6</v>
      </c>
      <c r="I2318">
        <v>12</v>
      </c>
      <c r="J2318">
        <v>170.42</v>
      </c>
      <c r="K2318">
        <v>40.33</v>
      </c>
      <c r="L2318">
        <f>_xlfn.XLOOKUP(C2318, dim_teams[team_name], dim_teams[team_id], "Not found", 0)</f>
        <v>15</v>
      </c>
    </row>
    <row r="2319" spans="1:12" x14ac:dyDescent="0.3">
      <c r="A2319" t="s">
        <v>611</v>
      </c>
      <c r="B2319">
        <v>2022</v>
      </c>
      <c r="C2319" t="s">
        <v>17</v>
      </c>
      <c r="D2319">
        <v>314</v>
      </c>
      <c r="E2319">
        <v>204</v>
      </c>
      <c r="F2319">
        <v>21</v>
      </c>
      <c r="G2319">
        <v>21</v>
      </c>
      <c r="H2319">
        <v>7</v>
      </c>
      <c r="I2319">
        <v>15</v>
      </c>
      <c r="J2319">
        <v>153.91999999999999</v>
      </c>
      <c r="K2319">
        <v>44.86</v>
      </c>
      <c r="L2319">
        <f>_xlfn.XLOOKUP(C2319, dim_teams[team_name], dim_teams[team_id], "Not found", 0)</f>
        <v>5</v>
      </c>
    </row>
    <row r="2320" spans="1:12" x14ac:dyDescent="0.3">
      <c r="A2320" t="s">
        <v>611</v>
      </c>
      <c r="B2320">
        <v>2023</v>
      </c>
      <c r="C2320" t="s">
        <v>17</v>
      </c>
      <c r="D2320">
        <v>299</v>
      </c>
      <c r="E2320">
        <v>196</v>
      </c>
      <c r="F2320">
        <v>12</v>
      </c>
      <c r="G2320">
        <v>23</v>
      </c>
      <c r="H2320">
        <v>9</v>
      </c>
      <c r="I2320">
        <v>13</v>
      </c>
      <c r="J2320">
        <v>152.55000000000001</v>
      </c>
      <c r="K2320">
        <v>33.22</v>
      </c>
      <c r="L2320">
        <f>_xlfn.XLOOKUP(C2320, dim_teams[team_name], dim_teams[team_id], "Not found", 0)</f>
        <v>5</v>
      </c>
    </row>
    <row r="2321" spans="1:12" x14ac:dyDescent="0.3">
      <c r="A2321" t="s">
        <v>611</v>
      </c>
      <c r="B2321">
        <v>2024</v>
      </c>
      <c r="C2321" t="s">
        <v>17</v>
      </c>
      <c r="D2321">
        <v>113</v>
      </c>
      <c r="E2321">
        <v>68</v>
      </c>
      <c r="F2321">
        <v>9</v>
      </c>
      <c r="G2321">
        <v>7</v>
      </c>
      <c r="H2321">
        <v>5</v>
      </c>
      <c r="I2321">
        <v>9</v>
      </c>
      <c r="J2321">
        <v>166.18</v>
      </c>
      <c r="K2321">
        <v>22.6</v>
      </c>
      <c r="L2321">
        <f>_xlfn.XLOOKUP(C2321, dim_teams[team_name], dim_teams[team_id], "Not found", 0)</f>
        <v>5</v>
      </c>
    </row>
    <row r="2322" spans="1:12" x14ac:dyDescent="0.3">
      <c r="A2322" t="s">
        <v>611</v>
      </c>
      <c r="B2322">
        <v>2025</v>
      </c>
      <c r="C2322" t="s">
        <v>17</v>
      </c>
      <c r="D2322">
        <v>245</v>
      </c>
      <c r="E2322">
        <v>168</v>
      </c>
      <c r="F2322">
        <v>18</v>
      </c>
      <c r="G2322">
        <v>11</v>
      </c>
      <c r="H2322">
        <v>13</v>
      </c>
      <c r="I2322">
        <v>13</v>
      </c>
      <c r="J2322">
        <v>145.83000000000001</v>
      </c>
      <c r="K2322">
        <v>18.850000000000001</v>
      </c>
      <c r="L2322">
        <f>_xlfn.XLOOKUP(C2322, dim_teams[team_name], dim_teams[team_id], "Not found", 0)</f>
        <v>5</v>
      </c>
    </row>
    <row r="2323" spans="1:12" x14ac:dyDescent="0.3">
      <c r="A2323" t="s">
        <v>612</v>
      </c>
      <c r="B2323">
        <v>2008</v>
      </c>
      <c r="C2323" t="s">
        <v>25</v>
      </c>
      <c r="D2323">
        <v>196</v>
      </c>
      <c r="E2323">
        <v>162</v>
      </c>
      <c r="F2323">
        <v>27</v>
      </c>
      <c r="G2323">
        <v>3</v>
      </c>
      <c r="H2323">
        <v>9</v>
      </c>
      <c r="I2323">
        <v>10</v>
      </c>
      <c r="J2323">
        <v>120.99</v>
      </c>
      <c r="K2323">
        <v>21.78</v>
      </c>
      <c r="L2323">
        <f>_xlfn.XLOOKUP(C2323, dim_teams[team_name], dim_teams[team_id], "Not found", 0)</f>
        <v>3</v>
      </c>
    </row>
    <row r="2324" spans="1:12" x14ac:dyDescent="0.3">
      <c r="A2324" t="s">
        <v>613</v>
      </c>
      <c r="B2324">
        <v>2008</v>
      </c>
      <c r="C2324" t="s">
        <v>21</v>
      </c>
      <c r="D2324">
        <v>82</v>
      </c>
      <c r="E2324">
        <v>85</v>
      </c>
      <c r="F2324">
        <v>9</v>
      </c>
      <c r="G2324">
        <v>1</v>
      </c>
      <c r="H2324">
        <v>3</v>
      </c>
      <c r="I2324">
        <v>3</v>
      </c>
      <c r="J2324">
        <v>96.47</v>
      </c>
      <c r="K2324">
        <v>27.33</v>
      </c>
      <c r="L2324">
        <f>_xlfn.XLOOKUP(C2324, dim_teams[team_name], dim_teams[team_id], "Not found", 0)</f>
        <v>2</v>
      </c>
    </row>
    <row r="2325" spans="1:12" x14ac:dyDescent="0.3">
      <c r="A2325" t="s">
        <v>613</v>
      </c>
      <c r="B2325">
        <v>2009</v>
      </c>
      <c r="C2325" t="s">
        <v>21</v>
      </c>
      <c r="D2325">
        <v>53</v>
      </c>
      <c r="E2325">
        <v>60</v>
      </c>
      <c r="F2325">
        <v>6</v>
      </c>
      <c r="G2325">
        <v>0</v>
      </c>
      <c r="H2325">
        <v>2</v>
      </c>
      <c r="I2325">
        <v>2</v>
      </c>
      <c r="J2325">
        <v>88.33</v>
      </c>
      <c r="K2325">
        <v>26.5</v>
      </c>
      <c r="L2325">
        <f>_xlfn.XLOOKUP(C2325, dim_teams[team_name], dim_teams[team_id], "Not found", 0)</f>
        <v>2</v>
      </c>
    </row>
    <row r="2326" spans="1:12" x14ac:dyDescent="0.3">
      <c r="A2326" t="s">
        <v>613</v>
      </c>
      <c r="B2326">
        <v>2010</v>
      </c>
      <c r="C2326" t="s">
        <v>21</v>
      </c>
      <c r="D2326">
        <v>8</v>
      </c>
      <c r="E2326">
        <v>10</v>
      </c>
      <c r="F2326">
        <v>2</v>
      </c>
      <c r="G2326">
        <v>0</v>
      </c>
      <c r="H2326">
        <v>1</v>
      </c>
      <c r="I2326">
        <v>1</v>
      </c>
      <c r="J2326">
        <v>80</v>
      </c>
      <c r="K2326">
        <v>8</v>
      </c>
      <c r="L2326">
        <f>_xlfn.XLOOKUP(C2326, dim_teams[team_name], dim_teams[team_id], "Not found", 0)</f>
        <v>2</v>
      </c>
    </row>
    <row r="2327" spans="1:12" x14ac:dyDescent="0.3">
      <c r="A2327" t="s">
        <v>613</v>
      </c>
      <c r="B2327">
        <v>2011</v>
      </c>
      <c r="C2327" t="s">
        <v>19</v>
      </c>
      <c r="D2327">
        <v>29</v>
      </c>
      <c r="E2327">
        <v>29</v>
      </c>
      <c r="F2327">
        <v>5</v>
      </c>
      <c r="G2327">
        <v>0</v>
      </c>
      <c r="H2327">
        <v>3</v>
      </c>
      <c r="I2327">
        <v>4</v>
      </c>
      <c r="J2327">
        <v>100</v>
      </c>
      <c r="K2327">
        <v>9.67</v>
      </c>
      <c r="L2327">
        <f>_xlfn.XLOOKUP(C2327, dim_teams[team_name], dim_teams[team_id], "Not found", 0)</f>
        <v>1</v>
      </c>
    </row>
    <row r="2328" spans="1:12" x14ac:dyDescent="0.3">
      <c r="A2328" t="s">
        <v>613</v>
      </c>
      <c r="B2328">
        <v>2012</v>
      </c>
      <c r="C2328" t="s">
        <v>17</v>
      </c>
      <c r="D2328">
        <v>69</v>
      </c>
      <c r="E2328">
        <v>67</v>
      </c>
      <c r="F2328">
        <v>4</v>
      </c>
      <c r="G2328">
        <v>1</v>
      </c>
      <c r="H2328">
        <v>6</v>
      </c>
      <c r="I2328">
        <v>6</v>
      </c>
      <c r="J2328">
        <v>102.99</v>
      </c>
      <c r="K2328">
        <v>11.5</v>
      </c>
      <c r="L2328">
        <f>_xlfn.XLOOKUP(C2328, dim_teams[team_name], dim_teams[team_id], "Not found", 0)</f>
        <v>5</v>
      </c>
    </row>
    <row r="2329" spans="1:12" x14ac:dyDescent="0.3">
      <c r="A2329" t="s">
        <v>613</v>
      </c>
      <c r="B2329">
        <v>2018</v>
      </c>
      <c r="C2329" t="s">
        <v>13</v>
      </c>
      <c r="D2329">
        <v>52</v>
      </c>
      <c r="E2329">
        <v>38</v>
      </c>
      <c r="F2329">
        <v>6</v>
      </c>
      <c r="G2329">
        <v>1</v>
      </c>
      <c r="H2329">
        <v>3</v>
      </c>
      <c r="I2329">
        <v>3</v>
      </c>
      <c r="J2329">
        <v>136.84</v>
      </c>
      <c r="K2329">
        <v>17.329999999999998</v>
      </c>
      <c r="L2329">
        <f>_xlfn.XLOOKUP(C2329, dim_teams[team_name], dim_teams[team_id], "Not found", 0)</f>
        <v>11</v>
      </c>
    </row>
    <row r="2330" spans="1:12" x14ac:dyDescent="0.3">
      <c r="A2330" t="s">
        <v>613</v>
      </c>
      <c r="B2330">
        <v>2020</v>
      </c>
      <c r="C2330" t="s">
        <v>13</v>
      </c>
      <c r="D2330">
        <v>0</v>
      </c>
      <c r="E2330">
        <v>4</v>
      </c>
      <c r="F2330">
        <v>0</v>
      </c>
      <c r="G2330">
        <v>0</v>
      </c>
      <c r="H2330">
        <v>2</v>
      </c>
      <c r="I2330">
        <v>2</v>
      </c>
      <c r="J2330">
        <v>0</v>
      </c>
      <c r="K2330">
        <v>0</v>
      </c>
      <c r="L2330">
        <f>_xlfn.XLOOKUP(C2330, dim_teams[team_name], dim_teams[team_id], "Not found", 0)</f>
        <v>11</v>
      </c>
    </row>
    <row r="2331" spans="1:12" x14ac:dyDescent="0.3">
      <c r="A2331" t="s">
        <v>614</v>
      </c>
      <c r="B2331">
        <v>2017</v>
      </c>
      <c r="C2331" t="s">
        <v>19</v>
      </c>
      <c r="D2331">
        <v>38</v>
      </c>
      <c r="E2331">
        <v>31</v>
      </c>
      <c r="F2331">
        <v>5</v>
      </c>
      <c r="G2331">
        <v>0</v>
      </c>
      <c r="H2331">
        <v>2</v>
      </c>
      <c r="I2331">
        <v>3</v>
      </c>
      <c r="J2331">
        <v>122.58</v>
      </c>
      <c r="K2331">
        <v>19</v>
      </c>
      <c r="L2331">
        <f>_xlfn.XLOOKUP(C2331, dim_teams[team_name], dim_teams[team_id], "Not found", 0)</f>
        <v>1</v>
      </c>
    </row>
    <row r="2332" spans="1:12" x14ac:dyDescent="0.3">
      <c r="A2332" t="s">
        <v>614</v>
      </c>
      <c r="B2332">
        <v>2022</v>
      </c>
      <c r="C2332" t="s">
        <v>19</v>
      </c>
      <c r="D2332">
        <v>23</v>
      </c>
      <c r="E2332">
        <v>26</v>
      </c>
      <c r="F2332">
        <v>0</v>
      </c>
      <c r="G2332">
        <v>1</v>
      </c>
      <c r="H2332">
        <v>4</v>
      </c>
      <c r="I2332">
        <v>5</v>
      </c>
      <c r="J2332">
        <v>88.46</v>
      </c>
      <c r="K2332">
        <v>5.75</v>
      </c>
      <c r="L2332">
        <f>_xlfn.XLOOKUP(C2332, dim_teams[team_name], dim_teams[team_id], "Not found", 0)</f>
        <v>1</v>
      </c>
    </row>
    <row r="2333" spans="1:12" x14ac:dyDescent="0.3">
      <c r="A2333" t="s">
        <v>615</v>
      </c>
      <c r="B2333">
        <v>2012</v>
      </c>
      <c r="C2333" t="s">
        <v>19</v>
      </c>
      <c r="D2333">
        <v>9</v>
      </c>
      <c r="E2333">
        <v>7</v>
      </c>
      <c r="F2333">
        <v>2</v>
      </c>
      <c r="G2333">
        <v>0</v>
      </c>
      <c r="H2333">
        <v>1</v>
      </c>
      <c r="I2333">
        <v>2</v>
      </c>
      <c r="J2333">
        <v>128.57</v>
      </c>
      <c r="K2333">
        <v>9</v>
      </c>
      <c r="L2333">
        <f>_xlfn.XLOOKUP(C2333, dim_teams[team_name], dim_teams[team_id], "Not found", 0)</f>
        <v>1</v>
      </c>
    </row>
    <row r="2334" spans="1:12" x14ac:dyDescent="0.3">
      <c r="A2334" t="s">
        <v>615</v>
      </c>
      <c r="B2334">
        <v>2013</v>
      </c>
      <c r="C2334" t="s">
        <v>19</v>
      </c>
      <c r="D2334">
        <v>21</v>
      </c>
      <c r="E2334">
        <v>19</v>
      </c>
      <c r="F2334">
        <v>0</v>
      </c>
      <c r="G2334">
        <v>2</v>
      </c>
      <c r="H2334">
        <v>3</v>
      </c>
      <c r="I2334">
        <v>6</v>
      </c>
      <c r="J2334">
        <v>110.53</v>
      </c>
      <c r="K2334">
        <v>7</v>
      </c>
      <c r="L2334">
        <f>_xlfn.XLOOKUP(C2334, dim_teams[team_name], dim_teams[team_id], "Not found", 0)</f>
        <v>1</v>
      </c>
    </row>
    <row r="2335" spans="1:12" x14ac:dyDescent="0.3">
      <c r="A2335" t="s">
        <v>615</v>
      </c>
      <c r="B2335">
        <v>2014</v>
      </c>
      <c r="C2335" t="s">
        <v>19</v>
      </c>
      <c r="D2335">
        <v>10</v>
      </c>
      <c r="E2335">
        <v>14</v>
      </c>
      <c r="F2335">
        <v>0</v>
      </c>
      <c r="G2335">
        <v>0</v>
      </c>
      <c r="H2335">
        <v>1</v>
      </c>
      <c r="I2335">
        <v>4</v>
      </c>
      <c r="J2335">
        <v>71.430000000000007</v>
      </c>
      <c r="K2335">
        <v>10</v>
      </c>
      <c r="L2335">
        <f>_xlfn.XLOOKUP(C2335, dim_teams[team_name], dim_teams[team_id], "Not found", 0)</f>
        <v>1</v>
      </c>
    </row>
    <row r="2336" spans="1:12" x14ac:dyDescent="0.3">
      <c r="A2336" t="s">
        <v>615</v>
      </c>
      <c r="B2336">
        <v>2015</v>
      </c>
      <c r="C2336" t="s">
        <v>19</v>
      </c>
      <c r="D2336">
        <v>0</v>
      </c>
      <c r="E2336">
        <v>1</v>
      </c>
      <c r="F2336">
        <v>0</v>
      </c>
      <c r="G2336">
        <v>0</v>
      </c>
      <c r="H2336">
        <v>0</v>
      </c>
      <c r="I2336">
        <v>1</v>
      </c>
      <c r="J2336">
        <v>0</v>
      </c>
      <c r="L2336">
        <f>_xlfn.XLOOKUP(C2336, dim_teams[team_name], dim_teams[team_id], "Not found", 0)</f>
        <v>1</v>
      </c>
    </row>
    <row r="2337" spans="1:12" x14ac:dyDescent="0.3">
      <c r="A2337" t="s">
        <v>615</v>
      </c>
      <c r="B2337">
        <v>2016</v>
      </c>
      <c r="C2337" t="s">
        <v>19</v>
      </c>
      <c r="D2337">
        <v>7</v>
      </c>
      <c r="E2337">
        <v>13</v>
      </c>
      <c r="F2337">
        <v>0</v>
      </c>
      <c r="G2337">
        <v>0</v>
      </c>
      <c r="H2337">
        <v>0</v>
      </c>
      <c r="I2337">
        <v>3</v>
      </c>
      <c r="J2337">
        <v>53.85</v>
      </c>
      <c r="L2337">
        <f>_xlfn.XLOOKUP(C2337, dim_teams[team_name], dim_teams[team_id], "Not found", 0)</f>
        <v>1</v>
      </c>
    </row>
    <row r="2338" spans="1:12" x14ac:dyDescent="0.3">
      <c r="A2338" t="s">
        <v>615</v>
      </c>
      <c r="B2338">
        <v>2017</v>
      </c>
      <c r="C2338" t="s">
        <v>19</v>
      </c>
      <c r="D2338">
        <v>224</v>
      </c>
      <c r="E2338">
        <v>130</v>
      </c>
      <c r="F2338">
        <v>34</v>
      </c>
      <c r="G2338">
        <v>10</v>
      </c>
      <c r="H2338">
        <v>12</v>
      </c>
      <c r="I2338">
        <v>14</v>
      </c>
      <c r="J2338">
        <v>172.31</v>
      </c>
      <c r="K2338">
        <v>18.670000000000002</v>
      </c>
      <c r="L2338">
        <f>_xlfn.XLOOKUP(C2338, dim_teams[team_name], dim_teams[team_id], "Not found", 0)</f>
        <v>1</v>
      </c>
    </row>
    <row r="2339" spans="1:12" x14ac:dyDescent="0.3">
      <c r="A2339" t="s">
        <v>615</v>
      </c>
      <c r="B2339">
        <v>2018</v>
      </c>
      <c r="C2339" t="s">
        <v>19</v>
      </c>
      <c r="D2339">
        <v>357</v>
      </c>
      <c r="E2339">
        <v>188</v>
      </c>
      <c r="F2339">
        <v>40</v>
      </c>
      <c r="G2339">
        <v>23</v>
      </c>
      <c r="H2339">
        <v>16</v>
      </c>
      <c r="I2339">
        <v>16</v>
      </c>
      <c r="J2339">
        <v>189.89</v>
      </c>
      <c r="K2339">
        <v>22.31</v>
      </c>
      <c r="L2339">
        <f>_xlfn.XLOOKUP(C2339, dim_teams[team_name], dim_teams[team_id], "Not found", 0)</f>
        <v>1</v>
      </c>
    </row>
    <row r="2340" spans="1:12" x14ac:dyDescent="0.3">
      <c r="A2340" t="s">
        <v>615</v>
      </c>
      <c r="B2340">
        <v>2019</v>
      </c>
      <c r="C2340" t="s">
        <v>19</v>
      </c>
      <c r="D2340">
        <v>143</v>
      </c>
      <c r="E2340">
        <v>85</v>
      </c>
      <c r="F2340">
        <v>17</v>
      </c>
      <c r="G2340">
        <v>9</v>
      </c>
      <c r="H2340">
        <v>7</v>
      </c>
      <c r="I2340">
        <v>8</v>
      </c>
      <c r="J2340">
        <v>168.24</v>
      </c>
      <c r="K2340">
        <v>20.43</v>
      </c>
      <c r="L2340">
        <f>_xlfn.XLOOKUP(C2340, dim_teams[team_name], dim_teams[team_id], "Not found", 0)</f>
        <v>1</v>
      </c>
    </row>
    <row r="2341" spans="1:12" x14ac:dyDescent="0.3">
      <c r="A2341" t="s">
        <v>615</v>
      </c>
      <c r="B2341">
        <v>2020</v>
      </c>
      <c r="C2341" t="s">
        <v>19</v>
      </c>
      <c r="D2341">
        <v>121</v>
      </c>
      <c r="E2341">
        <v>85</v>
      </c>
      <c r="F2341">
        <v>10</v>
      </c>
      <c r="G2341">
        <v>8</v>
      </c>
      <c r="H2341">
        <v>9</v>
      </c>
      <c r="I2341">
        <v>9</v>
      </c>
      <c r="J2341">
        <v>142.35</v>
      </c>
      <c r="K2341">
        <v>13.44</v>
      </c>
      <c r="L2341">
        <f>_xlfn.XLOOKUP(C2341, dim_teams[team_name], dim_teams[team_id], "Not found", 0)</f>
        <v>1</v>
      </c>
    </row>
    <row r="2342" spans="1:12" x14ac:dyDescent="0.3">
      <c r="A2342" t="s">
        <v>615</v>
      </c>
      <c r="B2342">
        <v>2021</v>
      </c>
      <c r="C2342" t="s">
        <v>19</v>
      </c>
      <c r="D2342">
        <v>62</v>
      </c>
      <c r="E2342">
        <v>47</v>
      </c>
      <c r="F2342">
        <v>3</v>
      </c>
      <c r="G2342">
        <v>5</v>
      </c>
      <c r="H2342">
        <v>8</v>
      </c>
      <c r="I2342">
        <v>10</v>
      </c>
      <c r="J2342">
        <v>131.91</v>
      </c>
      <c r="K2342">
        <v>7.75</v>
      </c>
      <c r="L2342">
        <f>_xlfn.XLOOKUP(C2342, dim_teams[team_name], dim_teams[team_id], "Not found", 0)</f>
        <v>1</v>
      </c>
    </row>
    <row r="2343" spans="1:12" x14ac:dyDescent="0.3">
      <c r="A2343" t="s">
        <v>615</v>
      </c>
      <c r="B2343">
        <v>2022</v>
      </c>
      <c r="C2343" t="s">
        <v>19</v>
      </c>
      <c r="D2343">
        <v>71</v>
      </c>
      <c r="E2343">
        <v>40</v>
      </c>
      <c r="F2343">
        <v>6</v>
      </c>
      <c r="G2343">
        <v>6</v>
      </c>
      <c r="H2343">
        <v>7</v>
      </c>
      <c r="I2343">
        <v>9</v>
      </c>
      <c r="J2343">
        <v>177.5</v>
      </c>
      <c r="K2343">
        <v>10.14</v>
      </c>
      <c r="L2343">
        <f>_xlfn.XLOOKUP(C2343, dim_teams[team_name], dim_teams[team_id], "Not found", 0)</f>
        <v>1</v>
      </c>
    </row>
    <row r="2344" spans="1:12" x14ac:dyDescent="0.3">
      <c r="A2344" t="s">
        <v>615</v>
      </c>
      <c r="B2344">
        <v>2023</v>
      </c>
      <c r="C2344" t="s">
        <v>19</v>
      </c>
      <c r="D2344">
        <v>21</v>
      </c>
      <c r="E2344">
        <v>25</v>
      </c>
      <c r="F2344">
        <v>2</v>
      </c>
      <c r="G2344">
        <v>1</v>
      </c>
      <c r="H2344">
        <v>7</v>
      </c>
      <c r="I2344">
        <v>10</v>
      </c>
      <c r="J2344">
        <v>84</v>
      </c>
      <c r="K2344">
        <v>3</v>
      </c>
      <c r="L2344">
        <f>_xlfn.XLOOKUP(C2344, dim_teams[team_name], dim_teams[team_id], "Not found", 0)</f>
        <v>1</v>
      </c>
    </row>
    <row r="2345" spans="1:12" x14ac:dyDescent="0.3">
      <c r="A2345" t="s">
        <v>615</v>
      </c>
      <c r="B2345">
        <v>2024</v>
      </c>
      <c r="C2345" t="s">
        <v>19</v>
      </c>
      <c r="D2345">
        <v>488</v>
      </c>
      <c r="E2345">
        <v>269</v>
      </c>
      <c r="F2345">
        <v>50</v>
      </c>
      <c r="G2345">
        <v>33</v>
      </c>
      <c r="H2345">
        <v>13</v>
      </c>
      <c r="I2345">
        <v>14</v>
      </c>
      <c r="J2345">
        <v>181.41</v>
      </c>
      <c r="K2345">
        <v>37.54</v>
      </c>
      <c r="L2345">
        <f>_xlfn.XLOOKUP(C2345, dim_teams[team_name], dim_teams[team_id], "Not found", 0)</f>
        <v>1</v>
      </c>
    </row>
    <row r="2346" spans="1:12" x14ac:dyDescent="0.3">
      <c r="A2346" t="s">
        <v>615</v>
      </c>
      <c r="B2346">
        <v>2025</v>
      </c>
      <c r="C2346" t="s">
        <v>19</v>
      </c>
      <c r="D2346">
        <v>246</v>
      </c>
      <c r="E2346">
        <v>144</v>
      </c>
      <c r="F2346">
        <v>25</v>
      </c>
      <c r="G2346">
        <v>19</v>
      </c>
      <c r="H2346">
        <v>11</v>
      </c>
      <c r="I2346">
        <v>12</v>
      </c>
      <c r="J2346">
        <v>170.83</v>
      </c>
      <c r="K2346">
        <v>22.36</v>
      </c>
      <c r="L2346">
        <f>_xlfn.XLOOKUP(C2346, dim_teams[team_name], dim_teams[team_id], "Not found", 0)</f>
        <v>1</v>
      </c>
    </row>
    <row r="2347" spans="1:12" x14ac:dyDescent="0.3">
      <c r="A2347" t="s">
        <v>616</v>
      </c>
      <c r="B2347">
        <v>2012</v>
      </c>
      <c r="C2347" t="s">
        <v>37</v>
      </c>
      <c r="D2347">
        <v>362</v>
      </c>
      <c r="E2347">
        <v>262</v>
      </c>
      <c r="F2347">
        <v>24</v>
      </c>
      <c r="G2347">
        <v>14</v>
      </c>
      <c r="H2347">
        <v>10</v>
      </c>
      <c r="I2347">
        <v>14</v>
      </c>
      <c r="J2347">
        <v>138.16999999999999</v>
      </c>
      <c r="K2347">
        <v>36.200000000000003</v>
      </c>
      <c r="L2347">
        <f>_xlfn.XLOOKUP(C2347, dim_teams[team_name], dim_teams[team_id], "Not found", 0)</f>
        <v>10</v>
      </c>
    </row>
    <row r="2348" spans="1:12" x14ac:dyDescent="0.3">
      <c r="A2348" t="s">
        <v>616</v>
      </c>
      <c r="B2348">
        <v>2013</v>
      </c>
      <c r="C2348" t="s">
        <v>37</v>
      </c>
      <c r="D2348">
        <v>159</v>
      </c>
      <c r="E2348">
        <v>132</v>
      </c>
      <c r="F2348">
        <v>15</v>
      </c>
      <c r="G2348">
        <v>4</v>
      </c>
      <c r="H2348">
        <v>5</v>
      </c>
      <c r="I2348">
        <v>7</v>
      </c>
      <c r="J2348">
        <v>120.45</v>
      </c>
      <c r="K2348">
        <v>31.8</v>
      </c>
      <c r="L2348">
        <f>_xlfn.XLOOKUP(C2348, dim_teams[team_name], dim_teams[team_id], "Not found", 0)</f>
        <v>10</v>
      </c>
    </row>
    <row r="2349" spans="1:12" x14ac:dyDescent="0.3">
      <c r="A2349" t="s">
        <v>616</v>
      </c>
      <c r="B2349">
        <v>2014</v>
      </c>
      <c r="C2349" t="s">
        <v>17</v>
      </c>
      <c r="D2349">
        <v>152</v>
      </c>
      <c r="E2349">
        <v>112</v>
      </c>
      <c r="F2349">
        <v>13</v>
      </c>
      <c r="G2349">
        <v>4</v>
      </c>
      <c r="H2349">
        <v>5</v>
      </c>
      <c r="I2349">
        <v>7</v>
      </c>
      <c r="J2349">
        <v>135.71</v>
      </c>
      <c r="K2349">
        <v>30.4</v>
      </c>
      <c r="L2349">
        <f>_xlfn.XLOOKUP(C2349, dim_teams[team_name], dim_teams[team_id], "Not found", 0)</f>
        <v>5</v>
      </c>
    </row>
    <row r="2350" spans="1:12" x14ac:dyDescent="0.3">
      <c r="A2350" t="s">
        <v>616</v>
      </c>
      <c r="B2350">
        <v>2015</v>
      </c>
      <c r="C2350" t="s">
        <v>17</v>
      </c>
      <c r="D2350">
        <v>298</v>
      </c>
      <c r="E2350">
        <v>220</v>
      </c>
      <c r="F2350">
        <v>34</v>
      </c>
      <c r="G2350">
        <v>3</v>
      </c>
      <c r="H2350">
        <v>12</v>
      </c>
      <c r="I2350">
        <v>12</v>
      </c>
      <c r="J2350">
        <v>135.44999999999999</v>
      </c>
      <c r="K2350">
        <v>24.83</v>
      </c>
      <c r="L2350">
        <f>_xlfn.XLOOKUP(C2350, dim_teams[team_name], dim_teams[team_id], "Not found", 0)</f>
        <v>5</v>
      </c>
    </row>
    <row r="2351" spans="1:12" x14ac:dyDescent="0.3">
      <c r="A2351" t="s">
        <v>616</v>
      </c>
      <c r="B2351">
        <v>2016</v>
      </c>
      <c r="C2351" t="s">
        <v>45</v>
      </c>
      <c r="D2351">
        <v>270</v>
      </c>
      <c r="E2351">
        <v>175</v>
      </c>
      <c r="F2351">
        <v>27</v>
      </c>
      <c r="G2351">
        <v>8</v>
      </c>
      <c r="H2351">
        <v>6</v>
      </c>
      <c r="I2351">
        <v>7</v>
      </c>
      <c r="J2351">
        <v>154.29</v>
      </c>
      <c r="K2351">
        <v>45</v>
      </c>
      <c r="L2351">
        <f>_xlfn.XLOOKUP(C2351, dim_teams[team_name], dim_teams[team_id], "Not found", 0)</f>
        <v>12</v>
      </c>
    </row>
    <row r="2352" spans="1:12" x14ac:dyDescent="0.3">
      <c r="A2352" t="s">
        <v>616</v>
      </c>
      <c r="B2352">
        <v>2017</v>
      </c>
      <c r="C2352" t="s">
        <v>46</v>
      </c>
      <c r="D2352">
        <v>472</v>
      </c>
      <c r="E2352">
        <v>387</v>
      </c>
      <c r="F2352">
        <v>38</v>
      </c>
      <c r="G2352">
        <v>12</v>
      </c>
      <c r="H2352">
        <v>12</v>
      </c>
      <c r="I2352">
        <v>15</v>
      </c>
      <c r="J2352">
        <v>121.96</v>
      </c>
      <c r="K2352">
        <v>39.33</v>
      </c>
      <c r="L2352">
        <f>_xlfn.XLOOKUP(C2352, dim_teams[team_name], dim_teams[team_id], "Not found", 0)</f>
        <v>14</v>
      </c>
    </row>
    <row r="2353" spans="1:12" x14ac:dyDescent="0.3">
      <c r="A2353" t="s">
        <v>616</v>
      </c>
      <c r="B2353">
        <v>2019</v>
      </c>
      <c r="C2353" t="s">
        <v>17</v>
      </c>
      <c r="D2353">
        <v>319</v>
      </c>
      <c r="E2353">
        <v>273</v>
      </c>
      <c r="F2353">
        <v>30</v>
      </c>
      <c r="G2353">
        <v>4</v>
      </c>
      <c r="H2353">
        <v>9</v>
      </c>
      <c r="I2353">
        <v>10</v>
      </c>
      <c r="J2353">
        <v>116.85</v>
      </c>
      <c r="K2353">
        <v>35.44</v>
      </c>
      <c r="L2353">
        <f>_xlfn.XLOOKUP(C2353, dim_teams[team_name], dim_teams[team_id], "Not found", 0)</f>
        <v>5</v>
      </c>
    </row>
    <row r="2354" spans="1:12" x14ac:dyDescent="0.3">
      <c r="A2354" t="s">
        <v>616</v>
      </c>
      <c r="B2354">
        <v>2020</v>
      </c>
      <c r="C2354" t="s">
        <v>17</v>
      </c>
      <c r="D2354">
        <v>311</v>
      </c>
      <c r="E2354">
        <v>235</v>
      </c>
      <c r="F2354">
        <v>32</v>
      </c>
      <c r="G2354">
        <v>9</v>
      </c>
      <c r="H2354">
        <v>13</v>
      </c>
      <c r="I2354">
        <v>14</v>
      </c>
      <c r="J2354">
        <v>132.34</v>
      </c>
      <c r="K2354">
        <v>23.92</v>
      </c>
      <c r="L2354">
        <f>_xlfn.XLOOKUP(C2354, dim_teams[team_name], dim_teams[team_id], "Not found", 0)</f>
        <v>5</v>
      </c>
    </row>
    <row r="2355" spans="1:12" x14ac:dyDescent="0.3">
      <c r="A2355" t="s">
        <v>616</v>
      </c>
      <c r="B2355">
        <v>2021</v>
      </c>
      <c r="C2355" t="s">
        <v>33</v>
      </c>
      <c r="D2355">
        <v>152</v>
      </c>
      <c r="E2355">
        <v>135</v>
      </c>
      <c r="F2355">
        <v>13</v>
      </c>
      <c r="G2355">
        <v>2</v>
      </c>
      <c r="H2355">
        <v>6</v>
      </c>
      <c r="I2355">
        <v>7</v>
      </c>
      <c r="J2355">
        <v>112.59</v>
      </c>
      <c r="K2355">
        <v>25.33</v>
      </c>
      <c r="L2355">
        <f>_xlfn.XLOOKUP(C2355, dim_teams[team_name], dim_teams[team_id], "Not found", 0)</f>
        <v>15</v>
      </c>
    </row>
    <row r="2356" spans="1:12" x14ac:dyDescent="0.3">
      <c r="A2356" t="s">
        <v>617</v>
      </c>
      <c r="B2356">
        <v>2008</v>
      </c>
      <c r="C2356" t="s">
        <v>23</v>
      </c>
      <c r="D2356">
        <v>188</v>
      </c>
      <c r="E2356">
        <v>177</v>
      </c>
      <c r="F2356">
        <v>26</v>
      </c>
      <c r="G2356">
        <v>2</v>
      </c>
      <c r="H2356">
        <v>6</v>
      </c>
      <c r="I2356">
        <v>7</v>
      </c>
      <c r="J2356">
        <v>106.21</v>
      </c>
      <c r="K2356">
        <v>31.33</v>
      </c>
      <c r="L2356">
        <f>_xlfn.XLOOKUP(C2356, dim_teams[team_name], dim_teams[team_id], "Not found", 0)</f>
        <v>7</v>
      </c>
    </row>
    <row r="2357" spans="1:12" x14ac:dyDescent="0.3">
      <c r="A2357" t="s">
        <v>617</v>
      </c>
      <c r="B2357">
        <v>2009</v>
      </c>
      <c r="C2357" t="s">
        <v>23</v>
      </c>
      <c r="D2357">
        <v>364</v>
      </c>
      <c r="E2357">
        <v>299</v>
      </c>
      <c r="F2357">
        <v>39</v>
      </c>
      <c r="G2357">
        <v>10</v>
      </c>
      <c r="H2357">
        <v>11</v>
      </c>
      <c r="I2357">
        <v>13</v>
      </c>
      <c r="J2357">
        <v>121.74</v>
      </c>
      <c r="K2357">
        <v>33.090000000000003</v>
      </c>
      <c r="L2357">
        <f>_xlfn.XLOOKUP(C2357, dim_teams[team_name], dim_teams[team_id], "Not found", 0)</f>
        <v>7</v>
      </c>
    </row>
    <row r="2358" spans="1:12" x14ac:dyDescent="0.3">
      <c r="A2358" t="s">
        <v>617</v>
      </c>
      <c r="B2358">
        <v>2010</v>
      </c>
      <c r="C2358" t="s">
        <v>23</v>
      </c>
      <c r="D2358">
        <v>618</v>
      </c>
      <c r="E2358">
        <v>463</v>
      </c>
      <c r="F2358">
        <v>86</v>
      </c>
      <c r="G2358">
        <v>3</v>
      </c>
      <c r="H2358">
        <v>13</v>
      </c>
      <c r="I2358">
        <v>15</v>
      </c>
      <c r="J2358">
        <v>133.47999999999999</v>
      </c>
      <c r="K2358">
        <v>47.54</v>
      </c>
      <c r="L2358">
        <f>_xlfn.XLOOKUP(C2358, dim_teams[team_name], dim_teams[team_id], "Not found", 0)</f>
        <v>7</v>
      </c>
    </row>
    <row r="2359" spans="1:12" x14ac:dyDescent="0.3">
      <c r="A2359" t="s">
        <v>617</v>
      </c>
      <c r="B2359">
        <v>2011</v>
      </c>
      <c r="C2359" t="s">
        <v>23</v>
      </c>
      <c r="D2359">
        <v>553</v>
      </c>
      <c r="E2359">
        <v>488</v>
      </c>
      <c r="F2359">
        <v>67</v>
      </c>
      <c r="G2359">
        <v>5</v>
      </c>
      <c r="H2359">
        <v>15</v>
      </c>
      <c r="I2359">
        <v>16</v>
      </c>
      <c r="J2359">
        <v>113.32</v>
      </c>
      <c r="K2359">
        <v>36.869999999999997</v>
      </c>
      <c r="L2359">
        <f>_xlfn.XLOOKUP(C2359, dim_teams[team_name], dim_teams[team_id], "Not found", 0)</f>
        <v>7</v>
      </c>
    </row>
    <row r="2360" spans="1:12" x14ac:dyDescent="0.3">
      <c r="A2360" t="s">
        <v>617</v>
      </c>
      <c r="B2360">
        <v>2012</v>
      </c>
      <c r="C2360" t="s">
        <v>23</v>
      </c>
      <c r="D2360">
        <v>324</v>
      </c>
      <c r="E2360">
        <v>283</v>
      </c>
      <c r="F2360">
        <v>39</v>
      </c>
      <c r="G2360">
        <v>4</v>
      </c>
      <c r="H2360">
        <v>12</v>
      </c>
      <c r="I2360">
        <v>13</v>
      </c>
      <c r="J2360">
        <v>114.49</v>
      </c>
      <c r="K2360">
        <v>27</v>
      </c>
      <c r="L2360">
        <f>_xlfn.XLOOKUP(C2360, dim_teams[team_name], dim_teams[team_id], "Not found", 0)</f>
        <v>7</v>
      </c>
    </row>
    <row r="2361" spans="1:12" x14ac:dyDescent="0.3">
      <c r="A2361" t="s">
        <v>617</v>
      </c>
      <c r="B2361">
        <v>2013</v>
      </c>
      <c r="C2361" t="s">
        <v>23</v>
      </c>
      <c r="D2361">
        <v>287</v>
      </c>
      <c r="E2361">
        <v>231</v>
      </c>
      <c r="F2361">
        <v>39</v>
      </c>
      <c r="G2361">
        <v>5</v>
      </c>
      <c r="H2361">
        <v>14</v>
      </c>
      <c r="I2361">
        <v>14</v>
      </c>
      <c r="J2361">
        <v>124.24</v>
      </c>
      <c r="K2361">
        <v>20.5</v>
      </c>
      <c r="L2361">
        <f>_xlfn.XLOOKUP(C2361, dim_teams[team_name], dim_teams[team_id], "Not found", 0)</f>
        <v>7</v>
      </c>
    </row>
    <row r="2362" spans="1:12" x14ac:dyDescent="0.3">
      <c r="A2362" t="s">
        <v>618</v>
      </c>
      <c r="B2362">
        <v>2008</v>
      </c>
      <c r="C2362" t="s">
        <v>17</v>
      </c>
      <c r="D2362">
        <v>472</v>
      </c>
      <c r="E2362">
        <v>307</v>
      </c>
      <c r="F2362">
        <v>47</v>
      </c>
      <c r="G2362">
        <v>19</v>
      </c>
      <c r="H2362">
        <v>10</v>
      </c>
      <c r="I2362">
        <v>15</v>
      </c>
      <c r="J2362">
        <v>153.75</v>
      </c>
      <c r="K2362">
        <v>47.2</v>
      </c>
      <c r="L2362">
        <f>_xlfn.XLOOKUP(C2362, dim_teams[team_name], dim_teams[team_id], "Not found", 0)</f>
        <v>5</v>
      </c>
    </row>
    <row r="2363" spans="1:12" x14ac:dyDescent="0.3">
      <c r="A2363" t="s">
        <v>618</v>
      </c>
      <c r="B2363">
        <v>2010</v>
      </c>
      <c r="C2363" t="s">
        <v>17</v>
      </c>
      <c r="D2363">
        <v>185</v>
      </c>
      <c r="E2363">
        <v>113</v>
      </c>
      <c r="F2363">
        <v>18</v>
      </c>
      <c r="G2363">
        <v>9</v>
      </c>
      <c r="H2363">
        <v>5</v>
      </c>
      <c r="I2363">
        <v>5</v>
      </c>
      <c r="J2363">
        <v>163.72</v>
      </c>
      <c r="K2363">
        <v>37</v>
      </c>
      <c r="L2363">
        <f>_xlfn.XLOOKUP(C2363, dim_teams[team_name], dim_teams[team_id], "Not found", 0)</f>
        <v>5</v>
      </c>
    </row>
    <row r="2364" spans="1:12" x14ac:dyDescent="0.3">
      <c r="A2364" t="s">
        <v>618</v>
      </c>
      <c r="B2364">
        <v>2011</v>
      </c>
      <c r="C2364" t="s">
        <v>17</v>
      </c>
      <c r="D2364">
        <v>330</v>
      </c>
      <c r="E2364">
        <v>252</v>
      </c>
      <c r="F2364">
        <v>31</v>
      </c>
      <c r="G2364">
        <v>17</v>
      </c>
      <c r="H2364">
        <v>10</v>
      </c>
      <c r="I2364">
        <v>11</v>
      </c>
      <c r="J2364">
        <v>130.94999999999999</v>
      </c>
      <c r="K2364">
        <v>33</v>
      </c>
      <c r="L2364">
        <f>_xlfn.XLOOKUP(C2364, dim_teams[team_name], dim_teams[team_id], "Not found", 0)</f>
        <v>5</v>
      </c>
    </row>
    <row r="2365" spans="1:12" x14ac:dyDescent="0.3">
      <c r="A2365" t="s">
        <v>618</v>
      </c>
      <c r="B2365">
        <v>2012</v>
      </c>
      <c r="C2365" t="s">
        <v>17</v>
      </c>
      <c r="D2365">
        <v>255</v>
      </c>
      <c r="E2365">
        <v>168</v>
      </c>
      <c r="F2365">
        <v>26</v>
      </c>
      <c r="G2365">
        <v>14</v>
      </c>
      <c r="H2365">
        <v>6</v>
      </c>
      <c r="I2365">
        <v>7</v>
      </c>
      <c r="J2365">
        <v>151.79</v>
      </c>
      <c r="K2365">
        <v>42.5</v>
      </c>
      <c r="L2365">
        <f>_xlfn.XLOOKUP(C2365, dim_teams[team_name], dim_teams[team_id], "Not found", 0)</f>
        <v>5</v>
      </c>
    </row>
    <row r="2366" spans="1:12" x14ac:dyDescent="0.3">
      <c r="A2366" t="s">
        <v>618</v>
      </c>
      <c r="B2366">
        <v>2013</v>
      </c>
      <c r="C2366" t="s">
        <v>17</v>
      </c>
      <c r="D2366">
        <v>543</v>
      </c>
      <c r="E2366">
        <v>378</v>
      </c>
      <c r="F2366">
        <v>59</v>
      </c>
      <c r="G2366">
        <v>22</v>
      </c>
      <c r="H2366">
        <v>14</v>
      </c>
      <c r="I2366">
        <v>16</v>
      </c>
      <c r="J2366">
        <v>143.65</v>
      </c>
      <c r="K2366">
        <v>38.79</v>
      </c>
      <c r="L2366">
        <f>_xlfn.XLOOKUP(C2366, dim_teams[team_name], dim_teams[team_id], "Not found", 0)</f>
        <v>5</v>
      </c>
    </row>
    <row r="2367" spans="1:12" x14ac:dyDescent="0.3">
      <c r="A2367" t="s">
        <v>618</v>
      </c>
      <c r="B2367">
        <v>2014</v>
      </c>
      <c r="C2367" t="s">
        <v>17</v>
      </c>
      <c r="D2367">
        <v>246</v>
      </c>
      <c r="E2367">
        <v>198</v>
      </c>
      <c r="F2367">
        <v>20</v>
      </c>
      <c r="G2367">
        <v>14</v>
      </c>
      <c r="H2367">
        <v>12</v>
      </c>
      <c r="I2367">
        <v>13</v>
      </c>
      <c r="J2367">
        <v>124.24</v>
      </c>
      <c r="K2367">
        <v>20.5</v>
      </c>
      <c r="L2367">
        <f>_xlfn.XLOOKUP(C2367, dim_teams[team_name], dim_teams[team_id], "Not found", 0)</f>
        <v>5</v>
      </c>
    </row>
    <row r="2368" spans="1:12" x14ac:dyDescent="0.3">
      <c r="A2368" t="s">
        <v>618</v>
      </c>
      <c r="B2368">
        <v>2015</v>
      </c>
      <c r="C2368" t="s">
        <v>17</v>
      </c>
      <c r="D2368">
        <v>347</v>
      </c>
      <c r="E2368">
        <v>257</v>
      </c>
      <c r="F2368">
        <v>37</v>
      </c>
      <c r="G2368">
        <v>14</v>
      </c>
      <c r="H2368">
        <v>9</v>
      </c>
      <c r="I2368">
        <v>9</v>
      </c>
      <c r="J2368">
        <v>135.02000000000001</v>
      </c>
      <c r="K2368">
        <v>38.56</v>
      </c>
      <c r="L2368">
        <f>_xlfn.XLOOKUP(C2368, dim_teams[team_name], dim_teams[team_id], "Not found", 0)</f>
        <v>5</v>
      </c>
    </row>
    <row r="2369" spans="1:12" x14ac:dyDescent="0.3">
      <c r="A2369" t="s">
        <v>618</v>
      </c>
      <c r="B2369">
        <v>2016</v>
      </c>
      <c r="C2369" t="s">
        <v>21</v>
      </c>
      <c r="D2369">
        <v>179</v>
      </c>
      <c r="E2369">
        <v>134</v>
      </c>
      <c r="F2369">
        <v>14</v>
      </c>
      <c r="G2369">
        <v>12</v>
      </c>
      <c r="H2369">
        <v>13</v>
      </c>
      <c r="I2369">
        <v>15</v>
      </c>
      <c r="J2369">
        <v>133.58000000000001</v>
      </c>
      <c r="K2369">
        <v>13.77</v>
      </c>
      <c r="L2369">
        <f>_xlfn.XLOOKUP(C2369, dim_teams[team_name], dim_teams[team_id], "Not found", 0)</f>
        <v>2</v>
      </c>
    </row>
    <row r="2370" spans="1:12" x14ac:dyDescent="0.3">
      <c r="A2370" t="s">
        <v>618</v>
      </c>
      <c r="B2370">
        <v>2017</v>
      </c>
      <c r="C2370" t="s">
        <v>21</v>
      </c>
      <c r="D2370">
        <v>71</v>
      </c>
      <c r="E2370">
        <v>78</v>
      </c>
      <c r="F2370">
        <v>6</v>
      </c>
      <c r="G2370">
        <v>1</v>
      </c>
      <c r="H2370">
        <v>6</v>
      </c>
      <c r="I2370">
        <v>7</v>
      </c>
      <c r="J2370">
        <v>91.03</v>
      </c>
      <c r="K2370">
        <v>11.83</v>
      </c>
      <c r="L2370">
        <f>_xlfn.XLOOKUP(C2370, dim_teams[team_name], dim_teams[team_id], "Not found", 0)</f>
        <v>2</v>
      </c>
    </row>
    <row r="2371" spans="1:12" x14ac:dyDescent="0.3">
      <c r="A2371" t="s">
        <v>618</v>
      </c>
      <c r="B2371">
        <v>2018</v>
      </c>
      <c r="C2371" t="s">
        <v>25</v>
      </c>
      <c r="D2371">
        <v>555</v>
      </c>
      <c r="E2371">
        <v>358</v>
      </c>
      <c r="F2371">
        <v>44</v>
      </c>
      <c r="G2371">
        <v>35</v>
      </c>
      <c r="H2371">
        <v>13</v>
      </c>
      <c r="I2371">
        <v>15</v>
      </c>
      <c r="J2371">
        <v>155.03</v>
      </c>
      <c r="K2371">
        <v>42.69</v>
      </c>
      <c r="L2371">
        <f>_xlfn.XLOOKUP(C2371, dim_teams[team_name], dim_teams[team_id], "Not found", 0)</f>
        <v>3</v>
      </c>
    </row>
    <row r="2372" spans="1:12" x14ac:dyDescent="0.3">
      <c r="A2372" t="s">
        <v>618</v>
      </c>
      <c r="B2372">
        <v>2019</v>
      </c>
      <c r="C2372" t="s">
        <v>25</v>
      </c>
      <c r="D2372">
        <v>398</v>
      </c>
      <c r="E2372">
        <v>311</v>
      </c>
      <c r="F2372">
        <v>42</v>
      </c>
      <c r="G2372">
        <v>20</v>
      </c>
      <c r="H2372">
        <v>18</v>
      </c>
      <c r="I2372">
        <v>17</v>
      </c>
      <c r="J2372">
        <v>127.97</v>
      </c>
      <c r="K2372">
        <v>22.11</v>
      </c>
      <c r="L2372">
        <f>_xlfn.XLOOKUP(C2372, dim_teams[team_name], dim_teams[team_id], "Not found", 0)</f>
        <v>3</v>
      </c>
    </row>
    <row r="2373" spans="1:12" x14ac:dyDescent="0.3">
      <c r="A2373" t="s">
        <v>618</v>
      </c>
      <c r="B2373">
        <v>2020</v>
      </c>
      <c r="C2373" t="s">
        <v>25</v>
      </c>
      <c r="D2373">
        <v>299</v>
      </c>
      <c r="E2373">
        <v>247</v>
      </c>
      <c r="F2373">
        <v>33</v>
      </c>
      <c r="G2373">
        <v>13</v>
      </c>
      <c r="H2373">
        <v>10</v>
      </c>
      <c r="I2373">
        <v>11</v>
      </c>
      <c r="J2373">
        <v>121.05</v>
      </c>
      <c r="K2373">
        <v>29.9</v>
      </c>
      <c r="L2373">
        <f>_xlfn.XLOOKUP(C2373, dim_teams[team_name], dim_teams[team_id], "Not found", 0)</f>
        <v>3</v>
      </c>
    </row>
    <row r="2374" spans="1:12" x14ac:dyDescent="0.3">
      <c r="A2374" t="s">
        <v>619</v>
      </c>
      <c r="B2374">
        <v>2020</v>
      </c>
      <c r="C2374" t="s">
        <v>54</v>
      </c>
      <c r="D2374">
        <v>0</v>
      </c>
      <c r="E2374">
        <v>2</v>
      </c>
      <c r="F2374">
        <v>0</v>
      </c>
      <c r="G2374">
        <v>0</v>
      </c>
      <c r="H2374">
        <v>1</v>
      </c>
      <c r="I2374">
        <v>1</v>
      </c>
      <c r="J2374">
        <v>0</v>
      </c>
      <c r="K2374">
        <v>0</v>
      </c>
      <c r="L2374">
        <f>_xlfn.XLOOKUP(C2374, dim_teams[team_name], dim_teams[team_id], "Not found", 0)</f>
        <v>4</v>
      </c>
    </row>
    <row r="2375" spans="1:12" x14ac:dyDescent="0.3">
      <c r="A2375" t="s">
        <v>620</v>
      </c>
      <c r="B2375">
        <v>2015</v>
      </c>
      <c r="C2375" t="s">
        <v>32</v>
      </c>
      <c r="D2375">
        <v>439</v>
      </c>
      <c r="E2375">
        <v>342</v>
      </c>
      <c r="F2375">
        <v>41</v>
      </c>
      <c r="G2375">
        <v>21</v>
      </c>
      <c r="H2375">
        <v>13</v>
      </c>
      <c r="I2375">
        <v>14</v>
      </c>
      <c r="J2375">
        <v>128.36000000000001</v>
      </c>
      <c r="K2375">
        <v>33.770000000000003</v>
      </c>
      <c r="L2375">
        <f>_xlfn.XLOOKUP(C2375, dim_teams[team_name], dim_teams[team_id], "Not found", 0)</f>
        <v>6</v>
      </c>
    </row>
    <row r="2376" spans="1:12" x14ac:dyDescent="0.3">
      <c r="A2376" t="s">
        <v>620</v>
      </c>
      <c r="B2376">
        <v>2016</v>
      </c>
      <c r="C2376" t="s">
        <v>32</v>
      </c>
      <c r="D2376">
        <v>30</v>
      </c>
      <c r="E2376">
        <v>43</v>
      </c>
      <c r="F2376">
        <v>2</v>
      </c>
      <c r="G2376">
        <v>1</v>
      </c>
      <c r="H2376">
        <v>6</v>
      </c>
      <c r="I2376">
        <v>6</v>
      </c>
      <c r="J2376">
        <v>69.77</v>
      </c>
      <c r="K2376">
        <v>5</v>
      </c>
      <c r="L2376">
        <f>_xlfn.XLOOKUP(C2376, dim_teams[team_name], dim_teams[team_id], "Not found", 0)</f>
        <v>6</v>
      </c>
    </row>
    <row r="2377" spans="1:12" x14ac:dyDescent="0.3">
      <c r="A2377" t="s">
        <v>620</v>
      </c>
      <c r="B2377">
        <v>2017</v>
      </c>
      <c r="C2377" t="s">
        <v>32</v>
      </c>
      <c r="D2377">
        <v>338</v>
      </c>
      <c r="E2377">
        <v>242</v>
      </c>
      <c r="F2377">
        <v>36</v>
      </c>
      <c r="G2377">
        <v>10</v>
      </c>
      <c r="H2377">
        <v>11</v>
      </c>
      <c r="I2377">
        <v>12</v>
      </c>
      <c r="J2377">
        <v>139.66999999999999</v>
      </c>
      <c r="K2377">
        <v>30.73</v>
      </c>
      <c r="L2377">
        <f>_xlfn.XLOOKUP(C2377, dim_teams[team_name], dim_teams[team_id], "Not found", 0)</f>
        <v>6</v>
      </c>
    </row>
    <row r="2378" spans="1:12" x14ac:dyDescent="0.3">
      <c r="A2378" t="s">
        <v>620</v>
      </c>
      <c r="B2378">
        <v>2018</v>
      </c>
      <c r="C2378" t="s">
        <v>32</v>
      </c>
      <c r="D2378">
        <v>411</v>
      </c>
      <c r="E2378">
        <v>309</v>
      </c>
      <c r="F2378">
        <v>29</v>
      </c>
      <c r="G2378">
        <v>21</v>
      </c>
      <c r="H2378">
        <v>12</v>
      </c>
      <c r="I2378">
        <v>13</v>
      </c>
      <c r="J2378">
        <v>133.01</v>
      </c>
      <c r="K2378">
        <v>34.25</v>
      </c>
      <c r="L2378">
        <f>_xlfn.XLOOKUP(C2378, dim_teams[team_name], dim_teams[team_id], "Not found", 0)</f>
        <v>6</v>
      </c>
    </row>
    <row r="2379" spans="1:12" x14ac:dyDescent="0.3">
      <c r="A2379" t="s">
        <v>620</v>
      </c>
      <c r="B2379">
        <v>2019</v>
      </c>
      <c r="C2379" t="s">
        <v>33</v>
      </c>
      <c r="D2379">
        <v>467</v>
      </c>
      <c r="E2379">
        <v>386</v>
      </c>
      <c r="F2379">
        <v>42</v>
      </c>
      <c r="G2379">
        <v>14</v>
      </c>
      <c r="H2379">
        <v>16</v>
      </c>
      <c r="I2379">
        <v>16</v>
      </c>
      <c r="J2379">
        <v>120.98</v>
      </c>
      <c r="K2379">
        <v>29.19</v>
      </c>
      <c r="L2379">
        <f>_xlfn.XLOOKUP(C2379, dim_teams[team_name], dim_teams[team_id], "Not found", 0)</f>
        <v>15</v>
      </c>
    </row>
    <row r="2380" spans="1:12" x14ac:dyDescent="0.3">
      <c r="A2380" t="s">
        <v>620</v>
      </c>
      <c r="B2380">
        <v>2020</v>
      </c>
      <c r="C2380" t="s">
        <v>33</v>
      </c>
      <c r="D2380">
        <v>519</v>
      </c>
      <c r="E2380">
        <v>419</v>
      </c>
      <c r="F2380">
        <v>40</v>
      </c>
      <c r="G2380">
        <v>16</v>
      </c>
      <c r="H2380">
        <v>16</v>
      </c>
      <c r="I2380">
        <v>17</v>
      </c>
      <c r="J2380">
        <v>123.87</v>
      </c>
      <c r="K2380">
        <v>32.44</v>
      </c>
      <c r="L2380">
        <f>_xlfn.XLOOKUP(C2380, dim_teams[team_name], dim_teams[team_id], "Not found", 0)</f>
        <v>15</v>
      </c>
    </row>
    <row r="2381" spans="1:12" x14ac:dyDescent="0.3">
      <c r="A2381" t="s">
        <v>620</v>
      </c>
      <c r="B2381">
        <v>2021</v>
      </c>
      <c r="C2381" t="s">
        <v>33</v>
      </c>
      <c r="D2381">
        <v>175</v>
      </c>
      <c r="E2381">
        <v>171</v>
      </c>
      <c r="F2381">
        <v>7</v>
      </c>
      <c r="G2381">
        <v>5</v>
      </c>
      <c r="H2381">
        <v>6</v>
      </c>
      <c r="I2381">
        <v>8</v>
      </c>
      <c r="J2381">
        <v>102.34</v>
      </c>
      <c r="K2381">
        <v>29.17</v>
      </c>
      <c r="L2381">
        <f>_xlfn.XLOOKUP(C2381, dim_teams[team_name], dim_teams[team_id], "Not found", 0)</f>
        <v>15</v>
      </c>
    </row>
    <row r="2382" spans="1:12" x14ac:dyDescent="0.3">
      <c r="A2382" t="s">
        <v>620</v>
      </c>
      <c r="B2382">
        <v>2022</v>
      </c>
      <c r="C2382" t="s">
        <v>19</v>
      </c>
      <c r="D2382">
        <v>401</v>
      </c>
      <c r="E2382">
        <v>298</v>
      </c>
      <c r="F2382">
        <v>41</v>
      </c>
      <c r="G2382">
        <v>11</v>
      </c>
      <c r="H2382">
        <v>13</v>
      </c>
      <c r="I2382">
        <v>14</v>
      </c>
      <c r="J2382">
        <v>134.56</v>
      </c>
      <c r="K2382">
        <v>30.85</v>
      </c>
      <c r="L2382">
        <f>_xlfn.XLOOKUP(C2382, dim_teams[team_name], dim_teams[team_id], "Not found", 0)</f>
        <v>1</v>
      </c>
    </row>
    <row r="2383" spans="1:12" x14ac:dyDescent="0.3">
      <c r="A2383" t="s">
        <v>620</v>
      </c>
      <c r="B2383">
        <v>2024</v>
      </c>
      <c r="C2383" t="s">
        <v>19</v>
      </c>
      <c r="D2383">
        <v>351</v>
      </c>
      <c r="E2383">
        <v>239</v>
      </c>
      <c r="F2383">
        <v>34</v>
      </c>
      <c r="G2383">
        <v>14</v>
      </c>
      <c r="H2383">
        <v>9</v>
      </c>
      <c r="I2383">
        <v>14</v>
      </c>
      <c r="J2383">
        <v>146.86000000000001</v>
      </c>
      <c r="K2383">
        <v>39</v>
      </c>
      <c r="L2383">
        <f>_xlfn.XLOOKUP(C2383, dim_teams[team_name], dim_teams[team_id], "Not found", 0)</f>
        <v>1</v>
      </c>
    </row>
    <row r="2384" spans="1:12" x14ac:dyDescent="0.3">
      <c r="A2384" t="s">
        <v>620</v>
      </c>
      <c r="B2384">
        <v>2025</v>
      </c>
      <c r="C2384" t="s">
        <v>76</v>
      </c>
      <c r="D2384">
        <v>604</v>
      </c>
      <c r="E2384">
        <v>343</v>
      </c>
      <c r="F2384">
        <v>43</v>
      </c>
      <c r="G2384">
        <v>39</v>
      </c>
      <c r="H2384">
        <v>12</v>
      </c>
      <c r="I2384">
        <v>17</v>
      </c>
      <c r="J2384">
        <v>176.09</v>
      </c>
      <c r="K2384">
        <v>50.33</v>
      </c>
      <c r="L2384">
        <f>_xlfn.XLOOKUP(C2384, dim_teams[team_name], dim_teams[team_id], "Not found", 0)</f>
        <v>16</v>
      </c>
    </row>
    <row r="2385" spans="1:12" x14ac:dyDescent="0.3">
      <c r="A2385" t="s">
        <v>621</v>
      </c>
      <c r="B2385">
        <v>2022</v>
      </c>
      <c r="C2385" t="s">
        <v>21</v>
      </c>
      <c r="D2385">
        <v>67</v>
      </c>
      <c r="E2385">
        <v>58</v>
      </c>
      <c r="F2385">
        <v>7</v>
      </c>
      <c r="G2385">
        <v>2</v>
      </c>
      <c r="H2385">
        <v>5</v>
      </c>
      <c r="I2385">
        <v>5</v>
      </c>
      <c r="J2385">
        <v>115.52</v>
      </c>
      <c r="K2385">
        <v>13.4</v>
      </c>
      <c r="L2385">
        <f>_xlfn.XLOOKUP(C2385, dim_teams[team_name], dim_teams[team_id], "Not found", 0)</f>
        <v>2</v>
      </c>
    </row>
    <row r="2386" spans="1:12" x14ac:dyDescent="0.3">
      <c r="A2386" t="s">
        <v>621</v>
      </c>
      <c r="B2386">
        <v>2023</v>
      </c>
      <c r="C2386" t="s">
        <v>21</v>
      </c>
      <c r="D2386">
        <v>35</v>
      </c>
      <c r="E2386">
        <v>29</v>
      </c>
      <c r="F2386">
        <v>1</v>
      </c>
      <c r="G2386">
        <v>2</v>
      </c>
      <c r="H2386">
        <v>3</v>
      </c>
      <c r="I2386">
        <v>4</v>
      </c>
      <c r="J2386">
        <v>120.69</v>
      </c>
      <c r="K2386">
        <v>11.67</v>
      </c>
      <c r="L2386">
        <f>_xlfn.XLOOKUP(C2386, dim_teams[team_name], dim_teams[team_id], "Not found", 0)</f>
        <v>2</v>
      </c>
    </row>
    <row r="2387" spans="1:12" x14ac:dyDescent="0.3">
      <c r="A2387" t="s">
        <v>621</v>
      </c>
      <c r="B2387">
        <v>2024</v>
      </c>
      <c r="C2387" t="s">
        <v>102</v>
      </c>
      <c r="D2387">
        <v>24</v>
      </c>
      <c r="E2387">
        <v>18</v>
      </c>
      <c r="F2387">
        <v>3</v>
      </c>
      <c r="G2387">
        <v>0</v>
      </c>
      <c r="H2387">
        <v>1</v>
      </c>
      <c r="I2387">
        <v>1</v>
      </c>
      <c r="J2387">
        <v>133.33000000000001</v>
      </c>
      <c r="K2387">
        <v>24</v>
      </c>
      <c r="L2387">
        <f>_xlfn.XLOOKUP(C2387, dim_teams[team_name], dim_teams[team_id], "Not found", 0)</f>
        <v>19</v>
      </c>
    </row>
    <row r="2388" spans="1:12" x14ac:dyDescent="0.3">
      <c r="A2388" t="s">
        <v>622</v>
      </c>
      <c r="B2388">
        <v>2009</v>
      </c>
      <c r="C2388" t="s">
        <v>19</v>
      </c>
      <c r="D2388">
        <v>6</v>
      </c>
      <c r="E2388">
        <v>7</v>
      </c>
      <c r="F2388">
        <v>1</v>
      </c>
      <c r="G2388">
        <v>0</v>
      </c>
      <c r="H2388">
        <v>0</v>
      </c>
      <c r="I2388">
        <v>1</v>
      </c>
      <c r="J2388">
        <v>85.71</v>
      </c>
      <c r="L2388">
        <f>_xlfn.XLOOKUP(C2388, dim_teams[team_name], dim_teams[team_id], "Not found", 0)</f>
        <v>1</v>
      </c>
    </row>
    <row r="2389" spans="1:12" x14ac:dyDescent="0.3">
      <c r="A2389" t="s">
        <v>623</v>
      </c>
      <c r="B2389">
        <v>2008</v>
      </c>
      <c r="C2389" t="s">
        <v>23</v>
      </c>
      <c r="D2389">
        <v>26</v>
      </c>
      <c r="E2389">
        <v>20</v>
      </c>
      <c r="F2389">
        <v>3</v>
      </c>
      <c r="G2389">
        <v>1</v>
      </c>
      <c r="H2389">
        <v>2</v>
      </c>
      <c r="I2389">
        <v>2</v>
      </c>
      <c r="J2389">
        <v>130</v>
      </c>
      <c r="K2389">
        <v>13</v>
      </c>
      <c r="L2389">
        <f>_xlfn.XLOOKUP(C2389, dim_teams[team_name], dim_teams[team_id], "Not found", 0)</f>
        <v>7</v>
      </c>
    </row>
    <row r="2390" spans="1:12" x14ac:dyDescent="0.3">
      <c r="A2390" t="s">
        <v>623</v>
      </c>
      <c r="B2390">
        <v>2009</v>
      </c>
      <c r="C2390" t="s">
        <v>23</v>
      </c>
      <c r="D2390">
        <v>13</v>
      </c>
      <c r="E2390">
        <v>12</v>
      </c>
      <c r="F2390">
        <v>0</v>
      </c>
      <c r="G2390">
        <v>0</v>
      </c>
      <c r="H2390">
        <v>1</v>
      </c>
      <c r="I2390">
        <v>3</v>
      </c>
      <c r="J2390">
        <v>108.33</v>
      </c>
      <c r="K2390">
        <v>13</v>
      </c>
      <c r="L2390">
        <f>_xlfn.XLOOKUP(C2390, dim_teams[team_name], dim_teams[team_id], "Not found", 0)</f>
        <v>7</v>
      </c>
    </row>
    <row r="2391" spans="1:12" x14ac:dyDescent="0.3">
      <c r="A2391" t="s">
        <v>623</v>
      </c>
      <c r="B2391">
        <v>2010</v>
      </c>
      <c r="C2391" t="s">
        <v>23</v>
      </c>
      <c r="D2391">
        <v>419</v>
      </c>
      <c r="E2391">
        <v>307</v>
      </c>
      <c r="F2391">
        <v>29</v>
      </c>
      <c r="G2391">
        <v>18</v>
      </c>
      <c r="H2391">
        <v>13</v>
      </c>
      <c r="I2391">
        <v>15</v>
      </c>
      <c r="J2391">
        <v>136.47999999999999</v>
      </c>
      <c r="K2391">
        <v>32.229999999999997</v>
      </c>
      <c r="L2391">
        <f>_xlfn.XLOOKUP(C2391, dim_teams[team_name], dim_teams[team_id], "Not found", 0)</f>
        <v>7</v>
      </c>
    </row>
    <row r="2392" spans="1:12" x14ac:dyDescent="0.3">
      <c r="A2392" t="s">
        <v>623</v>
      </c>
      <c r="B2392">
        <v>2011</v>
      </c>
      <c r="C2392" t="s">
        <v>21</v>
      </c>
      <c r="D2392">
        <v>187</v>
      </c>
      <c r="E2392">
        <v>186</v>
      </c>
      <c r="F2392">
        <v>13</v>
      </c>
      <c r="G2392">
        <v>5</v>
      </c>
      <c r="H2392">
        <v>8</v>
      </c>
      <c r="I2392">
        <v>13</v>
      </c>
      <c r="J2392">
        <v>100.54</v>
      </c>
      <c r="K2392">
        <v>23.38</v>
      </c>
      <c r="L2392">
        <f>_xlfn.XLOOKUP(C2392, dim_teams[team_name], dim_teams[team_id], "Not found", 0)</f>
        <v>2</v>
      </c>
    </row>
    <row r="2393" spans="1:12" x14ac:dyDescent="0.3">
      <c r="A2393" t="s">
        <v>623</v>
      </c>
      <c r="B2393">
        <v>2012</v>
      </c>
      <c r="C2393" t="s">
        <v>21</v>
      </c>
      <c r="D2393">
        <v>191</v>
      </c>
      <c r="E2393">
        <v>167</v>
      </c>
      <c r="F2393">
        <v>9</v>
      </c>
      <c r="G2393">
        <v>8</v>
      </c>
      <c r="H2393">
        <v>9</v>
      </c>
      <c r="I2393">
        <v>11</v>
      </c>
      <c r="J2393">
        <v>114.37</v>
      </c>
      <c r="K2393">
        <v>21.22</v>
      </c>
      <c r="L2393">
        <f>_xlfn.XLOOKUP(C2393, dim_teams[team_name], dim_teams[team_id], "Not found", 0)</f>
        <v>2</v>
      </c>
    </row>
    <row r="2394" spans="1:12" x14ac:dyDescent="0.3">
      <c r="A2394" t="s">
        <v>623</v>
      </c>
      <c r="B2394">
        <v>2013</v>
      </c>
      <c r="C2394" t="s">
        <v>21</v>
      </c>
      <c r="D2394">
        <v>109</v>
      </c>
      <c r="E2394">
        <v>106</v>
      </c>
      <c r="F2394">
        <v>4</v>
      </c>
      <c r="G2394">
        <v>4</v>
      </c>
      <c r="H2394">
        <v>4</v>
      </c>
      <c r="I2394">
        <v>6</v>
      </c>
      <c r="J2394">
        <v>102.83</v>
      </c>
      <c r="K2394">
        <v>27.25</v>
      </c>
      <c r="L2394">
        <f>_xlfn.XLOOKUP(C2394, dim_teams[team_name], dim_teams[team_id], "Not found", 0)</f>
        <v>2</v>
      </c>
    </row>
    <row r="2395" spans="1:12" x14ac:dyDescent="0.3">
      <c r="A2395" t="s">
        <v>623</v>
      </c>
      <c r="B2395">
        <v>2015</v>
      </c>
      <c r="C2395" t="s">
        <v>32</v>
      </c>
      <c r="D2395">
        <v>109</v>
      </c>
      <c r="E2395">
        <v>78</v>
      </c>
      <c r="F2395">
        <v>9</v>
      </c>
      <c r="G2395">
        <v>5</v>
      </c>
      <c r="H2395">
        <v>0</v>
      </c>
      <c r="I2395">
        <v>6</v>
      </c>
      <c r="J2395">
        <v>139.74</v>
      </c>
      <c r="L2395">
        <f>_xlfn.XLOOKUP(C2395, dim_teams[team_name], dim_teams[team_id], "Not found", 0)</f>
        <v>6</v>
      </c>
    </row>
    <row r="2396" spans="1:12" x14ac:dyDescent="0.3">
      <c r="A2396" t="s">
        <v>623</v>
      </c>
      <c r="B2396">
        <v>2016</v>
      </c>
      <c r="C2396" t="s">
        <v>45</v>
      </c>
      <c r="D2396">
        <v>170</v>
      </c>
      <c r="E2396">
        <v>139</v>
      </c>
      <c r="F2396">
        <v>17</v>
      </c>
      <c r="G2396">
        <v>4</v>
      </c>
      <c r="H2396">
        <v>6</v>
      </c>
      <c r="I2396">
        <v>7</v>
      </c>
      <c r="J2396">
        <v>122.3</v>
      </c>
      <c r="K2396">
        <v>28.33</v>
      </c>
      <c r="L2396">
        <f>_xlfn.XLOOKUP(C2396, dim_teams[team_name], dim_teams[team_id], "Not found", 0)</f>
        <v>12</v>
      </c>
    </row>
    <row r="2397" spans="1:12" x14ac:dyDescent="0.3">
      <c r="A2397" t="s">
        <v>623</v>
      </c>
      <c r="B2397">
        <v>2017</v>
      </c>
      <c r="C2397" t="s">
        <v>23</v>
      </c>
      <c r="D2397">
        <v>52</v>
      </c>
      <c r="E2397">
        <v>43</v>
      </c>
      <c r="F2397">
        <v>9</v>
      </c>
      <c r="G2397">
        <v>0</v>
      </c>
      <c r="H2397">
        <v>0</v>
      </c>
      <c r="I2397">
        <v>1</v>
      </c>
      <c r="J2397">
        <v>120.93</v>
      </c>
      <c r="L2397">
        <f>_xlfn.XLOOKUP(C2397, dim_teams[team_name], dim_teams[team_id], "Not found", 0)</f>
        <v>7</v>
      </c>
    </row>
    <row r="2398" spans="1:12" x14ac:dyDescent="0.3">
      <c r="A2398" t="s">
        <v>623</v>
      </c>
      <c r="B2398">
        <v>2020</v>
      </c>
      <c r="C2398" t="s">
        <v>23</v>
      </c>
      <c r="D2398">
        <v>103</v>
      </c>
      <c r="E2398">
        <v>80</v>
      </c>
      <c r="F2398">
        <v>8</v>
      </c>
      <c r="G2398">
        <v>3</v>
      </c>
      <c r="H2398">
        <v>5</v>
      </c>
      <c r="I2398">
        <v>5</v>
      </c>
      <c r="J2398">
        <v>128.75</v>
      </c>
      <c r="K2398">
        <v>20.6</v>
      </c>
      <c r="L2398">
        <f>_xlfn.XLOOKUP(C2398, dim_teams[team_name], dim_teams[team_id], "Not found", 0)</f>
        <v>7</v>
      </c>
    </row>
    <row r="2399" spans="1:12" x14ac:dyDescent="0.3">
      <c r="A2399" t="s">
        <v>623</v>
      </c>
      <c r="B2399">
        <v>2021</v>
      </c>
      <c r="C2399" t="s">
        <v>23</v>
      </c>
      <c r="D2399">
        <v>115</v>
      </c>
      <c r="E2399">
        <v>97</v>
      </c>
      <c r="F2399">
        <v>10</v>
      </c>
      <c r="G2399">
        <v>2</v>
      </c>
      <c r="H2399">
        <v>2</v>
      </c>
      <c r="I2399">
        <v>4</v>
      </c>
      <c r="J2399">
        <v>118.56</v>
      </c>
      <c r="K2399">
        <v>57.5</v>
      </c>
      <c r="L2399">
        <f>_xlfn.XLOOKUP(C2399, dim_teams[team_name], dim_teams[team_id], "Not found", 0)</f>
        <v>7</v>
      </c>
    </row>
    <row r="2400" spans="1:12" x14ac:dyDescent="0.3">
      <c r="A2400" t="s">
        <v>624</v>
      </c>
      <c r="B2400">
        <v>2008</v>
      </c>
      <c r="C2400" t="s">
        <v>23</v>
      </c>
      <c r="D2400">
        <v>514</v>
      </c>
      <c r="E2400">
        <v>308</v>
      </c>
      <c r="F2400">
        <v>57</v>
      </c>
      <c r="G2400">
        <v>31</v>
      </c>
      <c r="H2400">
        <v>13</v>
      </c>
      <c r="I2400">
        <v>14</v>
      </c>
      <c r="J2400">
        <v>166.88</v>
      </c>
      <c r="K2400">
        <v>39.54</v>
      </c>
      <c r="L2400">
        <f>_xlfn.XLOOKUP(C2400, dim_teams[team_name], dim_teams[team_id], "Not found", 0)</f>
        <v>7</v>
      </c>
    </row>
    <row r="2401" spans="1:12" x14ac:dyDescent="0.3">
      <c r="A2401" t="s">
        <v>624</v>
      </c>
      <c r="B2401">
        <v>2009</v>
      </c>
      <c r="C2401" t="s">
        <v>23</v>
      </c>
      <c r="D2401">
        <v>221</v>
      </c>
      <c r="E2401">
        <v>190</v>
      </c>
      <c r="F2401">
        <v>23</v>
      </c>
      <c r="G2401">
        <v>7</v>
      </c>
      <c r="H2401">
        <v>12</v>
      </c>
      <c r="I2401">
        <v>12</v>
      </c>
      <c r="J2401">
        <v>116.32</v>
      </c>
      <c r="K2401">
        <v>18.420000000000002</v>
      </c>
      <c r="L2401">
        <f>_xlfn.XLOOKUP(C2401, dim_teams[team_name], dim_teams[team_id], "Not found", 0)</f>
        <v>7</v>
      </c>
    </row>
    <row r="2402" spans="1:12" x14ac:dyDescent="0.3">
      <c r="A2402" t="s">
        <v>624</v>
      </c>
      <c r="B2402">
        <v>2010</v>
      </c>
      <c r="C2402" t="s">
        <v>23</v>
      </c>
      <c r="D2402">
        <v>33</v>
      </c>
      <c r="E2402">
        <v>31</v>
      </c>
      <c r="F2402">
        <v>4</v>
      </c>
      <c r="G2402">
        <v>1</v>
      </c>
      <c r="H2402">
        <v>4</v>
      </c>
      <c r="I2402">
        <v>4</v>
      </c>
      <c r="J2402">
        <v>106.45</v>
      </c>
      <c r="K2402">
        <v>8.25</v>
      </c>
      <c r="L2402">
        <f>_xlfn.XLOOKUP(C2402, dim_teams[team_name], dim_teams[team_id], "Not found", 0)</f>
        <v>7</v>
      </c>
    </row>
    <row r="2403" spans="1:12" x14ac:dyDescent="0.3">
      <c r="A2403" t="s">
        <v>625</v>
      </c>
      <c r="B2403">
        <v>2010</v>
      </c>
      <c r="C2403" t="s">
        <v>23</v>
      </c>
      <c r="D2403">
        <v>8</v>
      </c>
      <c r="E2403">
        <v>5</v>
      </c>
      <c r="F2403">
        <v>1</v>
      </c>
      <c r="G2403">
        <v>0</v>
      </c>
      <c r="H2403">
        <v>1</v>
      </c>
      <c r="I2403">
        <v>1</v>
      </c>
      <c r="J2403">
        <v>160</v>
      </c>
      <c r="K2403">
        <v>8</v>
      </c>
      <c r="L2403">
        <f>_xlfn.XLOOKUP(C2403, dim_teams[team_name], dim_teams[team_id], "Not found", 0)</f>
        <v>7</v>
      </c>
    </row>
    <row r="2404" spans="1:12" x14ac:dyDescent="0.3">
      <c r="A2404" t="s">
        <v>625</v>
      </c>
      <c r="B2404">
        <v>2011</v>
      </c>
      <c r="C2404" t="s">
        <v>17</v>
      </c>
      <c r="D2404">
        <v>37</v>
      </c>
      <c r="E2404">
        <v>31</v>
      </c>
      <c r="F2404">
        <v>2</v>
      </c>
      <c r="G2404">
        <v>1</v>
      </c>
      <c r="H2404">
        <v>1</v>
      </c>
      <c r="I2404">
        <v>2</v>
      </c>
      <c r="J2404">
        <v>119.35</v>
      </c>
      <c r="K2404">
        <v>37</v>
      </c>
      <c r="L2404">
        <f>_xlfn.XLOOKUP(C2404, dim_teams[team_name], dim_teams[team_id], "Not found", 0)</f>
        <v>5</v>
      </c>
    </row>
    <row r="2405" spans="1:12" x14ac:dyDescent="0.3">
      <c r="A2405" t="s">
        <v>625</v>
      </c>
      <c r="B2405">
        <v>2012</v>
      </c>
      <c r="C2405" t="s">
        <v>17</v>
      </c>
      <c r="D2405">
        <v>90</v>
      </c>
      <c r="E2405">
        <v>67</v>
      </c>
      <c r="F2405">
        <v>9</v>
      </c>
      <c r="G2405">
        <v>3</v>
      </c>
      <c r="H2405">
        <v>4</v>
      </c>
      <c r="I2405">
        <v>6</v>
      </c>
      <c r="J2405">
        <v>134.33000000000001</v>
      </c>
      <c r="K2405">
        <v>22.5</v>
      </c>
      <c r="L2405">
        <f>_xlfn.XLOOKUP(C2405, dim_teams[team_name], dim_teams[team_id], "Not found", 0)</f>
        <v>5</v>
      </c>
    </row>
    <row r="2406" spans="1:12" x14ac:dyDescent="0.3">
      <c r="A2406" t="s">
        <v>625</v>
      </c>
      <c r="B2406">
        <v>2013</v>
      </c>
      <c r="C2406" t="s">
        <v>17</v>
      </c>
      <c r="D2406">
        <v>293</v>
      </c>
      <c r="E2406">
        <v>199</v>
      </c>
      <c r="F2406">
        <v>25</v>
      </c>
      <c r="G2406">
        <v>12</v>
      </c>
      <c r="H2406">
        <v>8</v>
      </c>
      <c r="I2406">
        <v>16</v>
      </c>
      <c r="J2406">
        <v>147.24</v>
      </c>
      <c r="K2406">
        <v>36.619999999999997</v>
      </c>
      <c r="L2406">
        <f>_xlfn.XLOOKUP(C2406, dim_teams[team_name], dim_teams[team_id], "Not found", 0)</f>
        <v>5</v>
      </c>
    </row>
    <row r="2407" spans="1:12" x14ac:dyDescent="0.3">
      <c r="A2407" t="s">
        <v>625</v>
      </c>
      <c r="B2407">
        <v>2014</v>
      </c>
      <c r="C2407" t="s">
        <v>17</v>
      </c>
      <c r="D2407">
        <v>123</v>
      </c>
      <c r="E2407">
        <v>121</v>
      </c>
      <c r="F2407">
        <v>4</v>
      </c>
      <c r="G2407">
        <v>5</v>
      </c>
      <c r="H2407">
        <v>9</v>
      </c>
      <c r="I2407">
        <v>11</v>
      </c>
      <c r="J2407">
        <v>101.65</v>
      </c>
      <c r="K2407">
        <v>13.67</v>
      </c>
      <c r="L2407">
        <f>_xlfn.XLOOKUP(C2407, dim_teams[team_name], dim_teams[team_id], "Not found", 0)</f>
        <v>5</v>
      </c>
    </row>
    <row r="2408" spans="1:12" x14ac:dyDescent="0.3">
      <c r="A2408" t="s">
        <v>625</v>
      </c>
      <c r="B2408">
        <v>2015</v>
      </c>
      <c r="C2408" t="s">
        <v>17</v>
      </c>
      <c r="D2408">
        <v>74</v>
      </c>
      <c r="E2408">
        <v>65</v>
      </c>
      <c r="F2408">
        <v>7</v>
      </c>
      <c r="G2408">
        <v>1</v>
      </c>
      <c r="H2408">
        <v>5</v>
      </c>
      <c r="I2408">
        <v>8</v>
      </c>
      <c r="J2408">
        <v>113.85</v>
      </c>
      <c r="K2408">
        <v>14.8</v>
      </c>
      <c r="L2408">
        <f>_xlfn.XLOOKUP(C2408, dim_teams[team_name], dim_teams[team_id], "Not found", 0)</f>
        <v>5</v>
      </c>
    </row>
    <row r="2409" spans="1:12" x14ac:dyDescent="0.3">
      <c r="A2409" t="s">
        <v>625</v>
      </c>
      <c r="B2409">
        <v>2016</v>
      </c>
      <c r="C2409" t="s">
        <v>21</v>
      </c>
      <c r="D2409">
        <v>63</v>
      </c>
      <c r="E2409">
        <v>39</v>
      </c>
      <c r="F2409">
        <v>5</v>
      </c>
      <c r="G2409">
        <v>4</v>
      </c>
      <c r="H2409">
        <v>4</v>
      </c>
      <c r="I2409">
        <v>5</v>
      </c>
      <c r="J2409">
        <v>161.54</v>
      </c>
      <c r="K2409">
        <v>15.75</v>
      </c>
      <c r="L2409">
        <f>_xlfn.XLOOKUP(C2409, dim_teams[team_name], dim_teams[team_id], "Not found", 0)</f>
        <v>2</v>
      </c>
    </row>
    <row r="2410" spans="1:12" x14ac:dyDescent="0.3">
      <c r="A2410" t="s">
        <v>625</v>
      </c>
      <c r="B2410">
        <v>2017</v>
      </c>
      <c r="C2410" t="s">
        <v>21</v>
      </c>
      <c r="D2410">
        <v>78</v>
      </c>
      <c r="E2410">
        <v>76</v>
      </c>
      <c r="F2410">
        <v>6</v>
      </c>
      <c r="G2410">
        <v>3</v>
      </c>
      <c r="H2410">
        <v>5</v>
      </c>
      <c r="I2410">
        <v>7</v>
      </c>
      <c r="J2410">
        <v>102.63</v>
      </c>
      <c r="K2410">
        <v>15.6</v>
      </c>
      <c r="L2410">
        <f>_xlfn.XLOOKUP(C2410, dim_teams[team_name], dim_teams[team_id], "Not found", 0)</f>
        <v>2</v>
      </c>
    </row>
    <row r="2411" spans="1:12" x14ac:dyDescent="0.3">
      <c r="A2411" t="s">
        <v>625</v>
      </c>
      <c r="B2411">
        <v>2018</v>
      </c>
      <c r="C2411" t="s">
        <v>17</v>
      </c>
      <c r="D2411">
        <v>44</v>
      </c>
      <c r="E2411">
        <v>39</v>
      </c>
      <c r="F2411">
        <v>2</v>
      </c>
      <c r="G2411">
        <v>2</v>
      </c>
      <c r="H2411">
        <v>4</v>
      </c>
      <c r="I2411">
        <v>5</v>
      </c>
      <c r="J2411">
        <v>112.82</v>
      </c>
      <c r="K2411">
        <v>11</v>
      </c>
      <c r="L2411">
        <f>_xlfn.XLOOKUP(C2411, dim_teams[team_name], dim_teams[team_id], "Not found", 0)</f>
        <v>5</v>
      </c>
    </row>
    <row r="2412" spans="1:12" x14ac:dyDescent="0.3">
      <c r="A2412" t="s">
        <v>625</v>
      </c>
      <c r="B2412">
        <v>2019</v>
      </c>
      <c r="C2412" t="s">
        <v>17</v>
      </c>
      <c r="D2412">
        <v>70</v>
      </c>
      <c r="E2412">
        <v>40</v>
      </c>
      <c r="F2412">
        <v>5</v>
      </c>
      <c r="G2412">
        <v>4</v>
      </c>
      <c r="H2412">
        <v>3</v>
      </c>
      <c r="I2412">
        <v>5</v>
      </c>
      <c r="J2412">
        <v>175</v>
      </c>
      <c r="K2412">
        <v>23.33</v>
      </c>
      <c r="L2412">
        <f>_xlfn.XLOOKUP(C2412, dim_teams[team_name], dim_teams[team_id], "Not found", 0)</f>
        <v>5</v>
      </c>
    </row>
    <row r="2413" spans="1:12" x14ac:dyDescent="0.3">
      <c r="A2413" t="s">
        <v>626</v>
      </c>
      <c r="B2413">
        <v>2013</v>
      </c>
      <c r="C2413" t="s">
        <v>17</v>
      </c>
      <c r="D2413">
        <v>206</v>
      </c>
      <c r="E2413">
        <v>178</v>
      </c>
      <c r="F2413">
        <v>19</v>
      </c>
      <c r="G2413">
        <v>5</v>
      </c>
      <c r="H2413">
        <v>8</v>
      </c>
      <c r="I2413">
        <v>10</v>
      </c>
      <c r="J2413">
        <v>115.73</v>
      </c>
      <c r="K2413">
        <v>25.75</v>
      </c>
      <c r="L2413">
        <f>_xlfn.XLOOKUP(C2413, dim_teams[team_name], dim_teams[team_id], "Not found", 0)</f>
        <v>5</v>
      </c>
    </row>
    <row r="2414" spans="1:12" x14ac:dyDescent="0.3">
      <c r="A2414" t="s">
        <v>626</v>
      </c>
      <c r="B2414">
        <v>2014</v>
      </c>
      <c r="C2414" t="s">
        <v>17</v>
      </c>
      <c r="D2414">
        <v>339</v>
      </c>
      <c r="E2414">
        <v>273</v>
      </c>
      <c r="F2414">
        <v>25</v>
      </c>
      <c r="G2414">
        <v>17</v>
      </c>
      <c r="H2414">
        <v>13</v>
      </c>
      <c r="I2414">
        <v>13</v>
      </c>
      <c r="J2414">
        <v>124.18</v>
      </c>
      <c r="K2414">
        <v>26.08</v>
      </c>
      <c r="L2414">
        <f>_xlfn.XLOOKUP(C2414, dim_teams[team_name], dim_teams[team_id], "Not found", 0)</f>
        <v>5</v>
      </c>
    </row>
    <row r="2415" spans="1:12" x14ac:dyDescent="0.3">
      <c r="A2415" t="s">
        <v>626</v>
      </c>
      <c r="B2415">
        <v>2015</v>
      </c>
      <c r="C2415" t="s">
        <v>17</v>
      </c>
      <c r="D2415">
        <v>204</v>
      </c>
      <c r="E2415">
        <v>162</v>
      </c>
      <c r="F2415">
        <v>16</v>
      </c>
      <c r="G2415">
        <v>8</v>
      </c>
      <c r="H2415">
        <v>10</v>
      </c>
      <c r="I2415">
        <v>11</v>
      </c>
      <c r="J2415">
        <v>125.93</v>
      </c>
      <c r="K2415">
        <v>20.399999999999999</v>
      </c>
      <c r="L2415">
        <f>_xlfn.XLOOKUP(C2415, dim_teams[team_name], dim_teams[team_id], "Not found", 0)</f>
        <v>5</v>
      </c>
    </row>
    <row r="2416" spans="1:12" x14ac:dyDescent="0.3">
      <c r="A2416" t="s">
        <v>626</v>
      </c>
      <c r="B2416">
        <v>2016</v>
      </c>
      <c r="C2416" t="s">
        <v>32</v>
      </c>
      <c r="D2416">
        <v>291</v>
      </c>
      <c r="E2416">
        <v>258</v>
      </c>
      <c r="F2416">
        <v>20</v>
      </c>
      <c r="G2416">
        <v>8</v>
      </c>
      <c r="H2416">
        <v>10</v>
      </c>
      <c r="I2416">
        <v>14</v>
      </c>
      <c r="J2416">
        <v>112.79</v>
      </c>
      <c r="K2416">
        <v>29.1</v>
      </c>
      <c r="L2416">
        <f>_xlfn.XLOOKUP(C2416, dim_teams[team_name], dim_teams[team_id], "Not found", 0)</f>
        <v>6</v>
      </c>
    </row>
    <row r="2417" spans="1:12" x14ac:dyDescent="0.3">
      <c r="A2417" t="s">
        <v>626</v>
      </c>
      <c r="B2417">
        <v>2017</v>
      </c>
      <c r="C2417" t="s">
        <v>32</v>
      </c>
      <c r="D2417">
        <v>386</v>
      </c>
      <c r="E2417">
        <v>273</v>
      </c>
      <c r="F2417">
        <v>32</v>
      </c>
      <c r="G2417">
        <v>19</v>
      </c>
      <c r="H2417">
        <v>14</v>
      </c>
      <c r="I2417">
        <v>14</v>
      </c>
      <c r="J2417">
        <v>141.38999999999999</v>
      </c>
      <c r="K2417">
        <v>27.57</v>
      </c>
      <c r="L2417">
        <f>_xlfn.XLOOKUP(C2417, dim_teams[team_name], dim_teams[team_id], "Not found", 0)</f>
        <v>6</v>
      </c>
    </row>
    <row r="2418" spans="1:12" x14ac:dyDescent="0.3">
      <c r="A2418" t="s">
        <v>626</v>
      </c>
      <c r="B2418">
        <v>2018</v>
      </c>
      <c r="C2418" t="s">
        <v>17</v>
      </c>
      <c r="D2418">
        <v>441</v>
      </c>
      <c r="E2418">
        <v>319</v>
      </c>
      <c r="F2418">
        <v>30</v>
      </c>
      <c r="G2418">
        <v>19</v>
      </c>
      <c r="H2418">
        <v>14</v>
      </c>
      <c r="I2418">
        <v>15</v>
      </c>
      <c r="J2418">
        <v>138.24</v>
      </c>
      <c r="K2418">
        <v>31.5</v>
      </c>
      <c r="L2418">
        <f>_xlfn.XLOOKUP(C2418, dim_teams[team_name], dim_teams[team_id], "Not found", 0)</f>
        <v>5</v>
      </c>
    </row>
    <row r="2419" spans="1:12" x14ac:dyDescent="0.3">
      <c r="A2419" t="s">
        <v>626</v>
      </c>
      <c r="B2419">
        <v>2019</v>
      </c>
      <c r="C2419" t="s">
        <v>17</v>
      </c>
      <c r="D2419">
        <v>342</v>
      </c>
      <c r="E2419">
        <v>229</v>
      </c>
      <c r="F2419">
        <v>28</v>
      </c>
      <c r="G2419">
        <v>13</v>
      </c>
      <c r="H2419">
        <v>10</v>
      </c>
      <c r="I2419">
        <v>11</v>
      </c>
      <c r="J2419">
        <v>149.34</v>
      </c>
      <c r="K2419">
        <v>34.200000000000003</v>
      </c>
      <c r="L2419">
        <f>_xlfn.XLOOKUP(C2419, dim_teams[team_name], dim_teams[team_id], "Not found", 0)</f>
        <v>5</v>
      </c>
    </row>
    <row r="2420" spans="1:12" x14ac:dyDescent="0.3">
      <c r="A2420" t="s">
        <v>626</v>
      </c>
      <c r="B2420">
        <v>2020</v>
      </c>
      <c r="C2420" t="s">
        <v>17</v>
      </c>
      <c r="D2420">
        <v>375</v>
      </c>
      <c r="E2420">
        <v>234</v>
      </c>
      <c r="F2420">
        <v>21</v>
      </c>
      <c r="G2420">
        <v>26</v>
      </c>
      <c r="H2420">
        <v>12</v>
      </c>
      <c r="I2420">
        <v>14</v>
      </c>
      <c r="J2420">
        <v>160.26</v>
      </c>
      <c r="K2420">
        <v>31.25</v>
      </c>
      <c r="L2420">
        <f>_xlfn.XLOOKUP(C2420, dim_teams[team_name], dim_teams[team_id], "Not found", 0)</f>
        <v>5</v>
      </c>
    </row>
    <row r="2421" spans="1:12" x14ac:dyDescent="0.3">
      <c r="A2421" t="s">
        <v>626</v>
      </c>
      <c r="B2421">
        <v>2021</v>
      </c>
      <c r="C2421" t="s">
        <v>17</v>
      </c>
      <c r="D2421">
        <v>484</v>
      </c>
      <c r="E2421">
        <v>351</v>
      </c>
      <c r="F2421">
        <v>45</v>
      </c>
      <c r="G2421">
        <v>17</v>
      </c>
      <c r="H2421">
        <v>12</v>
      </c>
      <c r="I2421">
        <v>14</v>
      </c>
      <c r="J2421">
        <v>137.88999999999999</v>
      </c>
      <c r="K2421">
        <v>40.33</v>
      </c>
      <c r="L2421">
        <f>_xlfn.XLOOKUP(C2421, dim_teams[team_name], dim_teams[team_id], "Not found", 0)</f>
        <v>5</v>
      </c>
    </row>
    <row r="2422" spans="1:12" x14ac:dyDescent="0.3">
      <c r="A2422" t="s">
        <v>626</v>
      </c>
      <c r="B2422">
        <v>2022</v>
      </c>
      <c r="C2422" t="s">
        <v>17</v>
      </c>
      <c r="D2422">
        <v>458</v>
      </c>
      <c r="E2422">
        <v>311</v>
      </c>
      <c r="F2422">
        <v>43</v>
      </c>
      <c r="G2422">
        <v>26</v>
      </c>
      <c r="H2422">
        <v>16</v>
      </c>
      <c r="I2422">
        <v>17</v>
      </c>
      <c r="J2422">
        <v>147.27000000000001</v>
      </c>
      <c r="K2422">
        <v>28.62</v>
      </c>
      <c r="L2422">
        <f>_xlfn.XLOOKUP(C2422, dim_teams[team_name], dim_teams[team_id], "Not found", 0)</f>
        <v>5</v>
      </c>
    </row>
    <row r="2423" spans="1:12" x14ac:dyDescent="0.3">
      <c r="A2423" t="s">
        <v>626</v>
      </c>
      <c r="B2423">
        <v>2023</v>
      </c>
      <c r="C2423" t="s">
        <v>17</v>
      </c>
      <c r="D2423">
        <v>362</v>
      </c>
      <c r="E2423">
        <v>236</v>
      </c>
      <c r="F2423">
        <v>25</v>
      </c>
      <c r="G2423">
        <v>24</v>
      </c>
      <c r="H2423">
        <v>12</v>
      </c>
      <c r="I2423">
        <v>14</v>
      </c>
      <c r="J2423">
        <v>153.38999999999999</v>
      </c>
      <c r="K2423">
        <v>30.17</v>
      </c>
      <c r="L2423">
        <f>_xlfn.XLOOKUP(C2423, dim_teams[team_name], dim_teams[team_id], "Not found", 0)</f>
        <v>5</v>
      </c>
    </row>
    <row r="2424" spans="1:12" x14ac:dyDescent="0.3">
      <c r="A2424" t="s">
        <v>626</v>
      </c>
      <c r="B2424">
        <v>2024</v>
      </c>
      <c r="C2424" t="s">
        <v>17</v>
      </c>
      <c r="D2424">
        <v>531</v>
      </c>
      <c r="E2424">
        <v>343</v>
      </c>
      <c r="F2424">
        <v>48</v>
      </c>
      <c r="G2424">
        <v>24</v>
      </c>
      <c r="H2424">
        <v>11</v>
      </c>
      <c r="I2424">
        <v>15</v>
      </c>
      <c r="J2424">
        <v>154.81</v>
      </c>
      <c r="K2424">
        <v>48.27</v>
      </c>
      <c r="L2424">
        <f>_xlfn.XLOOKUP(C2424, dim_teams[team_name], dim_teams[team_id], "Not found", 0)</f>
        <v>5</v>
      </c>
    </row>
    <row r="2425" spans="1:12" x14ac:dyDescent="0.3">
      <c r="A2425" t="s">
        <v>626</v>
      </c>
      <c r="B2425">
        <v>2025</v>
      </c>
      <c r="C2425" t="s">
        <v>17</v>
      </c>
      <c r="D2425">
        <v>285</v>
      </c>
      <c r="E2425">
        <v>201</v>
      </c>
      <c r="F2425">
        <v>27</v>
      </c>
      <c r="G2425">
        <v>13</v>
      </c>
      <c r="H2425">
        <v>9</v>
      </c>
      <c r="I2425">
        <v>9</v>
      </c>
      <c r="J2425">
        <v>141.79</v>
      </c>
      <c r="K2425">
        <v>31.67</v>
      </c>
      <c r="L2425">
        <f>_xlfn.XLOOKUP(C2425, dim_teams[team_name], dim_teams[team_id], "Not found", 0)</f>
        <v>5</v>
      </c>
    </row>
    <row r="2426" spans="1:12" x14ac:dyDescent="0.3">
      <c r="A2426" t="s">
        <v>627</v>
      </c>
      <c r="B2426">
        <v>2016</v>
      </c>
      <c r="C2426" t="s">
        <v>32</v>
      </c>
      <c r="D2426">
        <v>88</v>
      </c>
      <c r="E2426">
        <v>63</v>
      </c>
      <c r="F2426">
        <v>4</v>
      </c>
      <c r="G2426">
        <v>4</v>
      </c>
      <c r="H2426">
        <v>4</v>
      </c>
      <c r="I2426">
        <v>4</v>
      </c>
      <c r="J2426">
        <v>139.68</v>
      </c>
      <c r="K2426">
        <v>22</v>
      </c>
      <c r="L2426">
        <f>_xlfn.XLOOKUP(C2426, dim_teams[team_name], dim_teams[team_id], "Not found", 0)</f>
        <v>6</v>
      </c>
    </row>
    <row r="2427" spans="1:12" x14ac:dyDescent="0.3">
      <c r="A2427" t="s">
        <v>627</v>
      </c>
      <c r="B2427">
        <v>2017</v>
      </c>
      <c r="C2427" t="s">
        <v>32</v>
      </c>
      <c r="D2427">
        <v>138</v>
      </c>
      <c r="E2427">
        <v>103</v>
      </c>
      <c r="F2427">
        <v>19</v>
      </c>
      <c r="G2427">
        <v>1</v>
      </c>
      <c r="H2427">
        <v>6</v>
      </c>
      <c r="I2427">
        <v>6</v>
      </c>
      <c r="J2427">
        <v>133.97999999999999</v>
      </c>
      <c r="K2427">
        <v>23</v>
      </c>
      <c r="L2427">
        <f>_xlfn.XLOOKUP(C2427, dim_teams[team_name], dim_teams[team_id], "Not found", 0)</f>
        <v>6</v>
      </c>
    </row>
    <row r="2428" spans="1:12" x14ac:dyDescent="0.3">
      <c r="A2428" t="s">
        <v>627</v>
      </c>
      <c r="B2428">
        <v>2018</v>
      </c>
      <c r="C2428" t="s">
        <v>25</v>
      </c>
      <c r="D2428">
        <v>108</v>
      </c>
      <c r="E2428">
        <v>78</v>
      </c>
      <c r="F2428">
        <v>8</v>
      </c>
      <c r="G2428">
        <v>5</v>
      </c>
      <c r="H2428">
        <v>8</v>
      </c>
      <c r="I2428">
        <v>8</v>
      </c>
      <c r="J2428">
        <v>138.46</v>
      </c>
      <c r="K2428">
        <v>13.5</v>
      </c>
      <c r="L2428">
        <f>_xlfn.XLOOKUP(C2428, dim_teams[team_name], dim_teams[team_id], "Not found", 0)</f>
        <v>3</v>
      </c>
    </row>
    <row r="2429" spans="1:12" x14ac:dyDescent="0.3">
      <c r="A2429" t="s">
        <v>627</v>
      </c>
      <c r="B2429">
        <v>2019</v>
      </c>
      <c r="C2429" t="s">
        <v>25</v>
      </c>
      <c r="D2429">
        <v>0</v>
      </c>
      <c r="E2429">
        <v>4</v>
      </c>
      <c r="F2429">
        <v>0</v>
      </c>
      <c r="G2429">
        <v>0</v>
      </c>
      <c r="H2429">
        <v>1</v>
      </c>
      <c r="I2429">
        <v>1</v>
      </c>
      <c r="J2429">
        <v>0</v>
      </c>
      <c r="K2429">
        <v>0</v>
      </c>
      <c r="L2429">
        <f>_xlfn.XLOOKUP(C2429, dim_teams[team_name], dim_teams[team_id], "Not found", 0)</f>
        <v>3</v>
      </c>
    </row>
    <row r="2430" spans="1:12" x14ac:dyDescent="0.3">
      <c r="A2430" t="s">
        <v>627</v>
      </c>
      <c r="B2430">
        <v>2022</v>
      </c>
      <c r="C2430" t="s">
        <v>19</v>
      </c>
      <c r="D2430">
        <v>169</v>
      </c>
      <c r="E2430">
        <v>137</v>
      </c>
      <c r="F2430">
        <v>9</v>
      </c>
      <c r="G2430">
        <v>10</v>
      </c>
      <c r="H2430">
        <v>7</v>
      </c>
      <c r="I2430">
        <v>8</v>
      </c>
      <c r="J2430">
        <v>123.36</v>
      </c>
      <c r="K2430">
        <v>24.14</v>
      </c>
      <c r="L2430">
        <f>_xlfn.XLOOKUP(C2430, dim_teams[team_name], dim_teams[team_id], "Not found", 0)</f>
        <v>1</v>
      </c>
    </row>
    <row r="2431" spans="1:12" x14ac:dyDescent="0.3">
      <c r="A2431" t="s">
        <v>628</v>
      </c>
      <c r="B2431">
        <v>2010</v>
      </c>
      <c r="C2431" t="s">
        <v>17</v>
      </c>
      <c r="D2431">
        <v>12</v>
      </c>
      <c r="E2431">
        <v>13</v>
      </c>
      <c r="F2431">
        <v>0</v>
      </c>
      <c r="G2431">
        <v>1</v>
      </c>
      <c r="H2431">
        <v>1</v>
      </c>
      <c r="I2431">
        <v>2</v>
      </c>
      <c r="J2431">
        <v>92.31</v>
      </c>
      <c r="K2431">
        <v>12</v>
      </c>
      <c r="L2431">
        <f>_xlfn.XLOOKUP(C2431, dim_teams[team_name], dim_teams[team_id], "Not found", 0)</f>
        <v>5</v>
      </c>
    </row>
    <row r="2432" spans="1:12" x14ac:dyDescent="0.3">
      <c r="A2432" t="s">
        <v>628</v>
      </c>
      <c r="B2432">
        <v>2011</v>
      </c>
      <c r="C2432" t="s">
        <v>17</v>
      </c>
      <c r="D2432">
        <v>10</v>
      </c>
      <c r="E2432">
        <v>10</v>
      </c>
      <c r="F2432">
        <v>1</v>
      </c>
      <c r="G2432">
        <v>0</v>
      </c>
      <c r="H2432">
        <v>1</v>
      </c>
      <c r="I2432">
        <v>2</v>
      </c>
      <c r="J2432">
        <v>100</v>
      </c>
      <c r="K2432">
        <v>10</v>
      </c>
      <c r="L2432">
        <f>_xlfn.XLOOKUP(C2432, dim_teams[team_name], dim_teams[team_id], "Not found", 0)</f>
        <v>5</v>
      </c>
    </row>
    <row r="2433" spans="1:12" x14ac:dyDescent="0.3">
      <c r="A2433" t="s">
        <v>628</v>
      </c>
      <c r="B2433">
        <v>2013</v>
      </c>
      <c r="C2433" t="s">
        <v>17</v>
      </c>
      <c r="D2433">
        <v>1</v>
      </c>
      <c r="E2433">
        <v>3</v>
      </c>
      <c r="F2433">
        <v>0</v>
      </c>
      <c r="G2433">
        <v>0</v>
      </c>
      <c r="H2433">
        <v>1</v>
      </c>
      <c r="I2433">
        <v>1</v>
      </c>
      <c r="J2433">
        <v>33.33</v>
      </c>
      <c r="K2433">
        <v>1</v>
      </c>
      <c r="L2433">
        <f>_xlfn.XLOOKUP(C2433, dim_teams[team_name], dim_teams[team_id], "Not found", 0)</f>
        <v>5</v>
      </c>
    </row>
    <row r="2434" spans="1:12" x14ac:dyDescent="0.3">
      <c r="A2434" t="s">
        <v>629</v>
      </c>
      <c r="B2434">
        <v>2024</v>
      </c>
      <c r="C2434" t="s">
        <v>23</v>
      </c>
      <c r="D2434">
        <v>1</v>
      </c>
      <c r="E2434">
        <v>1</v>
      </c>
      <c r="F2434">
        <v>0</v>
      </c>
      <c r="G2434">
        <v>0</v>
      </c>
      <c r="H2434">
        <v>0</v>
      </c>
      <c r="I2434">
        <v>1</v>
      </c>
      <c r="J2434">
        <v>100</v>
      </c>
      <c r="L2434">
        <f>_xlfn.XLOOKUP(C2434, dim_teams[team_name], dim_teams[team_id], "Not found", 0)</f>
        <v>7</v>
      </c>
    </row>
    <row r="2435" spans="1:12" x14ac:dyDescent="0.3">
      <c r="A2435" t="s">
        <v>630</v>
      </c>
      <c r="B2435">
        <v>2013</v>
      </c>
      <c r="C2435" t="s">
        <v>17</v>
      </c>
      <c r="D2435">
        <v>3</v>
      </c>
      <c r="E2435">
        <v>7</v>
      </c>
      <c r="F2435">
        <v>0</v>
      </c>
      <c r="G2435">
        <v>0</v>
      </c>
      <c r="H2435">
        <v>1</v>
      </c>
      <c r="I2435">
        <v>1</v>
      </c>
      <c r="J2435">
        <v>42.86</v>
      </c>
      <c r="K2435">
        <v>3</v>
      </c>
      <c r="L2435">
        <f>_xlfn.XLOOKUP(C2435, dim_teams[team_name], dim_teams[team_id], "Not found", 0)</f>
        <v>5</v>
      </c>
    </row>
    <row r="2436" spans="1:12" x14ac:dyDescent="0.3">
      <c r="A2436" t="s">
        <v>630</v>
      </c>
      <c r="B2436">
        <v>2016</v>
      </c>
      <c r="C2436" t="s">
        <v>21</v>
      </c>
      <c r="D2436">
        <v>119</v>
      </c>
      <c r="E2436">
        <v>77</v>
      </c>
      <c r="F2436">
        <v>9</v>
      </c>
      <c r="G2436">
        <v>5</v>
      </c>
      <c r="H2436">
        <v>5</v>
      </c>
      <c r="I2436">
        <v>6</v>
      </c>
      <c r="J2436">
        <v>154.55000000000001</v>
      </c>
      <c r="K2436">
        <v>23.8</v>
      </c>
      <c r="L2436">
        <f>_xlfn.XLOOKUP(C2436, dim_teams[team_name], dim_teams[team_id], "Not found", 0)</f>
        <v>2</v>
      </c>
    </row>
    <row r="2437" spans="1:12" x14ac:dyDescent="0.3">
      <c r="A2437" t="s">
        <v>630</v>
      </c>
      <c r="B2437">
        <v>2017</v>
      </c>
      <c r="C2437" t="s">
        <v>21</v>
      </c>
      <c r="D2437">
        <v>15</v>
      </c>
      <c r="E2437">
        <v>15</v>
      </c>
      <c r="F2437">
        <v>2</v>
      </c>
      <c r="G2437">
        <v>0</v>
      </c>
      <c r="H2437">
        <v>3</v>
      </c>
      <c r="I2437">
        <v>3</v>
      </c>
      <c r="J2437">
        <v>100</v>
      </c>
      <c r="K2437">
        <v>5</v>
      </c>
      <c r="L2437">
        <f>_xlfn.XLOOKUP(C2437, dim_teams[team_name], dim_teams[team_id], "Not found", 0)</f>
        <v>2</v>
      </c>
    </row>
    <row r="2438" spans="1:12" x14ac:dyDescent="0.3">
      <c r="A2438" t="s">
        <v>630</v>
      </c>
      <c r="B2438">
        <v>2021</v>
      </c>
      <c r="C2438" t="s">
        <v>21</v>
      </c>
      <c r="D2438">
        <v>7</v>
      </c>
      <c r="E2438">
        <v>16</v>
      </c>
      <c r="F2438">
        <v>0</v>
      </c>
      <c r="G2438">
        <v>0</v>
      </c>
      <c r="H2438">
        <v>1</v>
      </c>
      <c r="I2438">
        <v>1</v>
      </c>
      <c r="J2438">
        <v>43.75</v>
      </c>
      <c r="K2438">
        <v>7</v>
      </c>
      <c r="L2438">
        <f>_xlfn.XLOOKUP(C2438, dim_teams[team_name], dim_teams[team_id], "Not found", 0)</f>
        <v>2</v>
      </c>
    </row>
    <row r="2439" spans="1:12" x14ac:dyDescent="0.3">
      <c r="A2439" t="s">
        <v>631</v>
      </c>
      <c r="B2439">
        <v>2008</v>
      </c>
      <c r="C2439" t="s">
        <v>19</v>
      </c>
      <c r="D2439">
        <v>193</v>
      </c>
      <c r="E2439">
        <v>160</v>
      </c>
      <c r="F2439">
        <v>30</v>
      </c>
      <c r="G2439">
        <v>2</v>
      </c>
      <c r="H2439">
        <v>7</v>
      </c>
      <c r="I2439">
        <v>7</v>
      </c>
      <c r="J2439">
        <v>120.62</v>
      </c>
      <c r="K2439">
        <v>27.57</v>
      </c>
      <c r="L2439">
        <f>_xlfn.XLOOKUP(C2439, dim_teams[team_name], dim_teams[team_id], "Not found", 0)</f>
        <v>1</v>
      </c>
    </row>
    <row r="2440" spans="1:12" x14ac:dyDescent="0.3">
      <c r="A2440" t="s">
        <v>632</v>
      </c>
      <c r="B2440">
        <v>2024</v>
      </c>
      <c r="C2440" t="s">
        <v>25</v>
      </c>
      <c r="D2440">
        <v>51</v>
      </c>
      <c r="E2440">
        <v>43</v>
      </c>
      <c r="F2440">
        <v>4</v>
      </c>
      <c r="G2440">
        <v>2</v>
      </c>
      <c r="H2440">
        <v>4</v>
      </c>
      <c r="I2440">
        <v>5</v>
      </c>
      <c r="J2440">
        <v>118.6</v>
      </c>
      <c r="K2440">
        <v>12.75</v>
      </c>
      <c r="L2440">
        <f>_xlfn.XLOOKUP(C2440, dim_teams[team_name], dim_teams[team_id], "Not found", 0)</f>
        <v>3</v>
      </c>
    </row>
    <row r="2441" spans="1:12" x14ac:dyDescent="0.3">
      <c r="A2441" t="s">
        <v>632</v>
      </c>
      <c r="B2441">
        <v>2025</v>
      </c>
      <c r="C2441" t="s">
        <v>33</v>
      </c>
      <c r="D2441">
        <v>121</v>
      </c>
      <c r="E2441">
        <v>79</v>
      </c>
      <c r="F2441">
        <v>11</v>
      </c>
      <c r="G2441">
        <v>7</v>
      </c>
      <c r="H2441">
        <v>3</v>
      </c>
      <c r="I2441">
        <v>4</v>
      </c>
      <c r="J2441">
        <v>153.16</v>
      </c>
      <c r="K2441">
        <v>40.33</v>
      </c>
      <c r="L2441">
        <f>_xlfn.XLOOKUP(C2441, dim_teams[team_name], dim_teams[team_id], "Not found", 0)</f>
        <v>15</v>
      </c>
    </row>
    <row r="2442" spans="1:12" x14ac:dyDescent="0.3">
      <c r="A2442" t="s">
        <v>633</v>
      </c>
      <c r="B2442">
        <v>2013</v>
      </c>
      <c r="C2442" t="s">
        <v>54</v>
      </c>
      <c r="D2442">
        <v>0</v>
      </c>
      <c r="E2442">
        <v>1</v>
      </c>
      <c r="F2442">
        <v>0</v>
      </c>
      <c r="G2442">
        <v>0</v>
      </c>
      <c r="H2442">
        <v>0</v>
      </c>
      <c r="I2442">
        <v>1</v>
      </c>
      <c r="J2442">
        <v>0</v>
      </c>
      <c r="L2442">
        <f>_xlfn.XLOOKUP(C2442, dim_teams[team_name], dim_teams[team_id], "Not found", 0)</f>
        <v>4</v>
      </c>
    </row>
    <row r="2443" spans="1:12" x14ac:dyDescent="0.3">
      <c r="A2443" t="s">
        <v>633</v>
      </c>
      <c r="B2443">
        <v>2014</v>
      </c>
      <c r="C2443" t="s">
        <v>54</v>
      </c>
      <c r="D2443">
        <v>2</v>
      </c>
      <c r="E2443">
        <v>5</v>
      </c>
      <c r="F2443">
        <v>0</v>
      </c>
      <c r="G2443">
        <v>0</v>
      </c>
      <c r="H2443">
        <v>0</v>
      </c>
      <c r="I2443">
        <v>1</v>
      </c>
      <c r="J2443">
        <v>40</v>
      </c>
      <c r="L2443">
        <f>_xlfn.XLOOKUP(C2443, dim_teams[team_name], dim_teams[team_id], "Not found", 0)</f>
        <v>4</v>
      </c>
    </row>
    <row r="2444" spans="1:12" x14ac:dyDescent="0.3">
      <c r="A2444" t="s">
        <v>633</v>
      </c>
      <c r="B2444">
        <v>2015</v>
      </c>
      <c r="C2444" t="s">
        <v>54</v>
      </c>
      <c r="D2444">
        <v>9</v>
      </c>
      <c r="E2444">
        <v>14</v>
      </c>
      <c r="F2444">
        <v>1</v>
      </c>
      <c r="G2444">
        <v>0</v>
      </c>
      <c r="H2444">
        <v>1</v>
      </c>
      <c r="I2444">
        <v>3</v>
      </c>
      <c r="J2444">
        <v>64.290000000000006</v>
      </c>
      <c r="K2444">
        <v>9</v>
      </c>
      <c r="L2444">
        <f>_xlfn.XLOOKUP(C2444, dim_teams[team_name], dim_teams[team_id], "Not found", 0)</f>
        <v>4</v>
      </c>
    </row>
    <row r="2445" spans="1:12" x14ac:dyDescent="0.3">
      <c r="A2445" t="s">
        <v>633</v>
      </c>
      <c r="B2445">
        <v>2016</v>
      </c>
      <c r="C2445" t="s">
        <v>54</v>
      </c>
      <c r="D2445">
        <v>8</v>
      </c>
      <c r="E2445">
        <v>9</v>
      </c>
      <c r="F2445">
        <v>0</v>
      </c>
      <c r="G2445">
        <v>0</v>
      </c>
      <c r="H2445">
        <v>0</v>
      </c>
      <c r="I2445">
        <v>4</v>
      </c>
      <c r="J2445">
        <v>88.89</v>
      </c>
      <c r="L2445">
        <f>_xlfn.XLOOKUP(C2445, dim_teams[team_name], dim_teams[team_id], "Not found", 0)</f>
        <v>4</v>
      </c>
    </row>
    <row r="2446" spans="1:12" x14ac:dyDescent="0.3">
      <c r="A2446" t="s">
        <v>633</v>
      </c>
      <c r="B2446">
        <v>2017</v>
      </c>
      <c r="C2446" t="s">
        <v>54</v>
      </c>
      <c r="D2446">
        <v>7</v>
      </c>
      <c r="E2446">
        <v>5</v>
      </c>
      <c r="F2446">
        <v>0</v>
      </c>
      <c r="G2446">
        <v>0</v>
      </c>
      <c r="H2446">
        <v>0</v>
      </c>
      <c r="I2446">
        <v>2</v>
      </c>
      <c r="J2446">
        <v>140</v>
      </c>
      <c r="L2446">
        <f>_xlfn.XLOOKUP(C2446, dim_teams[team_name], dim_teams[team_id], "Not found", 0)</f>
        <v>4</v>
      </c>
    </row>
    <row r="2447" spans="1:12" x14ac:dyDescent="0.3">
      <c r="A2447" t="s">
        <v>633</v>
      </c>
      <c r="B2447">
        <v>2018</v>
      </c>
      <c r="C2447" t="s">
        <v>13</v>
      </c>
      <c r="D2447">
        <v>0</v>
      </c>
      <c r="E2447">
        <v>4</v>
      </c>
      <c r="F2447">
        <v>0</v>
      </c>
      <c r="G2447">
        <v>0</v>
      </c>
      <c r="H2447">
        <v>2</v>
      </c>
      <c r="I2447">
        <v>3</v>
      </c>
      <c r="J2447">
        <v>0</v>
      </c>
      <c r="K2447">
        <v>0</v>
      </c>
      <c r="L2447">
        <f>_xlfn.XLOOKUP(C2447, dim_teams[team_name], dim_teams[team_id], "Not found", 0)</f>
        <v>11</v>
      </c>
    </row>
    <row r="2448" spans="1:12" x14ac:dyDescent="0.3">
      <c r="A2448" t="s">
        <v>633</v>
      </c>
      <c r="B2448">
        <v>2019</v>
      </c>
      <c r="C2448" t="s">
        <v>13</v>
      </c>
      <c r="D2448">
        <v>6</v>
      </c>
      <c r="E2448">
        <v>3</v>
      </c>
      <c r="F2448">
        <v>1</v>
      </c>
      <c r="G2448">
        <v>0</v>
      </c>
      <c r="H2448">
        <v>0</v>
      </c>
      <c r="I2448">
        <v>2</v>
      </c>
      <c r="J2448">
        <v>200</v>
      </c>
      <c r="L2448">
        <f>_xlfn.XLOOKUP(C2448, dim_teams[team_name], dim_teams[team_id], "Not found", 0)</f>
        <v>11</v>
      </c>
    </row>
    <row r="2449" spans="1:12" x14ac:dyDescent="0.3">
      <c r="A2449" t="s">
        <v>633</v>
      </c>
      <c r="B2449">
        <v>2020</v>
      </c>
      <c r="C2449" t="s">
        <v>13</v>
      </c>
      <c r="D2449">
        <v>12</v>
      </c>
      <c r="E2449">
        <v>15</v>
      </c>
      <c r="F2449">
        <v>1</v>
      </c>
      <c r="G2449">
        <v>0</v>
      </c>
      <c r="H2449">
        <v>2</v>
      </c>
      <c r="I2449">
        <v>5</v>
      </c>
      <c r="J2449">
        <v>80</v>
      </c>
      <c r="K2449">
        <v>6</v>
      </c>
      <c r="L2449">
        <f>_xlfn.XLOOKUP(C2449, dim_teams[team_name], dim_teams[team_id], "Not found", 0)</f>
        <v>11</v>
      </c>
    </row>
    <row r="2450" spans="1:12" x14ac:dyDescent="0.3">
      <c r="A2450" t="s">
        <v>633</v>
      </c>
      <c r="B2450">
        <v>2021</v>
      </c>
      <c r="C2450" t="s">
        <v>13</v>
      </c>
      <c r="D2450">
        <v>8</v>
      </c>
      <c r="E2450">
        <v>7</v>
      </c>
      <c r="F2450">
        <v>1</v>
      </c>
      <c r="G2450">
        <v>0</v>
      </c>
      <c r="H2450">
        <v>0</v>
      </c>
      <c r="I2450">
        <v>2</v>
      </c>
      <c r="J2450">
        <v>114.29</v>
      </c>
      <c r="L2450">
        <f>_xlfn.XLOOKUP(C2450, dim_teams[team_name], dim_teams[team_id], "Not found", 0)</f>
        <v>11</v>
      </c>
    </row>
    <row r="2451" spans="1:12" x14ac:dyDescent="0.3">
      <c r="A2451" t="s">
        <v>633</v>
      </c>
      <c r="B2451">
        <v>2023</v>
      </c>
      <c r="C2451" t="s">
        <v>17</v>
      </c>
      <c r="D2451">
        <v>2</v>
      </c>
      <c r="E2451">
        <v>6</v>
      </c>
      <c r="F2451">
        <v>0</v>
      </c>
      <c r="G2451">
        <v>0</v>
      </c>
      <c r="H2451">
        <v>0</v>
      </c>
      <c r="I2451">
        <v>2</v>
      </c>
      <c r="J2451">
        <v>33.33</v>
      </c>
      <c r="L2451">
        <f>_xlfn.XLOOKUP(C2451, dim_teams[team_name], dim_teams[team_id], "Not found", 0)</f>
        <v>5</v>
      </c>
    </row>
    <row r="2452" spans="1:12" x14ac:dyDescent="0.3">
      <c r="A2452" t="s">
        <v>633</v>
      </c>
      <c r="B2452">
        <v>2025</v>
      </c>
      <c r="C2452" t="s">
        <v>17</v>
      </c>
      <c r="D2452">
        <v>6</v>
      </c>
      <c r="E2452">
        <v>5</v>
      </c>
      <c r="F2452">
        <v>0</v>
      </c>
      <c r="G2452">
        <v>0</v>
      </c>
      <c r="H2452">
        <v>0</v>
      </c>
      <c r="I2452">
        <v>1</v>
      </c>
      <c r="J2452">
        <v>120</v>
      </c>
      <c r="L2452">
        <f>_xlfn.XLOOKUP(C2452, dim_teams[team_name], dim_teams[team_id], "Not found", 0)</f>
        <v>5</v>
      </c>
    </row>
    <row r="2453" spans="1:12" x14ac:dyDescent="0.3">
      <c r="A2453" t="s">
        <v>634</v>
      </c>
      <c r="B2453">
        <v>2023</v>
      </c>
      <c r="C2453" t="s">
        <v>13</v>
      </c>
      <c r="D2453">
        <v>11</v>
      </c>
      <c r="E2453">
        <v>9</v>
      </c>
      <c r="F2453">
        <v>1</v>
      </c>
      <c r="G2453">
        <v>1</v>
      </c>
      <c r="H2453">
        <v>1</v>
      </c>
      <c r="I2453">
        <v>2</v>
      </c>
      <c r="J2453">
        <v>122.22</v>
      </c>
      <c r="K2453">
        <v>11</v>
      </c>
      <c r="L2453">
        <f>_xlfn.XLOOKUP(C2453, dim_teams[team_name], dim_teams[team_id], "Not found", 0)</f>
        <v>11</v>
      </c>
    </row>
    <row r="2454" spans="1:12" x14ac:dyDescent="0.3">
      <c r="A2454" t="s">
        <v>634</v>
      </c>
      <c r="B2454">
        <v>2024</v>
      </c>
      <c r="C2454" t="s">
        <v>13</v>
      </c>
      <c r="D2454">
        <v>14</v>
      </c>
      <c r="E2454">
        <v>12</v>
      </c>
      <c r="F2454">
        <v>1</v>
      </c>
      <c r="G2454">
        <v>0</v>
      </c>
      <c r="H2454">
        <v>1</v>
      </c>
      <c r="I2454">
        <v>3</v>
      </c>
      <c r="J2454">
        <v>116.67</v>
      </c>
      <c r="K2454">
        <v>14</v>
      </c>
      <c r="L2454">
        <f>_xlfn.XLOOKUP(C2454, dim_teams[team_name], dim_teams[team_id], "Not found", 0)</f>
        <v>11</v>
      </c>
    </row>
    <row r="2455" spans="1:12" x14ac:dyDescent="0.3">
      <c r="A2455" t="s">
        <v>635</v>
      </c>
      <c r="B2455">
        <v>2024</v>
      </c>
      <c r="C2455" t="s">
        <v>102</v>
      </c>
      <c r="D2455">
        <v>18</v>
      </c>
      <c r="E2455">
        <v>15</v>
      </c>
      <c r="F2455">
        <v>1</v>
      </c>
      <c r="G2455">
        <v>1</v>
      </c>
      <c r="H2455">
        <v>3</v>
      </c>
      <c r="I2455">
        <v>3</v>
      </c>
      <c r="J2455">
        <v>120</v>
      </c>
      <c r="K2455">
        <v>6</v>
      </c>
      <c r="L2455">
        <f>_xlfn.XLOOKUP(C2455, dim_teams[team_name], dim_teams[team_id], "Not found", 0)</f>
        <v>19</v>
      </c>
    </row>
    <row r="2456" spans="1:12" x14ac:dyDescent="0.3">
      <c r="A2456" t="s">
        <v>636</v>
      </c>
      <c r="B2456">
        <v>2025</v>
      </c>
      <c r="C2456" t="s">
        <v>33</v>
      </c>
      <c r="D2456">
        <v>22</v>
      </c>
      <c r="E2456">
        <v>16</v>
      </c>
      <c r="F2456">
        <v>0</v>
      </c>
      <c r="G2456">
        <v>2</v>
      </c>
      <c r="H2456">
        <v>1</v>
      </c>
      <c r="I2456">
        <v>1</v>
      </c>
      <c r="J2456">
        <v>137.5</v>
      </c>
      <c r="K2456">
        <v>22</v>
      </c>
      <c r="L2456">
        <f>_xlfn.XLOOKUP(C2456, dim_teams[team_name], dim_teams[team_id], "Not found", 0)</f>
        <v>15</v>
      </c>
    </row>
    <row r="2457" spans="1:12" x14ac:dyDescent="0.3">
      <c r="A2457" t="s">
        <v>637</v>
      </c>
      <c r="B2457">
        <v>2020</v>
      </c>
      <c r="C2457" t="s">
        <v>21</v>
      </c>
      <c r="D2457">
        <v>1</v>
      </c>
      <c r="E2457">
        <v>1</v>
      </c>
      <c r="F2457">
        <v>0</v>
      </c>
      <c r="G2457">
        <v>0</v>
      </c>
      <c r="H2457">
        <v>0</v>
      </c>
      <c r="I2457">
        <v>1</v>
      </c>
      <c r="J2457">
        <v>100</v>
      </c>
      <c r="L2457">
        <f>_xlfn.XLOOKUP(C2457, dim_teams[team_name], dim_teams[team_id], "Not found", 0)</f>
        <v>2</v>
      </c>
    </row>
    <row r="2458" spans="1:12" x14ac:dyDescent="0.3">
      <c r="A2458" t="s">
        <v>637</v>
      </c>
      <c r="B2458">
        <v>2021</v>
      </c>
      <c r="C2458" t="s">
        <v>21</v>
      </c>
      <c r="D2458">
        <v>59</v>
      </c>
      <c r="E2458">
        <v>53</v>
      </c>
      <c r="F2458">
        <v>4</v>
      </c>
      <c r="G2458">
        <v>2</v>
      </c>
      <c r="H2458">
        <v>7</v>
      </c>
      <c r="I2458">
        <v>7</v>
      </c>
      <c r="J2458">
        <v>111.32</v>
      </c>
      <c r="K2458">
        <v>8.43</v>
      </c>
      <c r="L2458">
        <f>_xlfn.XLOOKUP(C2458, dim_teams[team_name], dim_teams[team_id], "Not found", 0)</f>
        <v>2</v>
      </c>
    </row>
    <row r="2459" spans="1:12" x14ac:dyDescent="0.3">
      <c r="A2459" t="s">
        <v>637</v>
      </c>
      <c r="B2459">
        <v>2022</v>
      </c>
      <c r="C2459" t="s">
        <v>21</v>
      </c>
      <c r="D2459">
        <v>219</v>
      </c>
      <c r="E2459">
        <v>179</v>
      </c>
      <c r="F2459">
        <v>14</v>
      </c>
      <c r="G2459">
        <v>9</v>
      </c>
      <c r="H2459">
        <v>8</v>
      </c>
      <c r="I2459">
        <v>11</v>
      </c>
      <c r="J2459">
        <v>122.35</v>
      </c>
      <c r="K2459">
        <v>27.38</v>
      </c>
      <c r="L2459">
        <f>_xlfn.XLOOKUP(C2459, dim_teams[team_name], dim_teams[team_id], "Not found", 0)</f>
        <v>2</v>
      </c>
    </row>
    <row r="2460" spans="1:12" x14ac:dyDescent="0.3">
      <c r="A2460" t="s">
        <v>637</v>
      </c>
      <c r="B2460">
        <v>2023</v>
      </c>
      <c r="C2460" t="s">
        <v>21</v>
      </c>
      <c r="D2460">
        <v>42</v>
      </c>
      <c r="E2460">
        <v>39</v>
      </c>
      <c r="F2460">
        <v>3</v>
      </c>
      <c r="G2460">
        <v>1</v>
      </c>
      <c r="H2460">
        <v>4</v>
      </c>
      <c r="I2460">
        <v>6</v>
      </c>
      <c r="J2460">
        <v>107.69</v>
      </c>
      <c r="K2460">
        <v>10.5</v>
      </c>
      <c r="L2460">
        <f>_xlfn.XLOOKUP(C2460, dim_teams[team_name], dim_teams[team_id], "Not found", 0)</f>
        <v>2</v>
      </c>
    </row>
    <row r="2461" spans="1:12" x14ac:dyDescent="0.3">
      <c r="A2461" t="s">
        <v>637</v>
      </c>
      <c r="B2461">
        <v>2024</v>
      </c>
      <c r="C2461" t="s">
        <v>13</v>
      </c>
      <c r="D2461">
        <v>215</v>
      </c>
      <c r="E2461">
        <v>166</v>
      </c>
      <c r="F2461">
        <v>7</v>
      </c>
      <c r="G2461">
        <v>13</v>
      </c>
      <c r="H2461">
        <v>10</v>
      </c>
      <c r="I2461">
        <v>12</v>
      </c>
      <c r="J2461">
        <v>129.52000000000001</v>
      </c>
      <c r="K2461">
        <v>21.5</v>
      </c>
      <c r="L2461">
        <f>_xlfn.XLOOKUP(C2461, dim_teams[team_name], dim_teams[team_id], "Not found", 0)</f>
        <v>11</v>
      </c>
    </row>
    <row r="2462" spans="1:12" x14ac:dyDescent="0.3">
      <c r="A2462" t="s">
        <v>637</v>
      </c>
      <c r="B2462">
        <v>2025</v>
      </c>
      <c r="C2462" t="s">
        <v>15</v>
      </c>
      <c r="D2462">
        <v>9</v>
      </c>
      <c r="E2462">
        <v>8</v>
      </c>
      <c r="F2462">
        <v>1</v>
      </c>
      <c r="G2462">
        <v>0</v>
      </c>
      <c r="H2462">
        <v>1</v>
      </c>
      <c r="I2462">
        <v>1</v>
      </c>
      <c r="J2462">
        <v>112.5</v>
      </c>
      <c r="K2462">
        <v>9</v>
      </c>
      <c r="L2462">
        <f>_xlfn.XLOOKUP(C2462, dim_teams[team_name], dim_teams[team_id], "Not found", 0)</f>
        <v>17</v>
      </c>
    </row>
    <row r="2463" spans="1:12" x14ac:dyDescent="0.3">
      <c r="A2463" t="s">
        <v>638</v>
      </c>
      <c r="B2463">
        <v>2008</v>
      </c>
      <c r="C2463" t="s">
        <v>12</v>
      </c>
      <c r="D2463">
        <v>81</v>
      </c>
      <c r="E2463">
        <v>46</v>
      </c>
      <c r="F2463">
        <v>7</v>
      </c>
      <c r="G2463">
        <v>6</v>
      </c>
      <c r="H2463">
        <v>8</v>
      </c>
      <c r="I2463">
        <v>9</v>
      </c>
      <c r="J2463">
        <v>176.09</v>
      </c>
      <c r="K2463">
        <v>10.119999999999999</v>
      </c>
      <c r="L2463">
        <f>_xlfn.XLOOKUP(C2463, dim_teams[team_name], dim_teams[team_id], "Not found", 0)</f>
        <v>8</v>
      </c>
    </row>
    <row r="2464" spans="1:12" x14ac:dyDescent="0.3">
      <c r="A2464" t="s">
        <v>639</v>
      </c>
      <c r="B2464">
        <v>2011</v>
      </c>
      <c r="C2464" t="s">
        <v>19</v>
      </c>
      <c r="D2464">
        <v>29</v>
      </c>
      <c r="E2464">
        <v>22</v>
      </c>
      <c r="F2464">
        <v>4</v>
      </c>
      <c r="G2464">
        <v>0</v>
      </c>
      <c r="H2464">
        <v>2</v>
      </c>
      <c r="I2464">
        <v>3</v>
      </c>
      <c r="J2464">
        <v>131.82</v>
      </c>
      <c r="K2464">
        <v>14.5</v>
      </c>
      <c r="L2464">
        <f>_xlfn.XLOOKUP(C2464, dim_teams[team_name], dim_teams[team_id], "Not found", 0)</f>
        <v>1</v>
      </c>
    </row>
    <row r="2465" spans="1:12" x14ac:dyDescent="0.3">
      <c r="A2465" t="s">
        <v>639</v>
      </c>
      <c r="B2465">
        <v>2012</v>
      </c>
      <c r="C2465" t="s">
        <v>19</v>
      </c>
      <c r="D2465">
        <v>91</v>
      </c>
      <c r="E2465">
        <v>73</v>
      </c>
      <c r="F2465">
        <v>6</v>
      </c>
      <c r="G2465">
        <v>3</v>
      </c>
      <c r="H2465">
        <v>6</v>
      </c>
      <c r="I2465">
        <v>7</v>
      </c>
      <c r="J2465">
        <v>124.66</v>
      </c>
      <c r="K2465">
        <v>15.17</v>
      </c>
      <c r="L2465">
        <f>_xlfn.XLOOKUP(C2465, dim_teams[team_name], dim_teams[team_id], "Not found", 0)</f>
        <v>1</v>
      </c>
    </row>
    <row r="2466" spans="1:12" x14ac:dyDescent="0.3">
      <c r="A2466" t="s">
        <v>639</v>
      </c>
      <c r="B2466">
        <v>2014</v>
      </c>
      <c r="C2466" t="s">
        <v>19</v>
      </c>
      <c r="D2466">
        <v>229</v>
      </c>
      <c r="E2466">
        <v>153</v>
      </c>
      <c r="F2466">
        <v>22</v>
      </c>
      <c r="G2466">
        <v>7</v>
      </c>
      <c r="H2466">
        <v>9</v>
      </c>
      <c r="I2466">
        <v>11</v>
      </c>
      <c r="J2466">
        <v>149.66999999999999</v>
      </c>
      <c r="K2466">
        <v>25.44</v>
      </c>
      <c r="L2466">
        <f>_xlfn.XLOOKUP(C2466, dim_teams[team_name], dim_teams[team_id], "Not found", 0)</f>
        <v>1</v>
      </c>
    </row>
    <row r="2467" spans="1:12" x14ac:dyDescent="0.3">
      <c r="A2467" t="s">
        <v>639</v>
      </c>
      <c r="B2467">
        <v>2015</v>
      </c>
      <c r="C2467" t="s">
        <v>19</v>
      </c>
      <c r="D2467">
        <v>36</v>
      </c>
      <c r="E2467">
        <v>27</v>
      </c>
      <c r="F2467">
        <v>5</v>
      </c>
      <c r="G2467">
        <v>0</v>
      </c>
      <c r="H2467">
        <v>3</v>
      </c>
      <c r="I2467">
        <v>3</v>
      </c>
      <c r="J2467">
        <v>133.33000000000001</v>
      </c>
      <c r="K2467">
        <v>12</v>
      </c>
      <c r="L2467">
        <f>_xlfn.XLOOKUP(C2467, dim_teams[team_name], dim_teams[team_id], "Not found", 0)</f>
        <v>1</v>
      </c>
    </row>
    <row r="2468" spans="1:12" x14ac:dyDescent="0.3">
      <c r="A2468" t="s">
        <v>639</v>
      </c>
      <c r="B2468">
        <v>2016</v>
      </c>
      <c r="C2468" t="s">
        <v>19</v>
      </c>
      <c r="D2468">
        <v>114</v>
      </c>
      <c r="E2468">
        <v>106</v>
      </c>
      <c r="F2468">
        <v>7</v>
      </c>
      <c r="G2468">
        <v>5</v>
      </c>
      <c r="H2468">
        <v>5</v>
      </c>
      <c r="I2468">
        <v>7</v>
      </c>
      <c r="J2468">
        <v>107.55</v>
      </c>
      <c r="K2468">
        <v>22.8</v>
      </c>
      <c r="L2468">
        <f>_xlfn.XLOOKUP(C2468, dim_teams[team_name], dim_teams[team_id], "Not found", 0)</f>
        <v>1</v>
      </c>
    </row>
    <row r="2469" spans="1:12" x14ac:dyDescent="0.3">
      <c r="A2469" t="s">
        <v>639</v>
      </c>
      <c r="B2469">
        <v>2017</v>
      </c>
      <c r="C2469" t="s">
        <v>19</v>
      </c>
      <c r="D2469">
        <v>1</v>
      </c>
      <c r="E2469">
        <v>1</v>
      </c>
      <c r="F2469">
        <v>0</v>
      </c>
      <c r="G2469">
        <v>0</v>
      </c>
      <c r="H2469">
        <v>0</v>
      </c>
      <c r="I2469">
        <v>1</v>
      </c>
      <c r="J2469">
        <v>100</v>
      </c>
      <c r="L2469">
        <f>_xlfn.XLOOKUP(C2469, dim_teams[team_name], dim_teams[team_id], "Not found", 0)</f>
        <v>1</v>
      </c>
    </row>
    <row r="2470" spans="1:12" x14ac:dyDescent="0.3">
      <c r="A2470" t="s">
        <v>639</v>
      </c>
      <c r="B2470">
        <v>2018</v>
      </c>
      <c r="C2470" t="s">
        <v>13</v>
      </c>
      <c r="D2470">
        <v>239</v>
      </c>
      <c r="E2470">
        <v>195</v>
      </c>
      <c r="F2470">
        <v>26</v>
      </c>
      <c r="G2470">
        <v>5</v>
      </c>
      <c r="H2470">
        <v>9</v>
      </c>
      <c r="I2470">
        <v>13</v>
      </c>
      <c r="J2470">
        <v>122.56</v>
      </c>
      <c r="K2470">
        <v>26.56</v>
      </c>
      <c r="L2470">
        <f>_xlfn.XLOOKUP(C2470, dim_teams[team_name], dim_teams[team_id], "Not found", 0)</f>
        <v>11</v>
      </c>
    </row>
    <row r="2471" spans="1:12" x14ac:dyDescent="0.3">
      <c r="A2471" t="s">
        <v>639</v>
      </c>
      <c r="B2471">
        <v>2019</v>
      </c>
      <c r="C2471" t="s">
        <v>13</v>
      </c>
      <c r="D2471">
        <v>9</v>
      </c>
      <c r="E2471">
        <v>10</v>
      </c>
      <c r="F2471">
        <v>0</v>
      </c>
      <c r="G2471">
        <v>0</v>
      </c>
      <c r="H2471">
        <v>1</v>
      </c>
      <c r="I2471">
        <v>1</v>
      </c>
      <c r="J2471">
        <v>90</v>
      </c>
      <c r="K2471">
        <v>9</v>
      </c>
      <c r="L2471">
        <f>_xlfn.XLOOKUP(C2471, dim_teams[team_name], dim_teams[team_id], "Not found", 0)</f>
        <v>11</v>
      </c>
    </row>
    <row r="2472" spans="1:12" x14ac:dyDescent="0.3">
      <c r="A2472" t="s">
        <v>639</v>
      </c>
      <c r="B2472">
        <v>2021</v>
      </c>
      <c r="C2472" t="s">
        <v>19</v>
      </c>
      <c r="D2472">
        <v>47</v>
      </c>
      <c r="E2472">
        <v>48</v>
      </c>
      <c r="F2472">
        <v>3</v>
      </c>
      <c r="G2472">
        <v>1</v>
      </c>
      <c r="H2472">
        <v>5</v>
      </c>
      <c r="I2472">
        <v>6</v>
      </c>
      <c r="J2472">
        <v>97.92</v>
      </c>
      <c r="K2472">
        <v>9.4</v>
      </c>
      <c r="L2472">
        <f>_xlfn.XLOOKUP(C2472, dim_teams[team_name], dim_teams[team_id], "Not found", 0)</f>
        <v>1</v>
      </c>
    </row>
    <row r="2473" spans="1:12" x14ac:dyDescent="0.3">
      <c r="A2473" t="s">
        <v>640</v>
      </c>
      <c r="B2473">
        <v>2022</v>
      </c>
      <c r="C2473" t="s">
        <v>13</v>
      </c>
      <c r="D2473">
        <v>69</v>
      </c>
      <c r="E2473">
        <v>47</v>
      </c>
      <c r="F2473">
        <v>5</v>
      </c>
      <c r="G2473">
        <v>4</v>
      </c>
      <c r="H2473">
        <v>4</v>
      </c>
      <c r="I2473">
        <v>5</v>
      </c>
      <c r="J2473">
        <v>146.81</v>
      </c>
      <c r="K2473">
        <v>17.25</v>
      </c>
      <c r="L2473">
        <f>_xlfn.XLOOKUP(C2473, dim_teams[team_name], dim_teams[team_id], "Not found", 0)</f>
        <v>11</v>
      </c>
    </row>
    <row r="2474" spans="1:12" x14ac:dyDescent="0.3">
      <c r="A2474" t="s">
        <v>640</v>
      </c>
      <c r="B2474">
        <v>2024</v>
      </c>
      <c r="C2474" t="s">
        <v>76</v>
      </c>
      <c r="D2474">
        <v>354</v>
      </c>
      <c r="E2474">
        <v>215</v>
      </c>
      <c r="F2474">
        <v>28</v>
      </c>
      <c r="G2474">
        <v>21</v>
      </c>
      <c r="H2474">
        <v>7</v>
      </c>
      <c r="I2474">
        <v>14</v>
      </c>
      <c r="J2474">
        <v>164.65</v>
      </c>
      <c r="K2474">
        <v>50.57</v>
      </c>
      <c r="L2474">
        <f>_xlfn.XLOOKUP(C2474, dim_teams[team_name], dim_teams[team_id], "Not found", 0)</f>
        <v>16</v>
      </c>
    </row>
    <row r="2475" spans="1:12" x14ac:dyDescent="0.3">
      <c r="A2475" t="s">
        <v>640</v>
      </c>
      <c r="B2475">
        <v>2025</v>
      </c>
      <c r="C2475" t="s">
        <v>76</v>
      </c>
      <c r="D2475">
        <v>350</v>
      </c>
      <c r="E2475">
        <v>228</v>
      </c>
      <c r="F2475">
        <v>23</v>
      </c>
      <c r="G2475">
        <v>18</v>
      </c>
      <c r="H2475">
        <v>7</v>
      </c>
      <c r="I2475">
        <v>14</v>
      </c>
      <c r="J2475">
        <v>153.51</v>
      </c>
      <c r="K2475">
        <v>50</v>
      </c>
      <c r="L2475">
        <f>_xlfn.XLOOKUP(C2475, dim_teams[team_name], dim_teams[team_id], "Not found", 0)</f>
        <v>16</v>
      </c>
    </row>
    <row r="2476" spans="1:12" x14ac:dyDescent="0.3">
      <c r="A2476" t="s">
        <v>641</v>
      </c>
      <c r="B2476">
        <v>2018</v>
      </c>
      <c r="C2476" t="s">
        <v>19</v>
      </c>
      <c r="D2476">
        <v>13</v>
      </c>
      <c r="E2476">
        <v>15</v>
      </c>
      <c r="F2476">
        <v>1</v>
      </c>
      <c r="G2476">
        <v>0</v>
      </c>
      <c r="H2476">
        <v>3</v>
      </c>
      <c r="I2476">
        <v>3</v>
      </c>
      <c r="J2476">
        <v>86.67</v>
      </c>
      <c r="K2476">
        <v>4.33</v>
      </c>
      <c r="L2476">
        <f>_xlfn.XLOOKUP(C2476, dim_teams[team_name], dim_teams[team_id], "Not found", 0)</f>
        <v>1</v>
      </c>
    </row>
    <row r="2477" spans="1:12" x14ac:dyDescent="0.3">
      <c r="A2477" t="s">
        <v>641</v>
      </c>
      <c r="B2477">
        <v>2020</v>
      </c>
      <c r="C2477" t="s">
        <v>19</v>
      </c>
      <c r="D2477">
        <v>10</v>
      </c>
      <c r="E2477">
        <v>14</v>
      </c>
      <c r="F2477">
        <v>1</v>
      </c>
      <c r="G2477">
        <v>0</v>
      </c>
      <c r="H2477">
        <v>2</v>
      </c>
      <c r="I2477">
        <v>3</v>
      </c>
      <c r="J2477">
        <v>71.430000000000007</v>
      </c>
      <c r="K2477">
        <v>5</v>
      </c>
      <c r="L2477">
        <f>_xlfn.XLOOKUP(C2477, dim_teams[team_name], dim_teams[team_id], "Not found", 0)</f>
        <v>1</v>
      </c>
    </row>
    <row r="2478" spans="1:12" x14ac:dyDescent="0.3">
      <c r="A2478" t="s">
        <v>641</v>
      </c>
      <c r="B2478">
        <v>2021</v>
      </c>
      <c r="C2478" t="s">
        <v>19</v>
      </c>
      <c r="D2478">
        <v>25</v>
      </c>
      <c r="E2478">
        <v>20</v>
      </c>
      <c r="F2478">
        <v>2</v>
      </c>
      <c r="G2478">
        <v>2</v>
      </c>
      <c r="H2478">
        <v>2</v>
      </c>
      <c r="I2478">
        <v>2</v>
      </c>
      <c r="J2478">
        <v>125</v>
      </c>
      <c r="K2478">
        <v>12.5</v>
      </c>
      <c r="L2478">
        <f>_xlfn.XLOOKUP(C2478, dim_teams[team_name], dim_teams[team_id], "Not found", 0)</f>
        <v>1</v>
      </c>
    </row>
    <row r="2479" spans="1:12" x14ac:dyDescent="0.3">
      <c r="A2479" t="s">
        <v>641</v>
      </c>
      <c r="B2479">
        <v>2022</v>
      </c>
      <c r="C2479" t="s">
        <v>19</v>
      </c>
      <c r="D2479">
        <v>3</v>
      </c>
      <c r="E2479">
        <v>7</v>
      </c>
      <c r="F2479">
        <v>0</v>
      </c>
      <c r="G2479">
        <v>0</v>
      </c>
      <c r="H2479">
        <v>2</v>
      </c>
      <c r="I2479">
        <v>3</v>
      </c>
      <c r="J2479">
        <v>42.86</v>
      </c>
      <c r="K2479">
        <v>1.5</v>
      </c>
      <c r="L2479">
        <f>_xlfn.XLOOKUP(C2479, dim_teams[team_name], dim_teams[team_id], "Not found", 0)</f>
        <v>1</v>
      </c>
    </row>
    <row r="2480" spans="1:12" x14ac:dyDescent="0.3">
      <c r="A2480" t="s">
        <v>642</v>
      </c>
      <c r="B2480">
        <v>2014</v>
      </c>
      <c r="C2480" t="s">
        <v>54</v>
      </c>
      <c r="D2480">
        <v>5</v>
      </c>
      <c r="E2480">
        <v>3</v>
      </c>
      <c r="F2480">
        <v>1</v>
      </c>
      <c r="G2480">
        <v>0</v>
      </c>
      <c r="H2480">
        <v>1</v>
      </c>
      <c r="I2480">
        <v>2</v>
      </c>
      <c r="J2480">
        <v>166.67</v>
      </c>
      <c r="K2480">
        <v>5</v>
      </c>
      <c r="L2480">
        <f>_xlfn.XLOOKUP(C2480, dim_teams[team_name], dim_teams[team_id], "Not found", 0)</f>
        <v>4</v>
      </c>
    </row>
    <row r="2481" spans="1:12" x14ac:dyDescent="0.3">
      <c r="A2481" t="s">
        <v>643</v>
      </c>
      <c r="B2481">
        <v>2024</v>
      </c>
      <c r="C2481" t="s">
        <v>76</v>
      </c>
      <c r="D2481">
        <v>2</v>
      </c>
      <c r="E2481">
        <v>3</v>
      </c>
      <c r="F2481">
        <v>0</v>
      </c>
      <c r="G2481">
        <v>0</v>
      </c>
      <c r="H2481">
        <v>0</v>
      </c>
      <c r="I2481">
        <v>1</v>
      </c>
      <c r="J2481">
        <v>66.67</v>
      </c>
      <c r="L2481">
        <f>_xlfn.XLOOKUP(C2481, dim_teams[team_name], dim_teams[team_id], "Not found", 0)</f>
        <v>16</v>
      </c>
    </row>
    <row r="2482" spans="1:12" x14ac:dyDescent="0.3">
      <c r="A2482" t="s">
        <v>644</v>
      </c>
      <c r="B2482">
        <v>2009</v>
      </c>
      <c r="C2482" t="s">
        <v>12</v>
      </c>
      <c r="D2482">
        <v>1</v>
      </c>
      <c r="E2482">
        <v>6</v>
      </c>
      <c r="F2482">
        <v>0</v>
      </c>
      <c r="G2482">
        <v>0</v>
      </c>
      <c r="H2482">
        <v>2</v>
      </c>
      <c r="I2482">
        <v>3</v>
      </c>
      <c r="J2482">
        <v>16.670000000000002</v>
      </c>
      <c r="K2482">
        <v>0.5</v>
      </c>
      <c r="L2482">
        <f>_xlfn.XLOOKUP(C2482, dim_teams[team_name], dim_teams[team_id], "Not found", 0)</f>
        <v>8</v>
      </c>
    </row>
    <row r="2483" spans="1:12" x14ac:dyDescent="0.3">
      <c r="A2483" t="s">
        <v>645</v>
      </c>
      <c r="B2483">
        <v>2008</v>
      </c>
      <c r="C2483" t="s">
        <v>19</v>
      </c>
      <c r="D2483">
        <v>2</v>
      </c>
      <c r="E2483">
        <v>7</v>
      </c>
      <c r="F2483">
        <v>0</v>
      </c>
      <c r="G2483">
        <v>0</v>
      </c>
      <c r="H2483">
        <v>1</v>
      </c>
      <c r="I2483">
        <v>1</v>
      </c>
      <c r="J2483">
        <v>28.57</v>
      </c>
      <c r="K2483">
        <v>2</v>
      </c>
      <c r="L2483">
        <f>_xlfn.XLOOKUP(C2483, dim_teams[team_name], dim_teams[team_id], "Not found", 0)</f>
        <v>1</v>
      </c>
    </row>
    <row r="2484" spans="1:12" x14ac:dyDescent="0.3">
      <c r="A2484" t="s">
        <v>646</v>
      </c>
      <c r="B2484">
        <v>2008</v>
      </c>
      <c r="C2484" t="s">
        <v>32</v>
      </c>
      <c r="D2484">
        <v>52</v>
      </c>
      <c r="E2484">
        <v>46</v>
      </c>
      <c r="F2484">
        <v>5</v>
      </c>
      <c r="G2484">
        <v>0</v>
      </c>
      <c r="H2484">
        <v>4</v>
      </c>
      <c r="I2484">
        <v>5</v>
      </c>
      <c r="J2484">
        <v>113.04</v>
      </c>
      <c r="K2484">
        <v>13</v>
      </c>
      <c r="L2484">
        <f>_xlfn.XLOOKUP(C2484, dim_teams[team_name], dim_teams[team_id], "Not found", 0)</f>
        <v>6</v>
      </c>
    </row>
    <row r="2485" spans="1:12" x14ac:dyDescent="0.3">
      <c r="A2485" t="s">
        <v>647</v>
      </c>
      <c r="B2485">
        <v>2018</v>
      </c>
      <c r="C2485" t="s">
        <v>19</v>
      </c>
      <c r="D2485">
        <v>203</v>
      </c>
      <c r="E2485">
        <v>139</v>
      </c>
      <c r="F2485">
        <v>22</v>
      </c>
      <c r="G2485">
        <v>5</v>
      </c>
      <c r="H2485">
        <v>5</v>
      </c>
      <c r="I2485">
        <v>10</v>
      </c>
      <c r="J2485">
        <v>146.04</v>
      </c>
      <c r="K2485">
        <v>40.6</v>
      </c>
      <c r="L2485">
        <f>_xlfn.XLOOKUP(C2485, dim_teams[team_name], dim_teams[team_id], "Not found", 0)</f>
        <v>1</v>
      </c>
    </row>
    <row r="2486" spans="1:12" x14ac:dyDescent="0.3">
      <c r="A2486" t="s">
        <v>647</v>
      </c>
      <c r="B2486">
        <v>2019</v>
      </c>
      <c r="C2486" t="s">
        <v>19</v>
      </c>
      <c r="D2486">
        <v>296</v>
      </c>
      <c r="E2486">
        <v>237</v>
      </c>
      <c r="F2486">
        <v>21</v>
      </c>
      <c r="G2486">
        <v>10</v>
      </c>
      <c r="H2486">
        <v>9</v>
      </c>
      <c r="I2486">
        <v>13</v>
      </c>
      <c r="J2486">
        <v>124.89</v>
      </c>
      <c r="K2486">
        <v>32.89</v>
      </c>
      <c r="L2486">
        <f>_xlfn.XLOOKUP(C2486, dim_teams[team_name], dim_teams[team_id], "Not found", 0)</f>
        <v>1</v>
      </c>
    </row>
    <row r="2487" spans="1:12" x14ac:dyDescent="0.3">
      <c r="A2487" t="s">
        <v>647</v>
      </c>
      <c r="B2487">
        <v>2020</v>
      </c>
      <c r="C2487" t="s">
        <v>19</v>
      </c>
      <c r="D2487">
        <v>440</v>
      </c>
      <c r="E2487">
        <v>372</v>
      </c>
      <c r="F2487">
        <v>44</v>
      </c>
      <c r="G2487">
        <v>9</v>
      </c>
      <c r="H2487">
        <v>13</v>
      </c>
      <c r="I2487">
        <v>14</v>
      </c>
      <c r="J2487">
        <v>118.28</v>
      </c>
      <c r="K2487">
        <v>33.85</v>
      </c>
      <c r="L2487">
        <f>_xlfn.XLOOKUP(C2487, dim_teams[team_name], dim_teams[team_id], "Not found", 0)</f>
        <v>1</v>
      </c>
    </row>
    <row r="2488" spans="1:12" x14ac:dyDescent="0.3">
      <c r="A2488" t="s">
        <v>647</v>
      </c>
      <c r="B2488">
        <v>2021</v>
      </c>
      <c r="C2488" t="s">
        <v>19</v>
      </c>
      <c r="D2488">
        <v>478</v>
      </c>
      <c r="E2488">
        <v>401</v>
      </c>
      <c r="F2488">
        <v>50</v>
      </c>
      <c r="G2488">
        <v>12</v>
      </c>
      <c r="H2488">
        <v>17</v>
      </c>
      <c r="I2488">
        <v>17</v>
      </c>
      <c r="J2488">
        <v>119.2</v>
      </c>
      <c r="K2488">
        <v>28.12</v>
      </c>
      <c r="L2488">
        <f>_xlfn.XLOOKUP(C2488, dim_teams[team_name], dim_teams[team_id], "Not found", 0)</f>
        <v>1</v>
      </c>
    </row>
    <row r="2489" spans="1:12" x14ac:dyDescent="0.3">
      <c r="A2489" t="s">
        <v>647</v>
      </c>
      <c r="B2489">
        <v>2022</v>
      </c>
      <c r="C2489" t="s">
        <v>29</v>
      </c>
      <c r="D2489">
        <v>483</v>
      </c>
      <c r="E2489">
        <v>362</v>
      </c>
      <c r="F2489">
        <v>51</v>
      </c>
      <c r="G2489">
        <v>11</v>
      </c>
      <c r="H2489">
        <v>15</v>
      </c>
      <c r="I2489">
        <v>16</v>
      </c>
      <c r="J2489">
        <v>133.43</v>
      </c>
      <c r="K2489">
        <v>32.200000000000003</v>
      </c>
      <c r="L2489">
        <f>_xlfn.XLOOKUP(C2489, dim_teams[team_name], dim_teams[team_id], "Not found", 0)</f>
        <v>18</v>
      </c>
    </row>
    <row r="2490" spans="1:12" x14ac:dyDescent="0.3">
      <c r="A2490" t="s">
        <v>647</v>
      </c>
      <c r="B2490">
        <v>2023</v>
      </c>
      <c r="C2490" t="s">
        <v>29</v>
      </c>
      <c r="D2490">
        <v>890</v>
      </c>
      <c r="E2490">
        <v>560</v>
      </c>
      <c r="F2490">
        <v>85</v>
      </c>
      <c r="G2490">
        <v>33</v>
      </c>
      <c r="H2490">
        <v>16</v>
      </c>
      <c r="I2490">
        <v>17</v>
      </c>
      <c r="J2490">
        <v>158.93</v>
      </c>
      <c r="K2490">
        <v>55.62</v>
      </c>
      <c r="L2490">
        <f>_xlfn.XLOOKUP(C2490, dim_teams[team_name], dim_teams[team_id], "Not found", 0)</f>
        <v>18</v>
      </c>
    </row>
    <row r="2491" spans="1:12" x14ac:dyDescent="0.3">
      <c r="A2491" t="s">
        <v>647</v>
      </c>
      <c r="B2491">
        <v>2024</v>
      </c>
      <c r="C2491" t="s">
        <v>29</v>
      </c>
      <c r="D2491">
        <v>426</v>
      </c>
      <c r="E2491">
        <v>289</v>
      </c>
      <c r="F2491">
        <v>37</v>
      </c>
      <c r="G2491">
        <v>15</v>
      </c>
      <c r="H2491">
        <v>11</v>
      </c>
      <c r="I2491">
        <v>12</v>
      </c>
      <c r="J2491">
        <v>147.4</v>
      </c>
      <c r="K2491">
        <v>38.729999999999997</v>
      </c>
      <c r="L2491">
        <f>_xlfn.XLOOKUP(C2491, dim_teams[team_name], dim_teams[team_id], "Not found", 0)</f>
        <v>18</v>
      </c>
    </row>
    <row r="2492" spans="1:12" x14ac:dyDescent="0.3">
      <c r="A2492" t="s">
        <v>647</v>
      </c>
      <c r="B2492">
        <v>2025</v>
      </c>
      <c r="C2492" t="s">
        <v>29</v>
      </c>
      <c r="D2492">
        <v>650</v>
      </c>
      <c r="E2492">
        <v>414</v>
      </c>
      <c r="F2492">
        <v>62</v>
      </c>
      <c r="G2492">
        <v>24</v>
      </c>
      <c r="H2492">
        <v>12</v>
      </c>
      <c r="I2492">
        <v>15</v>
      </c>
      <c r="J2492">
        <v>157</v>
      </c>
      <c r="K2492">
        <v>54.17</v>
      </c>
      <c r="L2492">
        <f>_xlfn.XLOOKUP(C2492, dim_teams[team_name], dim_teams[team_id], "Not found", 0)</f>
        <v>18</v>
      </c>
    </row>
    <row r="2493" spans="1:12" x14ac:dyDescent="0.3">
      <c r="A2493" t="s">
        <v>648</v>
      </c>
      <c r="B2493">
        <v>2023</v>
      </c>
      <c r="C2493" t="s">
        <v>76</v>
      </c>
      <c r="D2493">
        <v>139</v>
      </c>
      <c r="E2493">
        <v>98</v>
      </c>
      <c r="F2493">
        <v>10</v>
      </c>
      <c r="G2493">
        <v>6</v>
      </c>
      <c r="H2493">
        <v>5</v>
      </c>
      <c r="I2493">
        <v>7</v>
      </c>
      <c r="J2493">
        <v>141.84</v>
      </c>
      <c r="K2493">
        <v>27.8</v>
      </c>
      <c r="L2493">
        <f>_xlfn.XLOOKUP(C2493, dim_teams[team_name], dim_teams[team_id], "Not found", 0)</f>
        <v>16</v>
      </c>
    </row>
    <row r="2494" spans="1:12" x14ac:dyDescent="0.3">
      <c r="A2494" t="s">
        <v>648</v>
      </c>
      <c r="B2494">
        <v>2024</v>
      </c>
      <c r="C2494" t="s">
        <v>76</v>
      </c>
      <c r="D2494">
        <v>43</v>
      </c>
      <c r="E2494">
        <v>38</v>
      </c>
      <c r="F2494">
        <v>2</v>
      </c>
      <c r="G2494">
        <v>2</v>
      </c>
      <c r="H2494">
        <v>2</v>
      </c>
      <c r="I2494">
        <v>2</v>
      </c>
      <c r="J2494">
        <v>113.16</v>
      </c>
      <c r="K2494">
        <v>21.5</v>
      </c>
      <c r="L2494">
        <f>_xlfn.XLOOKUP(C2494, dim_teams[team_name], dim_teams[team_id], "Not found", 0)</f>
        <v>16</v>
      </c>
    </row>
    <row r="2495" spans="1:12" x14ac:dyDescent="0.3">
      <c r="A2495" t="s">
        <v>649</v>
      </c>
      <c r="B2495">
        <v>2022</v>
      </c>
      <c r="C2495" t="s">
        <v>25</v>
      </c>
      <c r="D2495">
        <v>7</v>
      </c>
      <c r="E2495">
        <v>8</v>
      </c>
      <c r="F2495">
        <v>0</v>
      </c>
      <c r="G2495">
        <v>0</v>
      </c>
      <c r="H2495">
        <v>1</v>
      </c>
      <c r="I2495">
        <v>3</v>
      </c>
      <c r="J2495">
        <v>87.5</v>
      </c>
      <c r="K2495">
        <v>7</v>
      </c>
      <c r="L2495">
        <f>_xlfn.XLOOKUP(C2495, dim_teams[team_name], dim_teams[team_id], "Not found", 0)</f>
        <v>3</v>
      </c>
    </row>
    <row r="2496" spans="1:12" x14ac:dyDescent="0.3">
      <c r="A2496" t="s">
        <v>649</v>
      </c>
      <c r="B2496">
        <v>2025</v>
      </c>
      <c r="C2496" t="s">
        <v>13</v>
      </c>
      <c r="D2496">
        <v>3</v>
      </c>
      <c r="E2496">
        <v>7</v>
      </c>
      <c r="F2496">
        <v>0</v>
      </c>
      <c r="G2496">
        <v>0</v>
      </c>
      <c r="H2496">
        <v>2</v>
      </c>
      <c r="I2496">
        <v>3</v>
      </c>
      <c r="J2496">
        <v>42.86</v>
      </c>
      <c r="K2496">
        <v>1.5</v>
      </c>
      <c r="L2496">
        <f>_xlfn.XLOOKUP(C2496, dim_teams[team_name], dim_teams[team_id], "Not found", 0)</f>
        <v>11</v>
      </c>
    </row>
    <row r="2497" spans="1:12" x14ac:dyDescent="0.3">
      <c r="A2497" t="s">
        <v>650</v>
      </c>
      <c r="B2497">
        <v>2008</v>
      </c>
      <c r="C2497" t="s">
        <v>17</v>
      </c>
      <c r="D2497">
        <v>36</v>
      </c>
      <c r="E2497">
        <v>28</v>
      </c>
      <c r="F2497">
        <v>3</v>
      </c>
      <c r="G2497">
        <v>1</v>
      </c>
      <c r="H2497">
        <v>3</v>
      </c>
      <c r="I2497">
        <v>5</v>
      </c>
      <c r="J2497">
        <v>128.57</v>
      </c>
      <c r="K2497">
        <v>12</v>
      </c>
      <c r="L2497">
        <f>_xlfn.XLOOKUP(C2497, dim_teams[team_name], dim_teams[team_id], "Not found", 0)</f>
        <v>5</v>
      </c>
    </row>
    <row r="2498" spans="1:12" x14ac:dyDescent="0.3">
      <c r="A2498" t="s">
        <v>651</v>
      </c>
      <c r="B2498">
        <v>2024</v>
      </c>
      <c r="C2498" t="s">
        <v>33</v>
      </c>
      <c r="D2498">
        <v>18</v>
      </c>
      <c r="E2498">
        <v>24</v>
      </c>
      <c r="F2498">
        <v>2</v>
      </c>
      <c r="G2498">
        <v>1</v>
      </c>
      <c r="H2498">
        <v>2</v>
      </c>
      <c r="I2498">
        <v>3</v>
      </c>
      <c r="J2498">
        <v>75</v>
      </c>
      <c r="K2498">
        <v>9</v>
      </c>
      <c r="L2498">
        <f>_xlfn.XLOOKUP(C2498, dim_teams[team_name], dim_teams[team_id], "Not found", 0)</f>
        <v>15</v>
      </c>
    </row>
    <row r="2499" spans="1:12" x14ac:dyDescent="0.3">
      <c r="A2499" t="s">
        <v>652</v>
      </c>
      <c r="B2499">
        <v>2012</v>
      </c>
      <c r="C2499" t="s">
        <v>32</v>
      </c>
      <c r="D2499">
        <v>0</v>
      </c>
      <c r="E2499">
        <v>1</v>
      </c>
      <c r="F2499">
        <v>0</v>
      </c>
      <c r="G2499">
        <v>0</v>
      </c>
      <c r="H2499">
        <v>1</v>
      </c>
      <c r="I2499">
        <v>1</v>
      </c>
      <c r="J2499">
        <v>0</v>
      </c>
      <c r="K2499">
        <v>0</v>
      </c>
      <c r="L2499">
        <f>_xlfn.XLOOKUP(C2499, dim_teams[team_name], dim_teams[team_id], "Not found", 0)</f>
        <v>6</v>
      </c>
    </row>
    <row r="2500" spans="1:12" x14ac:dyDescent="0.3">
      <c r="A2500" t="s">
        <v>653</v>
      </c>
      <c r="B2500">
        <v>2011</v>
      </c>
      <c r="C2500" t="s">
        <v>54</v>
      </c>
      <c r="D2500">
        <v>43</v>
      </c>
      <c r="E2500">
        <v>31</v>
      </c>
      <c r="F2500">
        <v>6</v>
      </c>
      <c r="G2500">
        <v>1</v>
      </c>
      <c r="H2500">
        <v>4</v>
      </c>
      <c r="I2500">
        <v>5</v>
      </c>
      <c r="J2500">
        <v>138.71</v>
      </c>
      <c r="K2500">
        <v>10.75</v>
      </c>
      <c r="L2500">
        <f>_xlfn.XLOOKUP(C2500, dim_teams[team_name], dim_teams[team_id], "Not found", 0)</f>
        <v>4</v>
      </c>
    </row>
    <row r="2501" spans="1:12" x14ac:dyDescent="0.3">
      <c r="A2501" t="s">
        <v>654</v>
      </c>
      <c r="B2501">
        <v>2025</v>
      </c>
      <c r="C2501" t="s">
        <v>76</v>
      </c>
      <c r="D2501">
        <v>7</v>
      </c>
      <c r="E2501">
        <v>11</v>
      </c>
      <c r="F2501">
        <v>0</v>
      </c>
      <c r="G2501">
        <v>0</v>
      </c>
      <c r="H2501">
        <v>3</v>
      </c>
      <c r="I2501">
        <v>3</v>
      </c>
      <c r="J2501">
        <v>63.64</v>
      </c>
      <c r="K2501">
        <v>2.33</v>
      </c>
      <c r="L2501">
        <f>_xlfn.XLOOKUP(C2501, dim_teams[team_name], dim_teams[team_id], "Not found", 0)</f>
        <v>16</v>
      </c>
    </row>
    <row r="2502" spans="1:12" x14ac:dyDescent="0.3">
      <c r="A2502" t="s">
        <v>655</v>
      </c>
      <c r="B2502">
        <v>2016</v>
      </c>
      <c r="C2502" t="s">
        <v>54</v>
      </c>
      <c r="D2502">
        <v>0</v>
      </c>
      <c r="E2502">
        <v>1</v>
      </c>
      <c r="F2502">
        <v>0</v>
      </c>
      <c r="G2502">
        <v>0</v>
      </c>
      <c r="H2502">
        <v>1</v>
      </c>
      <c r="I2502">
        <v>1</v>
      </c>
      <c r="J2502">
        <v>0</v>
      </c>
      <c r="K2502">
        <v>0</v>
      </c>
      <c r="L2502">
        <f>_xlfn.XLOOKUP(C2502, dim_teams[team_name], dim_teams[team_id], "Not found", 0)</f>
        <v>4</v>
      </c>
    </row>
    <row r="2503" spans="1:12" x14ac:dyDescent="0.3">
      <c r="A2503" t="s">
        <v>655</v>
      </c>
      <c r="B2503">
        <v>2017</v>
      </c>
      <c r="C2503" t="s">
        <v>54</v>
      </c>
      <c r="D2503">
        <v>12</v>
      </c>
      <c r="E2503">
        <v>19</v>
      </c>
      <c r="F2503">
        <v>0</v>
      </c>
      <c r="G2503">
        <v>0</v>
      </c>
      <c r="H2503">
        <v>2</v>
      </c>
      <c r="I2503">
        <v>2</v>
      </c>
      <c r="J2503">
        <v>63.16</v>
      </c>
      <c r="K2503">
        <v>6</v>
      </c>
      <c r="L2503">
        <f>_xlfn.XLOOKUP(C2503, dim_teams[team_name], dim_teams[team_id], "Not found", 0)</f>
        <v>4</v>
      </c>
    </row>
    <row r="2504" spans="1:12" x14ac:dyDescent="0.3">
      <c r="A2504" t="s">
        <v>655</v>
      </c>
      <c r="B2504">
        <v>2023</v>
      </c>
      <c r="C2504" t="s">
        <v>15</v>
      </c>
      <c r="D2504">
        <v>2</v>
      </c>
      <c r="E2504">
        <v>4</v>
      </c>
      <c r="F2504">
        <v>0</v>
      </c>
      <c r="G2504">
        <v>0</v>
      </c>
      <c r="H2504">
        <v>0</v>
      </c>
      <c r="I2504">
        <v>1</v>
      </c>
      <c r="J2504">
        <v>50</v>
      </c>
      <c r="L2504">
        <f>_xlfn.XLOOKUP(C2504, dim_teams[team_name], dim_teams[team_id], "Not found", 0)</f>
        <v>17</v>
      </c>
    </row>
    <row r="2505" spans="1:12" x14ac:dyDescent="0.3">
      <c r="A2505" t="s">
        <v>655</v>
      </c>
      <c r="B2505">
        <v>2024</v>
      </c>
      <c r="C2505" t="s">
        <v>102</v>
      </c>
      <c r="D2505">
        <v>37</v>
      </c>
      <c r="E2505">
        <v>21</v>
      </c>
      <c r="F2505">
        <v>3</v>
      </c>
      <c r="G2505">
        <v>3</v>
      </c>
      <c r="H2505">
        <v>2</v>
      </c>
      <c r="I2505">
        <v>5</v>
      </c>
      <c r="J2505">
        <v>176.19</v>
      </c>
      <c r="K2505">
        <v>18.5</v>
      </c>
      <c r="L2505">
        <f>_xlfn.XLOOKUP(C2505, dim_teams[team_name], dim_teams[team_id], "Not found", 0)</f>
        <v>19</v>
      </c>
    </row>
    <row r="2506" spans="1:12" x14ac:dyDescent="0.3">
      <c r="A2506" t="s">
        <v>656</v>
      </c>
      <c r="B2506">
        <v>2020</v>
      </c>
      <c r="C2506" t="s">
        <v>19</v>
      </c>
      <c r="D2506">
        <v>18</v>
      </c>
      <c r="E2506">
        <v>20</v>
      </c>
      <c r="F2506">
        <v>1</v>
      </c>
      <c r="G2506">
        <v>1</v>
      </c>
      <c r="H2506">
        <v>2</v>
      </c>
      <c r="I2506">
        <v>2</v>
      </c>
      <c r="J2506">
        <v>90</v>
      </c>
      <c r="K2506">
        <v>9</v>
      </c>
      <c r="L2506">
        <f>_xlfn.XLOOKUP(C2506, dim_teams[team_name], dim_teams[team_id], "Not found", 0)</f>
        <v>1</v>
      </c>
    </row>
    <row r="2507" spans="1:12" x14ac:dyDescent="0.3">
      <c r="A2507" t="s">
        <v>657</v>
      </c>
      <c r="B2507">
        <v>2009</v>
      </c>
      <c r="C2507" t="s">
        <v>17</v>
      </c>
      <c r="D2507">
        <v>11</v>
      </c>
      <c r="E2507">
        <v>15</v>
      </c>
      <c r="F2507">
        <v>0</v>
      </c>
      <c r="G2507">
        <v>1</v>
      </c>
      <c r="H2507">
        <v>1</v>
      </c>
      <c r="I2507">
        <v>2</v>
      </c>
      <c r="J2507">
        <v>73.33</v>
      </c>
      <c r="K2507">
        <v>11</v>
      </c>
      <c r="L2507">
        <f>_xlfn.XLOOKUP(C2507, dim_teams[team_name], dim_teams[team_id], "Not found", 0)</f>
        <v>5</v>
      </c>
    </row>
    <row r="2508" spans="1:12" x14ac:dyDescent="0.3">
      <c r="A2508" t="s">
        <v>658</v>
      </c>
      <c r="B2508">
        <v>2024</v>
      </c>
      <c r="C2508" t="s">
        <v>17</v>
      </c>
      <c r="D2508">
        <v>48</v>
      </c>
      <c r="E2508">
        <v>54</v>
      </c>
      <c r="F2508">
        <v>7</v>
      </c>
      <c r="G2508">
        <v>1</v>
      </c>
      <c r="H2508">
        <v>3</v>
      </c>
      <c r="I2508">
        <v>3</v>
      </c>
      <c r="J2508">
        <v>88.89</v>
      </c>
      <c r="K2508">
        <v>16</v>
      </c>
      <c r="L2508">
        <f>_xlfn.XLOOKUP(C2508, dim_teams[team_name], dim_teams[team_id], "Not found", 0)</f>
        <v>5</v>
      </c>
    </row>
    <row r="2509" spans="1:12" x14ac:dyDescent="0.3">
      <c r="A2509" t="s">
        <v>659</v>
      </c>
      <c r="B2509">
        <v>2008</v>
      </c>
      <c r="C2509" t="s">
        <v>17</v>
      </c>
      <c r="D2509">
        <v>10</v>
      </c>
      <c r="E2509">
        <v>15</v>
      </c>
      <c r="F2509">
        <v>0</v>
      </c>
      <c r="G2509">
        <v>1</v>
      </c>
      <c r="H2509">
        <v>2</v>
      </c>
      <c r="I2509">
        <v>2</v>
      </c>
      <c r="J2509">
        <v>66.67</v>
      </c>
      <c r="K2509">
        <v>5</v>
      </c>
      <c r="L2509">
        <f>_xlfn.XLOOKUP(C2509, dim_teams[team_name], dim_teams[team_id], "Not found", 0)</f>
        <v>5</v>
      </c>
    </row>
    <row r="2510" spans="1:12" x14ac:dyDescent="0.3">
      <c r="A2510" t="s">
        <v>659</v>
      </c>
      <c r="B2510">
        <v>2009</v>
      </c>
      <c r="C2510" t="s">
        <v>54</v>
      </c>
      <c r="D2510">
        <v>1</v>
      </c>
      <c r="E2510">
        <v>4</v>
      </c>
      <c r="F2510">
        <v>0</v>
      </c>
      <c r="G2510">
        <v>0</v>
      </c>
      <c r="H2510">
        <v>1</v>
      </c>
      <c r="I2510">
        <v>1</v>
      </c>
      <c r="J2510">
        <v>25</v>
      </c>
      <c r="K2510">
        <v>1</v>
      </c>
      <c r="L2510">
        <f>_xlfn.XLOOKUP(C2510, dim_teams[team_name], dim_teams[team_id], "Not found", 0)</f>
        <v>4</v>
      </c>
    </row>
    <row r="2511" spans="1:12" x14ac:dyDescent="0.3">
      <c r="A2511" t="s">
        <v>660</v>
      </c>
      <c r="B2511">
        <v>2020</v>
      </c>
      <c r="C2511" t="s">
        <v>13</v>
      </c>
      <c r="D2511">
        <v>3</v>
      </c>
      <c r="E2511">
        <v>5</v>
      </c>
      <c r="F2511">
        <v>0</v>
      </c>
      <c r="G2511">
        <v>0</v>
      </c>
      <c r="H2511">
        <v>0</v>
      </c>
      <c r="I2511">
        <v>2</v>
      </c>
      <c r="J2511">
        <v>60</v>
      </c>
      <c r="L2511">
        <f>_xlfn.XLOOKUP(C2511, dim_teams[team_name], dim_teams[team_id], "Not found", 0)</f>
        <v>11</v>
      </c>
    </row>
    <row r="2512" spans="1:12" x14ac:dyDescent="0.3">
      <c r="A2512" t="s">
        <v>661</v>
      </c>
      <c r="B2512">
        <v>2021</v>
      </c>
      <c r="C2512" t="s">
        <v>17</v>
      </c>
      <c r="D2512">
        <v>2</v>
      </c>
      <c r="E2512">
        <v>4</v>
      </c>
      <c r="F2512">
        <v>0</v>
      </c>
      <c r="G2512">
        <v>0</v>
      </c>
      <c r="H2512">
        <v>0</v>
      </c>
      <c r="I2512">
        <v>1</v>
      </c>
      <c r="J2512">
        <v>50</v>
      </c>
      <c r="L2512">
        <f>_xlfn.XLOOKUP(C2512, dim_teams[team_name], dim_teams[team_id], "Not found", 0)</f>
        <v>5</v>
      </c>
    </row>
    <row r="2513" spans="1:12" x14ac:dyDescent="0.3">
      <c r="A2513" t="s">
        <v>662</v>
      </c>
      <c r="B2513">
        <v>2022</v>
      </c>
      <c r="C2513" t="s">
        <v>23</v>
      </c>
      <c r="D2513">
        <v>2</v>
      </c>
      <c r="E2513">
        <v>4</v>
      </c>
      <c r="F2513">
        <v>0</v>
      </c>
      <c r="G2513">
        <v>0</v>
      </c>
      <c r="H2513">
        <v>1</v>
      </c>
      <c r="I2513">
        <v>2</v>
      </c>
      <c r="J2513">
        <v>50</v>
      </c>
      <c r="K2513">
        <v>2</v>
      </c>
      <c r="L2513">
        <f>_xlfn.XLOOKUP(C2513, dim_teams[team_name], dim_teams[team_id], "Not found", 0)</f>
        <v>7</v>
      </c>
    </row>
    <row r="2514" spans="1:12" x14ac:dyDescent="0.3">
      <c r="A2514" t="s">
        <v>662</v>
      </c>
      <c r="B2514">
        <v>2023</v>
      </c>
      <c r="C2514" t="s">
        <v>23</v>
      </c>
      <c r="D2514">
        <v>25</v>
      </c>
      <c r="E2514">
        <v>31</v>
      </c>
      <c r="F2514">
        <v>2</v>
      </c>
      <c r="G2514">
        <v>0</v>
      </c>
      <c r="H2514">
        <v>2</v>
      </c>
      <c r="I2514">
        <v>2</v>
      </c>
      <c r="J2514">
        <v>80.650000000000006</v>
      </c>
      <c r="K2514">
        <v>12.5</v>
      </c>
      <c r="L2514">
        <f>_xlfn.XLOOKUP(C2514, dim_teams[team_name], dim_teams[team_id], "Not found", 0)</f>
        <v>7</v>
      </c>
    </row>
    <row r="2515" spans="1:12" x14ac:dyDescent="0.3">
      <c r="A2515" t="s">
        <v>662</v>
      </c>
      <c r="B2515">
        <v>2024</v>
      </c>
      <c r="C2515" t="s">
        <v>33</v>
      </c>
      <c r="D2515">
        <v>378</v>
      </c>
      <c r="E2515">
        <v>196</v>
      </c>
      <c r="F2515">
        <v>24</v>
      </c>
      <c r="G2515">
        <v>26</v>
      </c>
      <c r="H2515">
        <v>6</v>
      </c>
      <c r="I2515">
        <v>13</v>
      </c>
      <c r="J2515">
        <v>192.86</v>
      </c>
      <c r="K2515">
        <v>63</v>
      </c>
      <c r="L2515">
        <f>_xlfn.XLOOKUP(C2515, dim_teams[team_name], dim_teams[team_id], "Not found", 0)</f>
        <v>15</v>
      </c>
    </row>
    <row r="2516" spans="1:12" x14ac:dyDescent="0.3">
      <c r="A2516" t="s">
        <v>662</v>
      </c>
      <c r="B2516">
        <v>2025</v>
      </c>
      <c r="C2516" t="s">
        <v>33</v>
      </c>
      <c r="D2516">
        <v>306</v>
      </c>
      <c r="E2516">
        <v>200</v>
      </c>
      <c r="F2516">
        <v>25</v>
      </c>
      <c r="G2516">
        <v>12</v>
      </c>
      <c r="H2516">
        <v>8</v>
      </c>
      <c r="I2516">
        <v>13</v>
      </c>
      <c r="J2516">
        <v>153</v>
      </c>
      <c r="K2516">
        <v>38.25</v>
      </c>
      <c r="L2516">
        <f>_xlfn.XLOOKUP(C2516, dim_teams[team_name], dim_teams[team_id], "Not found", 0)</f>
        <v>15</v>
      </c>
    </row>
    <row r="2517" spans="1:12" x14ac:dyDescent="0.3">
      <c r="A2517" t="s">
        <v>663</v>
      </c>
      <c r="B2517">
        <v>2008</v>
      </c>
      <c r="C2517" t="s">
        <v>19</v>
      </c>
      <c r="D2517">
        <v>31</v>
      </c>
      <c r="E2517">
        <v>26</v>
      </c>
      <c r="F2517">
        <v>3</v>
      </c>
      <c r="G2517">
        <v>0</v>
      </c>
      <c r="H2517">
        <v>3</v>
      </c>
      <c r="I2517">
        <v>3</v>
      </c>
      <c r="J2517">
        <v>119.23</v>
      </c>
      <c r="K2517">
        <v>10.33</v>
      </c>
      <c r="L2517">
        <f>_xlfn.XLOOKUP(C2517, dim_teams[team_name], dim_teams[team_id], "Not found", 0)</f>
        <v>1</v>
      </c>
    </row>
    <row r="2518" spans="1:12" x14ac:dyDescent="0.3">
      <c r="A2518" t="s">
        <v>664</v>
      </c>
      <c r="B2518">
        <v>2009</v>
      </c>
      <c r="C2518" t="s">
        <v>25</v>
      </c>
      <c r="D2518">
        <v>2</v>
      </c>
      <c r="E2518">
        <v>7</v>
      </c>
      <c r="F2518">
        <v>0</v>
      </c>
      <c r="G2518">
        <v>0</v>
      </c>
      <c r="H2518">
        <v>1</v>
      </c>
      <c r="I2518">
        <v>2</v>
      </c>
      <c r="J2518">
        <v>28.57</v>
      </c>
      <c r="K2518">
        <v>2</v>
      </c>
      <c r="L2518">
        <f>_xlfn.XLOOKUP(C2518, dim_teams[team_name], dim_teams[team_id], "Not found", 0)</f>
        <v>3</v>
      </c>
    </row>
    <row r="2519" spans="1:12" x14ac:dyDescent="0.3">
      <c r="A2519" t="s">
        <v>664</v>
      </c>
      <c r="B2519">
        <v>2010</v>
      </c>
      <c r="C2519" t="s">
        <v>25</v>
      </c>
      <c r="D2519">
        <v>10</v>
      </c>
      <c r="E2519">
        <v>11</v>
      </c>
      <c r="F2519">
        <v>0</v>
      </c>
      <c r="G2519">
        <v>0</v>
      </c>
      <c r="H2519">
        <v>1</v>
      </c>
      <c r="I2519">
        <v>2</v>
      </c>
      <c r="J2519">
        <v>90.91</v>
      </c>
      <c r="K2519">
        <v>10</v>
      </c>
      <c r="L2519">
        <f>_xlfn.XLOOKUP(C2519, dim_teams[team_name], dim_teams[team_id], "Not found", 0)</f>
        <v>3</v>
      </c>
    </row>
    <row r="2520" spans="1:12" x14ac:dyDescent="0.3">
      <c r="A2520" t="s">
        <v>665</v>
      </c>
      <c r="B2520">
        <v>2017</v>
      </c>
      <c r="C2520" t="s">
        <v>19</v>
      </c>
      <c r="D2520">
        <v>5</v>
      </c>
      <c r="E2520">
        <v>8</v>
      </c>
      <c r="F2520">
        <v>0</v>
      </c>
      <c r="G2520">
        <v>0</v>
      </c>
      <c r="H2520">
        <v>0</v>
      </c>
      <c r="I2520">
        <v>1</v>
      </c>
      <c r="J2520">
        <v>62.5</v>
      </c>
      <c r="L2520">
        <f>_xlfn.XLOOKUP(C2520, dim_teams[team_name], dim_teams[team_id], "Not found", 0)</f>
        <v>1</v>
      </c>
    </row>
    <row r="2521" spans="1:12" x14ac:dyDescent="0.3">
      <c r="A2521" t="s">
        <v>665</v>
      </c>
      <c r="B2521">
        <v>2018</v>
      </c>
      <c r="C2521" t="s">
        <v>32</v>
      </c>
      <c r="D2521">
        <v>0</v>
      </c>
      <c r="E2521">
        <v>2</v>
      </c>
      <c r="F2521">
        <v>0</v>
      </c>
      <c r="G2521">
        <v>0</v>
      </c>
      <c r="H2521">
        <v>1</v>
      </c>
      <c r="I2521">
        <v>1</v>
      </c>
      <c r="J2521">
        <v>0</v>
      </c>
      <c r="K2521">
        <v>0</v>
      </c>
      <c r="L2521">
        <f>_xlfn.XLOOKUP(C2521, dim_teams[team_name], dim_teams[team_id], "Not found", 0)</f>
        <v>6</v>
      </c>
    </row>
    <row r="2522" spans="1:12" x14ac:dyDescent="0.3">
      <c r="A2522" t="s">
        <v>665</v>
      </c>
      <c r="B2522">
        <v>2019</v>
      </c>
      <c r="C2522" t="s">
        <v>33</v>
      </c>
      <c r="D2522">
        <v>7</v>
      </c>
      <c r="E2522">
        <v>4</v>
      </c>
      <c r="F2522">
        <v>0</v>
      </c>
      <c r="G2522">
        <v>1</v>
      </c>
      <c r="H2522">
        <v>1</v>
      </c>
      <c r="I2522">
        <v>2</v>
      </c>
      <c r="J2522">
        <v>175</v>
      </c>
      <c r="K2522">
        <v>7</v>
      </c>
      <c r="L2522">
        <f>_xlfn.XLOOKUP(C2522, dim_teams[team_name], dim_teams[team_id], "Not found", 0)</f>
        <v>15</v>
      </c>
    </row>
    <row r="2523" spans="1:12" x14ac:dyDescent="0.3">
      <c r="A2523" t="s">
        <v>665</v>
      </c>
      <c r="B2523">
        <v>2020</v>
      </c>
      <c r="C2523" t="s">
        <v>23</v>
      </c>
      <c r="D2523">
        <v>0</v>
      </c>
      <c r="E2523">
        <v>1</v>
      </c>
      <c r="F2523">
        <v>0</v>
      </c>
      <c r="G2523">
        <v>0</v>
      </c>
      <c r="H2523">
        <v>1</v>
      </c>
      <c r="I2523">
        <v>1</v>
      </c>
      <c r="J2523">
        <v>0</v>
      </c>
      <c r="K2523">
        <v>0</v>
      </c>
      <c r="L2523">
        <f>_xlfn.XLOOKUP(C2523, dim_teams[team_name], dim_teams[team_id], "Not found", 0)</f>
        <v>7</v>
      </c>
    </row>
    <row r="2524" spans="1:12" x14ac:dyDescent="0.3">
      <c r="A2524" t="s">
        <v>665</v>
      </c>
      <c r="B2524">
        <v>2021</v>
      </c>
      <c r="C2524" t="s">
        <v>23</v>
      </c>
      <c r="D2524">
        <v>1</v>
      </c>
      <c r="E2524">
        <v>4</v>
      </c>
      <c r="F2524">
        <v>0</v>
      </c>
      <c r="G2524">
        <v>0</v>
      </c>
      <c r="H2524">
        <v>0</v>
      </c>
      <c r="I2524">
        <v>2</v>
      </c>
      <c r="J2524">
        <v>25</v>
      </c>
      <c r="L2524">
        <f>_xlfn.XLOOKUP(C2524, dim_teams[team_name], dim_teams[team_id], "Not found", 0)</f>
        <v>7</v>
      </c>
    </row>
    <row r="2525" spans="1:12" x14ac:dyDescent="0.3">
      <c r="A2525" t="s">
        <v>665</v>
      </c>
      <c r="B2525">
        <v>2022</v>
      </c>
      <c r="C2525" t="s">
        <v>17</v>
      </c>
      <c r="D2525">
        <v>40</v>
      </c>
      <c r="E2525">
        <v>29</v>
      </c>
      <c r="F2525">
        <v>2</v>
      </c>
      <c r="G2525">
        <v>1</v>
      </c>
      <c r="H2525">
        <v>2</v>
      </c>
      <c r="I2525">
        <v>7</v>
      </c>
      <c r="J2525">
        <v>137.93</v>
      </c>
      <c r="K2525">
        <v>20</v>
      </c>
      <c r="L2525">
        <f>_xlfn.XLOOKUP(C2525, dim_teams[team_name], dim_teams[team_id], "Not found", 0)</f>
        <v>5</v>
      </c>
    </row>
    <row r="2526" spans="1:12" x14ac:dyDescent="0.3">
      <c r="A2526" t="s">
        <v>665</v>
      </c>
      <c r="B2526">
        <v>2023</v>
      </c>
      <c r="C2526" t="s">
        <v>17</v>
      </c>
      <c r="D2526">
        <v>16</v>
      </c>
      <c r="E2526">
        <v>14</v>
      </c>
      <c r="F2526">
        <v>1</v>
      </c>
      <c r="G2526">
        <v>1</v>
      </c>
      <c r="H2526">
        <v>1</v>
      </c>
      <c r="I2526">
        <v>4</v>
      </c>
      <c r="J2526">
        <v>114.29</v>
      </c>
      <c r="K2526">
        <v>16</v>
      </c>
      <c r="L2526">
        <f>_xlfn.XLOOKUP(C2526, dim_teams[team_name], dim_teams[team_id], "Not found", 0)</f>
        <v>5</v>
      </c>
    </row>
    <row r="2527" spans="1:12" x14ac:dyDescent="0.3">
      <c r="A2527" t="s">
        <v>665</v>
      </c>
      <c r="B2527">
        <v>2024</v>
      </c>
      <c r="C2527" t="s">
        <v>17</v>
      </c>
      <c r="D2527">
        <v>14</v>
      </c>
      <c r="E2527">
        <v>16</v>
      </c>
      <c r="F2527">
        <v>2</v>
      </c>
      <c r="G2527">
        <v>0</v>
      </c>
      <c r="H2527">
        <v>1</v>
      </c>
      <c r="I2527">
        <v>4</v>
      </c>
      <c r="J2527">
        <v>87.5</v>
      </c>
      <c r="K2527">
        <v>14</v>
      </c>
      <c r="L2527">
        <f>_xlfn.XLOOKUP(C2527, dim_teams[team_name], dim_teams[team_id], "Not found", 0)</f>
        <v>5</v>
      </c>
    </row>
    <row r="2528" spans="1:12" x14ac:dyDescent="0.3">
      <c r="A2528" t="s">
        <v>665</v>
      </c>
      <c r="B2528">
        <v>2025</v>
      </c>
      <c r="C2528" t="s">
        <v>23</v>
      </c>
      <c r="D2528">
        <v>2</v>
      </c>
      <c r="E2528">
        <v>3</v>
      </c>
      <c r="F2528">
        <v>0</v>
      </c>
      <c r="G2528">
        <v>0</v>
      </c>
      <c r="H2528">
        <v>1</v>
      </c>
      <c r="I2528">
        <v>2</v>
      </c>
      <c r="J2528">
        <v>66.67</v>
      </c>
      <c r="K2528">
        <v>2</v>
      </c>
      <c r="L2528">
        <f>_xlfn.XLOOKUP(C2528, dim_teams[team_name], dim_teams[team_id], "Not found", 0)</f>
        <v>7</v>
      </c>
    </row>
    <row r="2529" spans="1:12" x14ac:dyDescent="0.3">
      <c r="A2529" t="s">
        <v>666</v>
      </c>
      <c r="B2529">
        <v>2011</v>
      </c>
      <c r="C2529" t="s">
        <v>37</v>
      </c>
      <c r="D2529">
        <v>10</v>
      </c>
      <c r="E2529">
        <v>26</v>
      </c>
      <c r="F2529">
        <v>0</v>
      </c>
      <c r="G2529">
        <v>0</v>
      </c>
      <c r="H2529">
        <v>2</v>
      </c>
      <c r="I2529">
        <v>2</v>
      </c>
      <c r="J2529">
        <v>38.46</v>
      </c>
      <c r="K2529">
        <v>5</v>
      </c>
      <c r="L2529">
        <f>_xlfn.XLOOKUP(C2529, dim_teams[team_name], dim_teams[team_id], "Not found", 0)</f>
        <v>10</v>
      </c>
    </row>
    <row r="2530" spans="1:12" x14ac:dyDescent="0.3">
      <c r="A2530" t="s">
        <v>667</v>
      </c>
      <c r="B2530">
        <v>2014</v>
      </c>
      <c r="C2530" t="s">
        <v>17</v>
      </c>
      <c r="D2530">
        <v>4</v>
      </c>
      <c r="E2530">
        <v>4</v>
      </c>
      <c r="F2530">
        <v>1</v>
      </c>
      <c r="G2530">
        <v>0</v>
      </c>
      <c r="H2530">
        <v>1</v>
      </c>
      <c r="I2530">
        <v>1</v>
      </c>
      <c r="J2530">
        <v>100</v>
      </c>
      <c r="K2530">
        <v>4</v>
      </c>
      <c r="L2530">
        <f>_xlfn.XLOOKUP(C2530, dim_teams[team_name], dim_teams[team_id], "Not found", 0)</f>
        <v>5</v>
      </c>
    </row>
    <row r="2531" spans="1:12" x14ac:dyDescent="0.3">
      <c r="A2531" t="s">
        <v>667</v>
      </c>
      <c r="B2531">
        <v>2015</v>
      </c>
      <c r="C2531" t="s">
        <v>17</v>
      </c>
      <c r="D2531">
        <v>13</v>
      </c>
      <c r="E2531">
        <v>9</v>
      </c>
      <c r="F2531">
        <v>1</v>
      </c>
      <c r="G2531">
        <v>0</v>
      </c>
      <c r="H2531">
        <v>0</v>
      </c>
      <c r="I2531">
        <v>2</v>
      </c>
      <c r="J2531">
        <v>144.44</v>
      </c>
      <c r="L2531">
        <f>_xlfn.XLOOKUP(C2531, dim_teams[team_name], dim_teams[team_id], "Not found", 0)</f>
        <v>5</v>
      </c>
    </row>
    <row r="2532" spans="1:12" x14ac:dyDescent="0.3">
      <c r="A2532" t="s">
        <v>667</v>
      </c>
      <c r="B2532">
        <v>2016</v>
      </c>
      <c r="C2532" t="s">
        <v>23</v>
      </c>
      <c r="D2532">
        <v>30</v>
      </c>
      <c r="E2532">
        <v>18</v>
      </c>
      <c r="F2532">
        <v>1</v>
      </c>
      <c r="G2532">
        <v>2</v>
      </c>
      <c r="H2532">
        <v>3</v>
      </c>
      <c r="I2532">
        <v>4</v>
      </c>
      <c r="J2532">
        <v>166.67</v>
      </c>
      <c r="K2532">
        <v>10</v>
      </c>
      <c r="L2532">
        <f>_xlfn.XLOOKUP(C2532, dim_teams[team_name], dim_teams[team_id], "Not found", 0)</f>
        <v>7</v>
      </c>
    </row>
    <row r="2533" spans="1:12" x14ac:dyDescent="0.3">
      <c r="A2533" t="s">
        <v>667</v>
      </c>
      <c r="B2533">
        <v>2017</v>
      </c>
      <c r="C2533" t="s">
        <v>23</v>
      </c>
      <c r="D2533">
        <v>7</v>
      </c>
      <c r="E2533">
        <v>3</v>
      </c>
      <c r="F2533">
        <v>0</v>
      </c>
      <c r="G2533">
        <v>1</v>
      </c>
      <c r="H2533">
        <v>0</v>
      </c>
      <c r="I2533">
        <v>1</v>
      </c>
      <c r="J2533">
        <v>233.33</v>
      </c>
      <c r="L2533">
        <f>_xlfn.XLOOKUP(C2533, dim_teams[team_name], dim_teams[team_id], "Not found", 0)</f>
        <v>7</v>
      </c>
    </row>
    <row r="2534" spans="1:12" x14ac:dyDescent="0.3">
      <c r="A2534" t="s">
        <v>667</v>
      </c>
      <c r="B2534">
        <v>2018</v>
      </c>
      <c r="C2534" t="s">
        <v>21</v>
      </c>
      <c r="D2534">
        <v>52</v>
      </c>
      <c r="E2534">
        <v>46</v>
      </c>
      <c r="F2534">
        <v>5</v>
      </c>
      <c r="G2534">
        <v>1</v>
      </c>
      <c r="H2534">
        <v>2</v>
      </c>
      <c r="I2534">
        <v>4</v>
      </c>
      <c r="J2534">
        <v>113.04</v>
      </c>
      <c r="K2534">
        <v>26</v>
      </c>
      <c r="L2534">
        <f>_xlfn.XLOOKUP(C2534, dim_teams[team_name], dim_teams[team_id], "Not found", 0)</f>
        <v>2</v>
      </c>
    </row>
    <row r="2535" spans="1:12" x14ac:dyDescent="0.3">
      <c r="A2535" t="s">
        <v>667</v>
      </c>
      <c r="B2535">
        <v>2019</v>
      </c>
      <c r="C2535" t="s">
        <v>21</v>
      </c>
      <c r="D2535">
        <v>9</v>
      </c>
      <c r="E2535">
        <v>9</v>
      </c>
      <c r="F2535">
        <v>0</v>
      </c>
      <c r="G2535">
        <v>0</v>
      </c>
      <c r="H2535">
        <v>0</v>
      </c>
      <c r="I2535">
        <v>1</v>
      </c>
      <c r="J2535">
        <v>100</v>
      </c>
      <c r="L2535">
        <f>_xlfn.XLOOKUP(C2535, dim_teams[team_name], dim_teams[team_id], "Not found", 0)</f>
        <v>2</v>
      </c>
    </row>
    <row r="2536" spans="1:12" x14ac:dyDescent="0.3">
      <c r="A2536" t="s">
        <v>667</v>
      </c>
      <c r="B2536">
        <v>2021</v>
      </c>
      <c r="C2536" t="s">
        <v>19</v>
      </c>
      <c r="D2536">
        <v>3</v>
      </c>
      <c r="E2536">
        <v>5</v>
      </c>
      <c r="F2536">
        <v>0</v>
      </c>
      <c r="G2536">
        <v>0</v>
      </c>
      <c r="H2536">
        <v>1</v>
      </c>
      <c r="I2536">
        <v>1</v>
      </c>
      <c r="J2536">
        <v>60</v>
      </c>
      <c r="K2536">
        <v>3</v>
      </c>
      <c r="L2536">
        <f>_xlfn.XLOOKUP(C2536, dim_teams[team_name], dim_teams[team_id], "Not found", 0)</f>
        <v>1</v>
      </c>
    </row>
    <row r="2537" spans="1:12" x14ac:dyDescent="0.3">
      <c r="A2537" t="s">
        <v>667</v>
      </c>
      <c r="B2537">
        <v>2022</v>
      </c>
      <c r="C2537" t="s">
        <v>19</v>
      </c>
      <c r="D2537">
        <v>2</v>
      </c>
      <c r="E2537">
        <v>12</v>
      </c>
      <c r="F2537">
        <v>0</v>
      </c>
      <c r="G2537">
        <v>0</v>
      </c>
      <c r="H2537">
        <v>4</v>
      </c>
      <c r="I2537">
        <v>5</v>
      </c>
      <c r="J2537">
        <v>16.670000000000002</v>
      </c>
      <c r="K2537">
        <v>0.5</v>
      </c>
      <c r="L2537">
        <f>_xlfn.XLOOKUP(C2537, dim_teams[team_name], dim_teams[team_id], "Not found", 0)</f>
        <v>1</v>
      </c>
    </row>
    <row r="2538" spans="1:12" x14ac:dyDescent="0.3">
      <c r="A2538" t="s">
        <v>668</v>
      </c>
      <c r="B2538">
        <v>2021</v>
      </c>
      <c r="C2538" t="s">
        <v>21</v>
      </c>
      <c r="D2538">
        <v>1</v>
      </c>
      <c r="E2538">
        <v>3</v>
      </c>
      <c r="F2538">
        <v>0</v>
      </c>
      <c r="G2538">
        <v>0</v>
      </c>
      <c r="H2538">
        <v>1</v>
      </c>
      <c r="I2538">
        <v>1</v>
      </c>
      <c r="J2538">
        <v>33.33</v>
      </c>
      <c r="K2538">
        <v>1</v>
      </c>
      <c r="L2538">
        <f>_xlfn.XLOOKUP(C2538, dim_teams[team_name], dim_teams[team_id], "Not found", 0)</f>
        <v>2</v>
      </c>
    </row>
    <row r="2539" spans="1:12" x14ac:dyDescent="0.3">
      <c r="A2539" t="s">
        <v>668</v>
      </c>
      <c r="B2539">
        <v>2022</v>
      </c>
      <c r="C2539" t="s">
        <v>23</v>
      </c>
      <c r="D2539">
        <v>186</v>
      </c>
      <c r="E2539">
        <v>86</v>
      </c>
      <c r="F2539">
        <v>12</v>
      </c>
      <c r="G2539">
        <v>16</v>
      </c>
      <c r="H2539">
        <v>6</v>
      </c>
      <c r="I2539">
        <v>8</v>
      </c>
      <c r="J2539">
        <v>216.28</v>
      </c>
      <c r="K2539">
        <v>31</v>
      </c>
      <c r="L2539">
        <f>_xlfn.XLOOKUP(C2539, dim_teams[team_name], dim_teams[team_id], "Not found", 0)</f>
        <v>7</v>
      </c>
    </row>
    <row r="2540" spans="1:12" x14ac:dyDescent="0.3">
      <c r="A2540" t="s">
        <v>668</v>
      </c>
      <c r="B2540">
        <v>2023</v>
      </c>
      <c r="C2540" t="s">
        <v>23</v>
      </c>
      <c r="D2540">
        <v>231</v>
      </c>
      <c r="E2540">
        <v>145</v>
      </c>
      <c r="F2540">
        <v>12</v>
      </c>
      <c r="G2540">
        <v>15</v>
      </c>
      <c r="H2540">
        <v>8</v>
      </c>
      <c r="I2540">
        <v>15</v>
      </c>
      <c r="J2540">
        <v>159.31</v>
      </c>
      <c r="K2540">
        <v>28.88</v>
      </c>
      <c r="L2540">
        <f>_xlfn.XLOOKUP(C2540, dim_teams[team_name], dim_teams[team_id], "Not found", 0)</f>
        <v>7</v>
      </c>
    </row>
    <row r="2541" spans="1:12" x14ac:dyDescent="0.3">
      <c r="A2541" t="s">
        <v>668</v>
      </c>
      <c r="B2541">
        <v>2024</v>
      </c>
      <c r="C2541" t="s">
        <v>23</v>
      </c>
      <c r="D2541">
        <v>241</v>
      </c>
      <c r="E2541">
        <v>150</v>
      </c>
      <c r="F2541">
        <v>14</v>
      </c>
      <c r="G2541">
        <v>15</v>
      </c>
      <c r="H2541">
        <v>8</v>
      </c>
      <c r="I2541">
        <v>11</v>
      </c>
      <c r="J2541">
        <v>160.66999999999999</v>
      </c>
      <c r="K2541">
        <v>30.12</v>
      </c>
      <c r="L2541">
        <f>_xlfn.XLOOKUP(C2541, dim_teams[team_name], dim_teams[team_id], "Not found", 0)</f>
        <v>7</v>
      </c>
    </row>
    <row r="2542" spans="1:12" x14ac:dyDescent="0.3">
      <c r="A2542" t="s">
        <v>668</v>
      </c>
      <c r="B2542">
        <v>2025</v>
      </c>
      <c r="C2542" t="s">
        <v>102</v>
      </c>
      <c r="D2542">
        <v>187</v>
      </c>
      <c r="E2542">
        <v>99</v>
      </c>
      <c r="F2542">
        <v>16</v>
      </c>
      <c r="G2542">
        <v>14</v>
      </c>
      <c r="H2542">
        <v>3</v>
      </c>
      <c r="I2542">
        <v>9</v>
      </c>
      <c r="J2542">
        <v>188.89</v>
      </c>
      <c r="K2542">
        <v>62.33</v>
      </c>
      <c r="L2542">
        <f>_xlfn.XLOOKUP(C2542, dim_teams[team_name], dim_teams[team_id], "Not found", 0)</f>
        <v>19</v>
      </c>
    </row>
    <row r="2543" spans="1:12" x14ac:dyDescent="0.3">
      <c r="A2543" t="s">
        <v>669</v>
      </c>
      <c r="B2543">
        <v>2018</v>
      </c>
      <c r="C2543" t="s">
        <v>19</v>
      </c>
      <c r="D2543">
        <v>23</v>
      </c>
      <c r="E2543">
        <v>28</v>
      </c>
      <c r="F2543">
        <v>3</v>
      </c>
      <c r="G2543">
        <v>0</v>
      </c>
      <c r="H2543">
        <v>3</v>
      </c>
      <c r="I2543">
        <v>4</v>
      </c>
      <c r="J2543">
        <v>82.14</v>
      </c>
      <c r="K2543">
        <v>7.67</v>
      </c>
      <c r="L2543">
        <f>_xlfn.XLOOKUP(C2543, dim_teams[team_name], dim_teams[team_id], "Not found", 0)</f>
        <v>1</v>
      </c>
    </row>
    <row r="2544" spans="1:12" x14ac:dyDescent="0.3">
      <c r="A2544" t="s">
        <v>669</v>
      </c>
      <c r="B2544">
        <v>2020</v>
      </c>
      <c r="C2544" t="s">
        <v>17</v>
      </c>
      <c r="D2544">
        <v>83</v>
      </c>
      <c r="E2544">
        <v>62</v>
      </c>
      <c r="F2544">
        <v>5</v>
      </c>
      <c r="G2544">
        <v>3</v>
      </c>
      <c r="H2544">
        <v>1</v>
      </c>
      <c r="I2544">
        <v>4</v>
      </c>
      <c r="J2544">
        <v>133.87</v>
      </c>
      <c r="K2544">
        <v>83</v>
      </c>
      <c r="L2544">
        <f>_xlfn.XLOOKUP(C2544, dim_teams[team_name], dim_teams[team_id], "Not found", 0)</f>
        <v>5</v>
      </c>
    </row>
    <row r="2545" spans="1:12" x14ac:dyDescent="0.3">
      <c r="A2545" t="s">
        <v>669</v>
      </c>
      <c r="B2545">
        <v>2021</v>
      </c>
      <c r="C2545" t="s">
        <v>33</v>
      </c>
      <c r="D2545">
        <v>21</v>
      </c>
      <c r="E2545">
        <v>17</v>
      </c>
      <c r="F2545">
        <v>2</v>
      </c>
      <c r="G2545">
        <v>0</v>
      </c>
      <c r="H2545">
        <v>1</v>
      </c>
      <c r="I2545">
        <v>2</v>
      </c>
      <c r="J2545">
        <v>123.53</v>
      </c>
      <c r="K2545">
        <v>21</v>
      </c>
      <c r="L2545">
        <f>_xlfn.XLOOKUP(C2545, dim_teams[team_name], dim_teams[team_id], "Not found", 0)</f>
        <v>15</v>
      </c>
    </row>
    <row r="2546" spans="1:12" x14ac:dyDescent="0.3">
      <c r="A2546" t="s">
        <v>670</v>
      </c>
      <c r="B2546">
        <v>2021</v>
      </c>
      <c r="C2546" t="s">
        <v>19</v>
      </c>
      <c r="D2546">
        <v>2</v>
      </c>
      <c r="E2546">
        <v>4</v>
      </c>
      <c r="F2546">
        <v>0</v>
      </c>
      <c r="G2546">
        <v>0</v>
      </c>
      <c r="H2546">
        <v>1</v>
      </c>
      <c r="I2546">
        <v>1</v>
      </c>
      <c r="J2546">
        <v>50</v>
      </c>
      <c r="K2546">
        <v>2</v>
      </c>
      <c r="L2546">
        <f>_xlfn.XLOOKUP(C2546, dim_teams[team_name], dim_teams[team_id], "Not found", 0)</f>
        <v>1</v>
      </c>
    </row>
    <row r="2547" spans="1:12" x14ac:dyDescent="0.3">
      <c r="A2547" t="s">
        <v>670</v>
      </c>
      <c r="B2547">
        <v>2022</v>
      </c>
      <c r="C2547" t="s">
        <v>33</v>
      </c>
      <c r="D2547">
        <v>24</v>
      </c>
      <c r="E2547">
        <v>19</v>
      </c>
      <c r="F2547">
        <v>4</v>
      </c>
      <c r="G2547">
        <v>0</v>
      </c>
      <c r="H2547">
        <v>2</v>
      </c>
      <c r="I2547">
        <v>2</v>
      </c>
      <c r="J2547">
        <v>126.32</v>
      </c>
      <c r="K2547">
        <v>12</v>
      </c>
      <c r="L2547">
        <f>_xlfn.XLOOKUP(C2547, dim_teams[team_name], dim_teams[team_id], "Not found", 0)</f>
        <v>15</v>
      </c>
    </row>
    <row r="2548" spans="1:12" x14ac:dyDescent="0.3">
      <c r="A2548" t="s">
        <v>671</v>
      </c>
      <c r="B2548">
        <v>2009</v>
      </c>
      <c r="C2548" t="s">
        <v>12</v>
      </c>
      <c r="D2548">
        <v>237</v>
      </c>
      <c r="E2548">
        <v>190</v>
      </c>
      <c r="F2548">
        <v>18</v>
      </c>
      <c r="G2548">
        <v>8</v>
      </c>
      <c r="H2548">
        <v>9</v>
      </c>
      <c r="I2548">
        <v>12</v>
      </c>
      <c r="J2548">
        <v>124.74</v>
      </c>
      <c r="K2548">
        <v>26.33</v>
      </c>
      <c r="L2548">
        <f>_xlfn.XLOOKUP(C2548, dim_teams[team_name], dim_teams[team_id], "Not found", 0)</f>
        <v>8</v>
      </c>
    </row>
    <row r="2549" spans="1:12" x14ac:dyDescent="0.3">
      <c r="A2549" t="s">
        <v>671</v>
      </c>
      <c r="B2549">
        <v>2010</v>
      </c>
      <c r="C2549" t="s">
        <v>12</v>
      </c>
      <c r="D2549">
        <v>307</v>
      </c>
      <c r="E2549">
        <v>255</v>
      </c>
      <c r="F2549">
        <v>23</v>
      </c>
      <c r="G2549">
        <v>12</v>
      </c>
      <c r="H2549">
        <v>8</v>
      </c>
      <c r="I2549">
        <v>14</v>
      </c>
      <c r="J2549">
        <v>120.39</v>
      </c>
      <c r="K2549">
        <v>38.380000000000003</v>
      </c>
      <c r="L2549">
        <f>_xlfn.XLOOKUP(C2549, dim_teams[team_name], dim_teams[team_id], "Not found", 0)</f>
        <v>8</v>
      </c>
    </row>
    <row r="2550" spans="1:12" x14ac:dyDescent="0.3">
      <c r="A2550" t="s">
        <v>671</v>
      </c>
      <c r="B2550">
        <v>2011</v>
      </c>
      <c r="C2550" t="s">
        <v>23</v>
      </c>
      <c r="D2550">
        <v>65</v>
      </c>
      <c r="E2550">
        <v>51</v>
      </c>
      <c r="F2550">
        <v>5</v>
      </c>
      <c r="G2550">
        <v>5</v>
      </c>
      <c r="H2550">
        <v>6</v>
      </c>
      <c r="I2550">
        <v>6</v>
      </c>
      <c r="J2550">
        <v>127.45</v>
      </c>
      <c r="K2550">
        <v>10.83</v>
      </c>
      <c r="L2550">
        <f>_xlfn.XLOOKUP(C2550, dim_teams[team_name], dim_teams[team_id], "Not found", 0)</f>
        <v>7</v>
      </c>
    </row>
    <row r="2551" spans="1:12" x14ac:dyDescent="0.3">
      <c r="A2551" t="s">
        <v>671</v>
      </c>
      <c r="B2551">
        <v>2012</v>
      </c>
      <c r="C2551" t="s">
        <v>23</v>
      </c>
      <c r="D2551">
        <v>15</v>
      </c>
      <c r="E2551">
        <v>19</v>
      </c>
      <c r="F2551">
        <v>1</v>
      </c>
      <c r="G2551">
        <v>1</v>
      </c>
      <c r="H2551">
        <v>2</v>
      </c>
      <c r="I2551">
        <v>2</v>
      </c>
      <c r="J2551">
        <v>78.95</v>
      </c>
      <c r="K2551">
        <v>7.5</v>
      </c>
      <c r="L2551">
        <f>_xlfn.XLOOKUP(C2551, dim_teams[team_name], dim_teams[team_id], "Not found", 0)</f>
        <v>7</v>
      </c>
    </row>
    <row r="2552" spans="1:12" x14ac:dyDescent="0.3">
      <c r="A2552" t="s">
        <v>671</v>
      </c>
      <c r="B2552">
        <v>2013</v>
      </c>
      <c r="C2552" t="s">
        <v>37</v>
      </c>
      <c r="D2552">
        <v>52</v>
      </c>
      <c r="E2552">
        <v>58</v>
      </c>
      <c r="F2552">
        <v>8</v>
      </c>
      <c r="G2552">
        <v>0</v>
      </c>
      <c r="H2552">
        <v>5</v>
      </c>
      <c r="I2552">
        <v>5</v>
      </c>
      <c r="J2552">
        <v>89.66</v>
      </c>
      <c r="K2552">
        <v>10.4</v>
      </c>
      <c r="L2552">
        <f>_xlfn.XLOOKUP(C2552, dim_teams[team_name], dim_teams[team_id], "Not found", 0)</f>
        <v>10</v>
      </c>
    </row>
    <row r="2553" spans="1:12" x14ac:dyDescent="0.3">
      <c r="A2553" t="s">
        <v>672</v>
      </c>
      <c r="B2553">
        <v>2008</v>
      </c>
      <c r="C2553" t="s">
        <v>32</v>
      </c>
      <c r="D2553">
        <v>104</v>
      </c>
      <c r="E2553">
        <v>78</v>
      </c>
      <c r="F2553">
        <v>14</v>
      </c>
      <c r="G2553">
        <v>3</v>
      </c>
      <c r="H2553">
        <v>4</v>
      </c>
      <c r="I2553">
        <v>7</v>
      </c>
      <c r="J2553">
        <v>133.33000000000001</v>
      </c>
      <c r="K2553">
        <v>26</v>
      </c>
      <c r="L2553">
        <f>_xlfn.XLOOKUP(C2553, dim_teams[team_name], dim_teams[team_id], "Not found", 0)</f>
        <v>6</v>
      </c>
    </row>
    <row r="2554" spans="1:12" x14ac:dyDescent="0.3">
      <c r="A2554" t="s">
        <v>672</v>
      </c>
      <c r="B2554">
        <v>2009</v>
      </c>
      <c r="C2554" t="s">
        <v>32</v>
      </c>
      <c r="D2554">
        <v>418</v>
      </c>
      <c r="E2554">
        <v>339</v>
      </c>
      <c r="F2554">
        <v>42</v>
      </c>
      <c r="G2554">
        <v>13</v>
      </c>
      <c r="H2554">
        <v>10</v>
      </c>
      <c r="I2554">
        <v>13</v>
      </c>
      <c r="J2554">
        <v>123.3</v>
      </c>
      <c r="K2554">
        <v>41.8</v>
      </c>
      <c r="L2554">
        <f>_xlfn.XLOOKUP(C2554, dim_teams[team_name], dim_teams[team_id], "Not found", 0)</f>
        <v>6</v>
      </c>
    </row>
    <row r="2555" spans="1:12" x14ac:dyDescent="0.3">
      <c r="A2555" t="s">
        <v>672</v>
      </c>
      <c r="B2555">
        <v>2010</v>
      </c>
      <c r="C2555" t="s">
        <v>32</v>
      </c>
      <c r="D2555">
        <v>44</v>
      </c>
      <c r="E2555">
        <v>53</v>
      </c>
      <c r="F2555">
        <v>6</v>
      </c>
      <c r="G2555">
        <v>0</v>
      </c>
      <c r="H2555">
        <v>6</v>
      </c>
      <c r="I2555">
        <v>6</v>
      </c>
      <c r="J2555">
        <v>83.02</v>
      </c>
      <c r="K2555">
        <v>7.33</v>
      </c>
      <c r="L2555">
        <f>_xlfn.XLOOKUP(C2555, dim_teams[team_name], dim_teams[team_id], "Not found", 0)</f>
        <v>6</v>
      </c>
    </row>
    <row r="2556" spans="1:12" x14ac:dyDescent="0.3">
      <c r="A2556" t="s">
        <v>672</v>
      </c>
      <c r="B2556">
        <v>2011</v>
      </c>
      <c r="C2556" t="s">
        <v>21</v>
      </c>
      <c r="D2556">
        <v>226</v>
      </c>
      <c r="E2556">
        <v>180</v>
      </c>
      <c r="F2556">
        <v>33</v>
      </c>
      <c r="G2556">
        <v>3</v>
      </c>
      <c r="H2556">
        <v>8</v>
      </c>
      <c r="I2556">
        <v>10</v>
      </c>
      <c r="J2556">
        <v>125.56</v>
      </c>
      <c r="K2556">
        <v>28.25</v>
      </c>
      <c r="L2556">
        <f>_xlfn.XLOOKUP(C2556, dim_teams[team_name], dim_teams[team_id], "Not found", 0)</f>
        <v>2</v>
      </c>
    </row>
    <row r="2557" spans="1:12" x14ac:dyDescent="0.3">
      <c r="A2557" t="s">
        <v>672</v>
      </c>
      <c r="B2557">
        <v>2012</v>
      </c>
      <c r="C2557" t="s">
        <v>21</v>
      </c>
      <c r="D2557">
        <v>285</v>
      </c>
      <c r="E2557">
        <v>259</v>
      </c>
      <c r="F2557">
        <v>33</v>
      </c>
      <c r="G2557">
        <v>5</v>
      </c>
      <c r="H2557">
        <v>8</v>
      </c>
      <c r="I2557">
        <v>9</v>
      </c>
      <c r="J2557">
        <v>110.04</v>
      </c>
      <c r="K2557">
        <v>35.619999999999997</v>
      </c>
      <c r="L2557">
        <f>_xlfn.XLOOKUP(C2557, dim_teams[team_name], dim_teams[team_id], "Not found", 0)</f>
        <v>2</v>
      </c>
    </row>
    <row r="2558" spans="1:12" x14ac:dyDescent="0.3">
      <c r="A2558" t="s">
        <v>672</v>
      </c>
      <c r="B2558">
        <v>2013</v>
      </c>
      <c r="C2558" t="s">
        <v>21</v>
      </c>
      <c r="D2558">
        <v>76</v>
      </c>
      <c r="E2558">
        <v>92</v>
      </c>
      <c r="F2558">
        <v>12</v>
      </c>
      <c r="G2558">
        <v>0</v>
      </c>
      <c r="H2558">
        <v>5</v>
      </c>
      <c r="I2558">
        <v>5</v>
      </c>
      <c r="J2558">
        <v>82.61</v>
      </c>
      <c r="K2558">
        <v>15.2</v>
      </c>
      <c r="L2558">
        <f>_xlfn.XLOOKUP(C2558, dim_teams[team_name], dim_teams[team_id], "Not found", 0)</f>
        <v>2</v>
      </c>
    </row>
    <row r="2559" spans="1:12" x14ac:dyDescent="0.3">
      <c r="A2559" t="s">
        <v>673</v>
      </c>
      <c r="B2559">
        <v>2016</v>
      </c>
      <c r="C2559" t="s">
        <v>21</v>
      </c>
      <c r="D2559">
        <v>54</v>
      </c>
      <c r="E2559">
        <v>39</v>
      </c>
      <c r="F2559">
        <v>3</v>
      </c>
      <c r="G2559">
        <v>2</v>
      </c>
      <c r="H2559">
        <v>2</v>
      </c>
      <c r="I2559">
        <v>3</v>
      </c>
      <c r="J2559">
        <v>138.46</v>
      </c>
      <c r="K2559">
        <v>27</v>
      </c>
      <c r="L2559">
        <f>_xlfn.XLOOKUP(C2559, dim_teams[team_name], dim_teams[team_id], "Not found", 0)</f>
        <v>2</v>
      </c>
    </row>
    <row r="2560" spans="1:12" x14ac:dyDescent="0.3">
      <c r="A2560" t="s">
        <v>673</v>
      </c>
      <c r="B2560">
        <v>2017</v>
      </c>
      <c r="C2560" t="s">
        <v>21</v>
      </c>
      <c r="D2560">
        <v>151</v>
      </c>
      <c r="E2560">
        <v>108</v>
      </c>
      <c r="F2560">
        <v>9</v>
      </c>
      <c r="G2560">
        <v>6</v>
      </c>
      <c r="H2560">
        <v>4</v>
      </c>
      <c r="I2560">
        <v>7</v>
      </c>
      <c r="J2560">
        <v>139.81</v>
      </c>
      <c r="K2560">
        <v>37.75</v>
      </c>
      <c r="L2560">
        <f>_xlfn.XLOOKUP(C2560, dim_teams[team_name], dim_teams[team_id], "Not found", 0)</f>
        <v>2</v>
      </c>
    </row>
    <row r="2561" spans="1:12" x14ac:dyDescent="0.3">
      <c r="A2561" t="s">
        <v>673</v>
      </c>
      <c r="B2561">
        <v>2024</v>
      </c>
      <c r="C2561" t="s">
        <v>13</v>
      </c>
      <c r="D2561">
        <v>567</v>
      </c>
      <c r="E2561">
        <v>294</v>
      </c>
      <c r="F2561">
        <v>64</v>
      </c>
      <c r="G2561">
        <v>32</v>
      </c>
      <c r="H2561">
        <v>14</v>
      </c>
      <c r="I2561">
        <v>15</v>
      </c>
      <c r="J2561">
        <v>192.86</v>
      </c>
      <c r="K2561">
        <v>40.5</v>
      </c>
      <c r="L2561">
        <f>_xlfn.XLOOKUP(C2561, dim_teams[team_name], dim_teams[team_id], "Not found", 0)</f>
        <v>11</v>
      </c>
    </row>
    <row r="2562" spans="1:12" x14ac:dyDescent="0.3">
      <c r="A2562" t="s">
        <v>673</v>
      </c>
      <c r="B2562">
        <v>2025</v>
      </c>
      <c r="C2562" t="s">
        <v>13</v>
      </c>
      <c r="D2562">
        <v>374</v>
      </c>
      <c r="E2562">
        <v>226</v>
      </c>
      <c r="F2562">
        <v>50</v>
      </c>
      <c r="G2562">
        <v>15</v>
      </c>
      <c r="H2562">
        <v>13</v>
      </c>
      <c r="I2562">
        <v>12</v>
      </c>
      <c r="J2562">
        <v>165.49</v>
      </c>
      <c r="K2562">
        <v>28.77</v>
      </c>
      <c r="L2562">
        <f>_xlfn.XLOOKUP(C2562, dim_teams[team_name], dim_teams[team_id], "Not found", 0)</f>
        <v>11</v>
      </c>
    </row>
    <row r="2563" spans="1:12" x14ac:dyDescent="0.3">
      <c r="A2563" t="s">
        <v>674</v>
      </c>
      <c r="B2563">
        <v>2008</v>
      </c>
      <c r="C2563" t="s">
        <v>54</v>
      </c>
      <c r="D2563">
        <v>8</v>
      </c>
      <c r="E2563">
        <v>10</v>
      </c>
      <c r="F2563">
        <v>0</v>
      </c>
      <c r="G2563">
        <v>0</v>
      </c>
      <c r="H2563">
        <v>1</v>
      </c>
      <c r="I2563">
        <v>2</v>
      </c>
      <c r="J2563">
        <v>80</v>
      </c>
      <c r="K2563">
        <v>8</v>
      </c>
      <c r="L2563">
        <f>_xlfn.XLOOKUP(C2563, dim_teams[team_name], dim_teams[team_id], "Not found", 0)</f>
        <v>4</v>
      </c>
    </row>
    <row r="2564" spans="1:12" x14ac:dyDescent="0.3">
      <c r="A2564" t="s">
        <v>674</v>
      </c>
      <c r="B2564">
        <v>2009</v>
      </c>
      <c r="C2564" t="s">
        <v>54</v>
      </c>
      <c r="D2564">
        <v>0</v>
      </c>
      <c r="E2564">
        <v>1</v>
      </c>
      <c r="F2564">
        <v>0</v>
      </c>
      <c r="G2564">
        <v>0</v>
      </c>
      <c r="H2564">
        <v>0</v>
      </c>
      <c r="I2564">
        <v>1</v>
      </c>
      <c r="J2564">
        <v>0</v>
      </c>
      <c r="L2564">
        <f>_xlfn.XLOOKUP(C2564, dim_teams[team_name], dim_teams[team_id], "Not found", 0)</f>
        <v>4</v>
      </c>
    </row>
    <row r="2565" spans="1:12" x14ac:dyDescent="0.3">
      <c r="A2565" t="s">
        <v>675</v>
      </c>
      <c r="B2565">
        <v>2011</v>
      </c>
      <c r="C2565" t="s">
        <v>32</v>
      </c>
      <c r="D2565">
        <v>75</v>
      </c>
      <c r="E2565">
        <v>57</v>
      </c>
      <c r="F2565">
        <v>9</v>
      </c>
      <c r="G2565">
        <v>2</v>
      </c>
      <c r="H2565">
        <v>5</v>
      </c>
      <c r="I2565">
        <v>5</v>
      </c>
      <c r="J2565">
        <v>131.58000000000001</v>
      </c>
      <c r="K2565">
        <v>15</v>
      </c>
      <c r="L2565">
        <f>_xlfn.XLOOKUP(C2565, dim_teams[team_name], dim_teams[team_id], "Not found", 0)</f>
        <v>6</v>
      </c>
    </row>
    <row r="2566" spans="1:12" x14ac:dyDescent="0.3">
      <c r="A2566" t="s">
        <v>676</v>
      </c>
      <c r="B2566">
        <v>2017</v>
      </c>
      <c r="C2566" t="s">
        <v>21</v>
      </c>
      <c r="D2566">
        <v>8</v>
      </c>
      <c r="E2566">
        <v>11</v>
      </c>
      <c r="F2566">
        <v>0</v>
      </c>
      <c r="G2566">
        <v>1</v>
      </c>
      <c r="H2566">
        <v>3</v>
      </c>
      <c r="I2566">
        <v>3</v>
      </c>
      <c r="J2566">
        <v>72.73</v>
      </c>
      <c r="K2566">
        <v>2.67</v>
      </c>
      <c r="L2566">
        <f>_xlfn.XLOOKUP(C2566, dim_teams[team_name], dim_teams[team_id], "Not found", 0)</f>
        <v>2</v>
      </c>
    </row>
    <row r="2567" spans="1:12" x14ac:dyDescent="0.3">
      <c r="A2567" t="s">
        <v>676</v>
      </c>
      <c r="B2567">
        <v>2022</v>
      </c>
      <c r="C2567" t="s">
        <v>23</v>
      </c>
      <c r="D2567">
        <v>0</v>
      </c>
      <c r="E2567">
        <v>3</v>
      </c>
      <c r="F2567">
        <v>0</v>
      </c>
      <c r="G2567">
        <v>0</v>
      </c>
      <c r="H2567">
        <v>1</v>
      </c>
      <c r="I2567">
        <v>2</v>
      </c>
      <c r="J2567">
        <v>0</v>
      </c>
      <c r="K2567">
        <v>0</v>
      </c>
      <c r="L2567">
        <f>_xlfn.XLOOKUP(C2567, dim_teams[team_name], dim_teams[team_id], "Not found", 0)</f>
        <v>7</v>
      </c>
    </row>
    <row r="2568" spans="1:12" x14ac:dyDescent="0.3">
      <c r="A2568" t="s">
        <v>677</v>
      </c>
      <c r="B2568">
        <v>2020</v>
      </c>
      <c r="C2568" t="s">
        <v>33</v>
      </c>
      <c r="D2568">
        <v>21</v>
      </c>
      <c r="E2568">
        <v>12</v>
      </c>
      <c r="F2568">
        <v>2</v>
      </c>
      <c r="G2568">
        <v>1</v>
      </c>
      <c r="H2568">
        <v>1</v>
      </c>
      <c r="I2568">
        <v>2</v>
      </c>
      <c r="J2568">
        <v>175</v>
      </c>
      <c r="K2568">
        <v>21</v>
      </c>
      <c r="L2568">
        <f>_xlfn.XLOOKUP(C2568, dim_teams[team_name], dim_teams[team_id], "Not found", 0)</f>
        <v>15</v>
      </c>
    </row>
    <row r="2569" spans="1:12" x14ac:dyDescent="0.3">
      <c r="A2569" t="s">
        <v>677</v>
      </c>
      <c r="B2569">
        <v>2023</v>
      </c>
      <c r="C2569" t="s">
        <v>25</v>
      </c>
      <c r="D2569">
        <v>0</v>
      </c>
      <c r="E2569">
        <v>1</v>
      </c>
      <c r="F2569">
        <v>0</v>
      </c>
      <c r="G2569">
        <v>0</v>
      </c>
      <c r="H2569">
        <v>0</v>
      </c>
      <c r="I2569">
        <v>1</v>
      </c>
      <c r="J2569">
        <v>0</v>
      </c>
      <c r="L2569">
        <f>_xlfn.XLOOKUP(C2569, dim_teams[team_name], dim_teams[team_id], "Not found", 0)</f>
        <v>3</v>
      </c>
    </row>
    <row r="2570" spans="1:12" x14ac:dyDescent="0.3">
      <c r="A2570" t="s">
        <v>677</v>
      </c>
      <c r="B2570">
        <v>2024</v>
      </c>
      <c r="C2570" t="s">
        <v>25</v>
      </c>
      <c r="D2570">
        <v>0</v>
      </c>
      <c r="E2570">
        <v>1</v>
      </c>
      <c r="F2570">
        <v>0</v>
      </c>
      <c r="G2570">
        <v>0</v>
      </c>
      <c r="H2570">
        <v>0</v>
      </c>
      <c r="I2570">
        <v>1</v>
      </c>
      <c r="J2570">
        <v>0</v>
      </c>
      <c r="L2570">
        <f>_xlfn.XLOOKUP(C2570, dim_teams[team_name], dim_teams[team_id], "Not found", 0)</f>
        <v>3</v>
      </c>
    </row>
    <row r="2571" spans="1:12" x14ac:dyDescent="0.3">
      <c r="A2571" t="s">
        <v>677</v>
      </c>
      <c r="B2571">
        <v>2025</v>
      </c>
      <c r="C2571" t="s">
        <v>17</v>
      </c>
      <c r="D2571">
        <v>7</v>
      </c>
      <c r="E2571">
        <v>8</v>
      </c>
      <c r="F2571">
        <v>0</v>
      </c>
      <c r="G2571">
        <v>0</v>
      </c>
      <c r="H2571">
        <v>1</v>
      </c>
      <c r="I2571">
        <v>4</v>
      </c>
      <c r="J2571">
        <v>87.5</v>
      </c>
      <c r="K2571">
        <v>7</v>
      </c>
      <c r="L2571">
        <f>_xlfn.XLOOKUP(C2571, dim_teams[team_name], dim_teams[team_id], "Not found", 0)</f>
        <v>5</v>
      </c>
    </row>
    <row r="2572" spans="1:12" x14ac:dyDescent="0.3">
      <c r="A2572" t="s">
        <v>678</v>
      </c>
      <c r="B2572">
        <v>2024</v>
      </c>
      <c r="C2572" t="s">
        <v>17</v>
      </c>
      <c r="D2572">
        <v>24</v>
      </c>
      <c r="E2572">
        <v>31</v>
      </c>
      <c r="F2572">
        <v>3</v>
      </c>
      <c r="G2572">
        <v>0</v>
      </c>
      <c r="H2572">
        <v>1</v>
      </c>
      <c r="I2572">
        <v>1</v>
      </c>
      <c r="J2572">
        <v>77.42</v>
      </c>
      <c r="K2572">
        <v>24</v>
      </c>
      <c r="L2572">
        <f>_xlfn.XLOOKUP(C2572, dim_teams[team_name], dim_teams[team_id], "Not found", 0)</f>
        <v>5</v>
      </c>
    </row>
    <row r="2573" spans="1:12" x14ac:dyDescent="0.3">
      <c r="A2573" t="s">
        <v>679</v>
      </c>
      <c r="B2573">
        <v>2022</v>
      </c>
      <c r="C2573" t="s">
        <v>23</v>
      </c>
      <c r="D2573">
        <v>397</v>
      </c>
      <c r="E2573">
        <v>302</v>
      </c>
      <c r="F2573">
        <v>29</v>
      </c>
      <c r="G2573">
        <v>16</v>
      </c>
      <c r="H2573">
        <v>10</v>
      </c>
      <c r="I2573">
        <v>14</v>
      </c>
      <c r="J2573">
        <v>131.46</v>
      </c>
      <c r="K2573">
        <v>39.700000000000003</v>
      </c>
      <c r="L2573">
        <f>_xlfn.XLOOKUP(C2573, dim_teams[team_name], dim_teams[team_id], "Not found", 0)</f>
        <v>7</v>
      </c>
    </row>
    <row r="2574" spans="1:12" x14ac:dyDescent="0.3">
      <c r="A2574" t="s">
        <v>679</v>
      </c>
      <c r="B2574">
        <v>2023</v>
      </c>
      <c r="C2574" t="s">
        <v>23</v>
      </c>
      <c r="D2574">
        <v>343</v>
      </c>
      <c r="E2574">
        <v>208</v>
      </c>
      <c r="F2574">
        <v>26</v>
      </c>
      <c r="G2574">
        <v>23</v>
      </c>
      <c r="H2574">
        <v>8</v>
      </c>
      <c r="I2574">
        <v>11</v>
      </c>
      <c r="J2574">
        <v>164.9</v>
      </c>
      <c r="K2574">
        <v>42.88</v>
      </c>
      <c r="L2574">
        <f>_xlfn.XLOOKUP(C2574, dim_teams[team_name], dim_teams[team_id], "Not found", 0)</f>
        <v>7</v>
      </c>
    </row>
    <row r="2575" spans="1:12" x14ac:dyDescent="0.3">
      <c r="A2575" t="s">
        <v>679</v>
      </c>
      <c r="B2575">
        <v>2024</v>
      </c>
      <c r="C2575" t="s">
        <v>23</v>
      </c>
      <c r="D2575">
        <v>416</v>
      </c>
      <c r="E2575">
        <v>277</v>
      </c>
      <c r="F2575">
        <v>35</v>
      </c>
      <c r="G2575">
        <v>19</v>
      </c>
      <c r="H2575">
        <v>10</v>
      </c>
      <c r="I2575">
        <v>13</v>
      </c>
      <c r="J2575">
        <v>150.18</v>
      </c>
      <c r="K2575">
        <v>41.6</v>
      </c>
      <c r="L2575">
        <f>_xlfn.XLOOKUP(C2575, dim_teams[team_name], dim_teams[team_id], "Not found", 0)</f>
        <v>7</v>
      </c>
    </row>
    <row r="2576" spans="1:12" x14ac:dyDescent="0.3">
      <c r="A2576" t="s">
        <v>679</v>
      </c>
      <c r="B2576">
        <v>2025</v>
      </c>
      <c r="C2576" t="s">
        <v>23</v>
      </c>
      <c r="D2576">
        <v>343</v>
      </c>
      <c r="E2576">
        <v>245</v>
      </c>
      <c r="F2576">
        <v>23</v>
      </c>
      <c r="G2576">
        <v>16</v>
      </c>
      <c r="H2576">
        <v>10</v>
      </c>
      <c r="I2576">
        <v>13</v>
      </c>
      <c r="J2576">
        <v>140</v>
      </c>
      <c r="K2576">
        <v>34.299999999999997</v>
      </c>
      <c r="L2576">
        <f>_xlfn.XLOOKUP(C2576, dim_teams[team_name], dim_teams[team_id], "Not found", 0)</f>
        <v>7</v>
      </c>
    </row>
    <row r="2577" spans="1:12" x14ac:dyDescent="0.3">
      <c r="A2577" t="s">
        <v>680</v>
      </c>
      <c r="B2577">
        <v>2008</v>
      </c>
      <c r="C2577" t="s">
        <v>54</v>
      </c>
      <c r="D2577">
        <v>0</v>
      </c>
      <c r="E2577">
        <v>1</v>
      </c>
      <c r="F2577">
        <v>0</v>
      </c>
      <c r="G2577">
        <v>0</v>
      </c>
      <c r="H2577">
        <v>0</v>
      </c>
      <c r="I2577">
        <v>1</v>
      </c>
      <c r="J2577">
        <v>0</v>
      </c>
      <c r="L2577">
        <f>_xlfn.XLOOKUP(C2577, dim_teams[team_name], dim_teams[team_id], "Not found", 0)</f>
        <v>4</v>
      </c>
    </row>
    <row r="2578" spans="1:12" x14ac:dyDescent="0.3">
      <c r="A2578" t="s">
        <v>681</v>
      </c>
      <c r="B2578">
        <v>2013</v>
      </c>
      <c r="C2578" t="s">
        <v>37</v>
      </c>
      <c r="D2578">
        <v>7</v>
      </c>
      <c r="E2578">
        <v>14</v>
      </c>
      <c r="F2578">
        <v>1</v>
      </c>
      <c r="G2578">
        <v>0</v>
      </c>
      <c r="H2578">
        <v>1</v>
      </c>
      <c r="I2578">
        <v>1</v>
      </c>
      <c r="J2578">
        <v>50</v>
      </c>
      <c r="K2578">
        <v>7</v>
      </c>
      <c r="L2578">
        <f>_xlfn.XLOOKUP(C2578, dim_teams[team_name], dim_teams[team_id], "Not found", 0)</f>
        <v>10</v>
      </c>
    </row>
    <row r="2579" spans="1:12" x14ac:dyDescent="0.3">
      <c r="A2579" t="s">
        <v>682</v>
      </c>
      <c r="B2579">
        <v>2011</v>
      </c>
      <c r="C2579" t="s">
        <v>32</v>
      </c>
      <c r="D2579">
        <v>2</v>
      </c>
      <c r="E2579">
        <v>12</v>
      </c>
      <c r="F2579">
        <v>0</v>
      </c>
      <c r="G2579">
        <v>0</v>
      </c>
      <c r="H2579">
        <v>2</v>
      </c>
      <c r="I2579">
        <v>2</v>
      </c>
      <c r="J2579">
        <v>16.670000000000002</v>
      </c>
      <c r="K2579">
        <v>1</v>
      </c>
      <c r="L2579">
        <f>_xlfn.XLOOKUP(C2579, dim_teams[team_name], dim_teams[team_id], "Not found", 0)</f>
        <v>6</v>
      </c>
    </row>
    <row r="2580" spans="1:12" x14ac:dyDescent="0.3">
      <c r="A2580" t="s">
        <v>682</v>
      </c>
      <c r="B2580">
        <v>2012</v>
      </c>
      <c r="C2580" t="s">
        <v>32</v>
      </c>
      <c r="D2580">
        <v>36</v>
      </c>
      <c r="E2580">
        <v>34</v>
      </c>
      <c r="F2580">
        <v>2</v>
      </c>
      <c r="G2580">
        <v>3</v>
      </c>
      <c r="H2580">
        <v>2</v>
      </c>
      <c r="I2580">
        <v>2</v>
      </c>
      <c r="J2580">
        <v>105.88</v>
      </c>
      <c r="K2580">
        <v>18</v>
      </c>
      <c r="L2580">
        <f>_xlfn.XLOOKUP(C2580, dim_teams[team_name], dim_teams[team_id], "Not found", 0)</f>
        <v>6</v>
      </c>
    </row>
    <row r="2581" spans="1:12" x14ac:dyDescent="0.3">
      <c r="A2581" t="s">
        <v>682</v>
      </c>
      <c r="B2581">
        <v>2013</v>
      </c>
      <c r="C2581" t="s">
        <v>32</v>
      </c>
      <c r="D2581">
        <v>158</v>
      </c>
      <c r="E2581">
        <v>157</v>
      </c>
      <c r="F2581">
        <v>17</v>
      </c>
      <c r="G2581">
        <v>4</v>
      </c>
      <c r="H2581">
        <v>9</v>
      </c>
      <c r="I2581">
        <v>9</v>
      </c>
      <c r="J2581">
        <v>100.64</v>
      </c>
      <c r="K2581">
        <v>17.559999999999999</v>
      </c>
      <c r="L2581">
        <f>_xlfn.XLOOKUP(C2581, dim_teams[team_name], dim_teams[team_id], "Not found", 0)</f>
        <v>6</v>
      </c>
    </row>
    <row r="2582" spans="1:12" x14ac:dyDescent="0.3">
      <c r="A2582" t="s">
        <v>682</v>
      </c>
      <c r="B2582">
        <v>2014</v>
      </c>
      <c r="C2582" t="s">
        <v>17</v>
      </c>
      <c r="D2582">
        <v>2</v>
      </c>
      <c r="E2582">
        <v>9</v>
      </c>
      <c r="F2582">
        <v>0</v>
      </c>
      <c r="G2582">
        <v>0</v>
      </c>
      <c r="H2582">
        <v>1</v>
      </c>
      <c r="I2582">
        <v>1</v>
      </c>
      <c r="J2582">
        <v>22.22</v>
      </c>
      <c r="K2582">
        <v>2</v>
      </c>
      <c r="L2582">
        <f>_xlfn.XLOOKUP(C2582, dim_teams[team_name], dim_teams[team_id], "Not found", 0)</f>
        <v>5</v>
      </c>
    </row>
    <row r="2583" spans="1:12" x14ac:dyDescent="0.3">
      <c r="A2583" t="s">
        <v>682</v>
      </c>
      <c r="B2583">
        <v>2015</v>
      </c>
      <c r="C2583" t="s">
        <v>23</v>
      </c>
      <c r="D2583">
        <v>102</v>
      </c>
      <c r="E2583">
        <v>83</v>
      </c>
      <c r="F2583">
        <v>13</v>
      </c>
      <c r="G2583">
        <v>2</v>
      </c>
      <c r="H2583">
        <v>5</v>
      </c>
      <c r="I2583">
        <v>5</v>
      </c>
      <c r="J2583">
        <v>122.89</v>
      </c>
      <c r="K2583">
        <v>20.399999999999999</v>
      </c>
      <c r="L2583">
        <f>_xlfn.XLOOKUP(C2583, dim_teams[team_name], dim_teams[team_id], "Not found", 0)</f>
        <v>7</v>
      </c>
    </row>
    <row r="2584" spans="1:12" x14ac:dyDescent="0.3">
      <c r="A2584" t="s">
        <v>682</v>
      </c>
      <c r="B2584">
        <v>2016</v>
      </c>
      <c r="C2584" t="s">
        <v>23</v>
      </c>
      <c r="D2584">
        <v>0</v>
      </c>
      <c r="E2584">
        <v>4</v>
      </c>
      <c r="F2584">
        <v>0</v>
      </c>
      <c r="G2584">
        <v>0</v>
      </c>
      <c r="H2584">
        <v>1</v>
      </c>
      <c r="I2584">
        <v>1</v>
      </c>
      <c r="J2584">
        <v>0</v>
      </c>
      <c r="K2584">
        <v>0</v>
      </c>
      <c r="L2584">
        <f>_xlfn.XLOOKUP(C2584, dim_teams[team_name], dim_teams[team_id], "Not found", 0)</f>
        <v>7</v>
      </c>
    </row>
    <row r="2585" spans="1:12" x14ac:dyDescent="0.3">
      <c r="A2585" t="s">
        <v>683</v>
      </c>
      <c r="B2585">
        <v>2016</v>
      </c>
      <c r="C2585" t="s">
        <v>45</v>
      </c>
      <c r="D2585">
        <v>127</v>
      </c>
      <c r="E2585">
        <v>99</v>
      </c>
      <c r="F2585">
        <v>14</v>
      </c>
      <c r="G2585">
        <v>3</v>
      </c>
      <c r="H2585">
        <v>5</v>
      </c>
      <c r="I2585">
        <v>6</v>
      </c>
      <c r="J2585">
        <v>128.28</v>
      </c>
      <c r="K2585">
        <v>25.4</v>
      </c>
      <c r="L2585">
        <f>_xlfn.XLOOKUP(C2585, dim_teams[team_name], dim_teams[team_id], "Not found", 0)</f>
        <v>12</v>
      </c>
    </row>
    <row r="2586" spans="1:12" x14ac:dyDescent="0.3">
      <c r="A2586" t="s">
        <v>684</v>
      </c>
      <c r="B2586">
        <v>2010</v>
      </c>
      <c r="C2586" t="s">
        <v>32</v>
      </c>
      <c r="D2586">
        <v>3</v>
      </c>
      <c r="E2586">
        <v>4</v>
      </c>
      <c r="F2586">
        <v>0</v>
      </c>
      <c r="G2586">
        <v>0</v>
      </c>
      <c r="H2586">
        <v>0</v>
      </c>
      <c r="I2586">
        <v>1</v>
      </c>
      <c r="J2586">
        <v>75</v>
      </c>
      <c r="L2586">
        <f>_xlfn.XLOOKUP(C2586, dim_teams[team_name], dim_teams[team_id], "Not found", 0)</f>
        <v>6</v>
      </c>
    </row>
    <row r="2587" spans="1:12" x14ac:dyDescent="0.3">
      <c r="A2587" t="s">
        <v>684</v>
      </c>
      <c r="B2587">
        <v>2011</v>
      </c>
      <c r="C2587" t="s">
        <v>32</v>
      </c>
      <c r="D2587">
        <v>1</v>
      </c>
      <c r="E2587">
        <v>5</v>
      </c>
      <c r="F2587">
        <v>0</v>
      </c>
      <c r="G2587">
        <v>0</v>
      </c>
      <c r="H2587">
        <v>1</v>
      </c>
      <c r="I2587">
        <v>2</v>
      </c>
      <c r="J2587">
        <v>20</v>
      </c>
      <c r="K2587">
        <v>1</v>
      </c>
      <c r="L2587">
        <f>_xlfn.XLOOKUP(C2587, dim_teams[team_name], dim_teams[team_id], "Not found", 0)</f>
        <v>6</v>
      </c>
    </row>
    <row r="2588" spans="1:12" x14ac:dyDescent="0.3">
      <c r="A2588" t="s">
        <v>684</v>
      </c>
      <c r="B2588">
        <v>2012</v>
      </c>
      <c r="C2588" t="s">
        <v>32</v>
      </c>
      <c r="D2588">
        <v>2</v>
      </c>
      <c r="E2588">
        <v>7</v>
      </c>
      <c r="F2588">
        <v>0</v>
      </c>
      <c r="G2588">
        <v>0</v>
      </c>
      <c r="H2588">
        <v>2</v>
      </c>
      <c r="I2588">
        <v>3</v>
      </c>
      <c r="J2588">
        <v>28.57</v>
      </c>
      <c r="K2588">
        <v>1</v>
      </c>
      <c r="L2588">
        <f>_xlfn.XLOOKUP(C2588, dim_teams[team_name], dim_teams[team_id], "Not found", 0)</f>
        <v>6</v>
      </c>
    </row>
    <row r="2589" spans="1:12" x14ac:dyDescent="0.3">
      <c r="A2589" t="s">
        <v>684</v>
      </c>
      <c r="B2589">
        <v>2013</v>
      </c>
      <c r="C2589" t="s">
        <v>32</v>
      </c>
      <c r="D2589">
        <v>38</v>
      </c>
      <c r="E2589">
        <v>38</v>
      </c>
      <c r="F2589">
        <v>3</v>
      </c>
      <c r="G2589">
        <v>1</v>
      </c>
      <c r="H2589">
        <v>1</v>
      </c>
      <c r="I2589">
        <v>7</v>
      </c>
      <c r="J2589">
        <v>100</v>
      </c>
      <c r="K2589">
        <v>38</v>
      </c>
      <c r="L2589">
        <f>_xlfn.XLOOKUP(C2589, dim_teams[team_name], dim_teams[team_id], "Not found", 0)</f>
        <v>6</v>
      </c>
    </row>
    <row r="2590" spans="1:12" x14ac:dyDescent="0.3">
      <c r="A2590" t="s">
        <v>684</v>
      </c>
      <c r="B2590">
        <v>2014</v>
      </c>
      <c r="C2590" t="s">
        <v>19</v>
      </c>
      <c r="D2590">
        <v>2</v>
      </c>
      <c r="E2590">
        <v>4</v>
      </c>
      <c r="F2590">
        <v>0</v>
      </c>
      <c r="G2590">
        <v>0</v>
      </c>
      <c r="H2590">
        <v>1</v>
      </c>
      <c r="I2590">
        <v>1</v>
      </c>
      <c r="J2590">
        <v>50</v>
      </c>
      <c r="K2590">
        <v>2</v>
      </c>
      <c r="L2590">
        <f>_xlfn.XLOOKUP(C2590, dim_teams[team_name], dim_teams[team_id], "Not found", 0)</f>
        <v>1</v>
      </c>
    </row>
    <row r="2591" spans="1:12" x14ac:dyDescent="0.3">
      <c r="A2591" t="s">
        <v>684</v>
      </c>
      <c r="B2591">
        <v>2015</v>
      </c>
      <c r="C2591" t="s">
        <v>19</v>
      </c>
      <c r="D2591">
        <v>29</v>
      </c>
      <c r="E2591">
        <v>14</v>
      </c>
      <c r="F2591">
        <v>5</v>
      </c>
      <c r="G2591">
        <v>1</v>
      </c>
      <c r="H2591">
        <v>1</v>
      </c>
      <c r="I2591">
        <v>3</v>
      </c>
      <c r="J2591">
        <v>207.14</v>
      </c>
      <c r="K2591">
        <v>29</v>
      </c>
      <c r="L2591">
        <f>_xlfn.XLOOKUP(C2591, dim_teams[team_name], dim_teams[team_id], "Not found", 0)</f>
        <v>1</v>
      </c>
    </row>
    <row r="2592" spans="1:12" x14ac:dyDescent="0.3">
      <c r="A2592" t="s">
        <v>684</v>
      </c>
      <c r="B2592">
        <v>2016</v>
      </c>
      <c r="C2592" t="s">
        <v>19</v>
      </c>
      <c r="D2592">
        <v>9</v>
      </c>
      <c r="E2592">
        <v>5</v>
      </c>
      <c r="F2592">
        <v>0</v>
      </c>
      <c r="G2592">
        <v>1</v>
      </c>
      <c r="H2592">
        <v>2</v>
      </c>
      <c r="I2592">
        <v>2</v>
      </c>
      <c r="J2592">
        <v>180</v>
      </c>
      <c r="K2592">
        <v>4.5</v>
      </c>
      <c r="L2592">
        <f>_xlfn.XLOOKUP(C2592, dim_teams[team_name], dim_teams[team_id], "Not found", 0)</f>
        <v>1</v>
      </c>
    </row>
    <row r="2593" spans="1:12" x14ac:dyDescent="0.3">
      <c r="A2593" t="s">
        <v>684</v>
      </c>
      <c r="B2593">
        <v>2017</v>
      </c>
      <c r="C2593" t="s">
        <v>19</v>
      </c>
      <c r="D2593">
        <v>10</v>
      </c>
      <c r="E2593">
        <v>13</v>
      </c>
      <c r="F2593">
        <v>0</v>
      </c>
      <c r="G2593">
        <v>0</v>
      </c>
      <c r="H2593">
        <v>0</v>
      </c>
      <c r="I2593">
        <v>4</v>
      </c>
      <c r="J2593">
        <v>76.92</v>
      </c>
      <c r="L2593">
        <f>_xlfn.XLOOKUP(C2593, dim_teams[team_name], dim_teams[team_id], "Not found", 0)</f>
        <v>1</v>
      </c>
    </row>
    <row r="2594" spans="1:12" x14ac:dyDescent="0.3">
      <c r="A2594" t="s">
        <v>684</v>
      </c>
      <c r="B2594">
        <v>2018</v>
      </c>
      <c r="C2594" t="s">
        <v>21</v>
      </c>
      <c r="D2594">
        <v>3</v>
      </c>
      <c r="E2594">
        <v>11</v>
      </c>
      <c r="F2594">
        <v>0</v>
      </c>
      <c r="G2594">
        <v>0</v>
      </c>
      <c r="H2594">
        <v>4</v>
      </c>
      <c r="I2594">
        <v>5</v>
      </c>
      <c r="J2594">
        <v>27.27</v>
      </c>
      <c r="K2594">
        <v>0.75</v>
      </c>
      <c r="L2594">
        <f>_xlfn.XLOOKUP(C2594, dim_teams[team_name], dim_teams[team_id], "Not found", 0)</f>
        <v>2</v>
      </c>
    </row>
    <row r="2595" spans="1:12" x14ac:dyDescent="0.3">
      <c r="A2595" t="s">
        <v>684</v>
      </c>
      <c r="B2595">
        <v>2019</v>
      </c>
      <c r="C2595" t="s">
        <v>21</v>
      </c>
      <c r="D2595">
        <v>25</v>
      </c>
      <c r="E2595">
        <v>25</v>
      </c>
      <c r="F2595">
        <v>3</v>
      </c>
      <c r="G2595">
        <v>1</v>
      </c>
      <c r="H2595">
        <v>1</v>
      </c>
      <c r="I2595">
        <v>5</v>
      </c>
      <c r="J2595">
        <v>100</v>
      </c>
      <c r="K2595">
        <v>25</v>
      </c>
      <c r="L2595">
        <f>_xlfn.XLOOKUP(C2595, dim_teams[team_name], dim_teams[team_id], "Not found", 0)</f>
        <v>2</v>
      </c>
    </row>
    <row r="2596" spans="1:12" x14ac:dyDescent="0.3">
      <c r="A2596" t="s">
        <v>684</v>
      </c>
      <c r="B2596">
        <v>2020</v>
      </c>
      <c r="C2596" t="s">
        <v>21</v>
      </c>
      <c r="D2596">
        <v>0</v>
      </c>
      <c r="E2596">
        <v>2</v>
      </c>
      <c r="F2596">
        <v>0</v>
      </c>
      <c r="G2596">
        <v>0</v>
      </c>
      <c r="H2596">
        <v>1</v>
      </c>
      <c r="I2596">
        <v>1</v>
      </c>
      <c r="J2596">
        <v>0</v>
      </c>
      <c r="K2596">
        <v>0</v>
      </c>
      <c r="L2596">
        <f>_xlfn.XLOOKUP(C2596, dim_teams[team_name], dim_teams[team_id], "Not found", 0)</f>
        <v>2</v>
      </c>
    </row>
    <row r="2597" spans="1:12" x14ac:dyDescent="0.3">
      <c r="A2597" t="s">
        <v>684</v>
      </c>
      <c r="B2597">
        <v>2022</v>
      </c>
      <c r="C2597" t="s">
        <v>19</v>
      </c>
      <c r="D2597">
        <v>55</v>
      </c>
      <c r="E2597">
        <v>40</v>
      </c>
      <c r="F2597">
        <v>4</v>
      </c>
      <c r="G2597">
        <v>4</v>
      </c>
      <c r="H2597">
        <v>4</v>
      </c>
      <c r="I2597">
        <v>7</v>
      </c>
      <c r="J2597">
        <v>137.5</v>
      </c>
      <c r="K2597">
        <v>13.75</v>
      </c>
      <c r="L2597">
        <f>_xlfn.XLOOKUP(C2597, dim_teams[team_name], dim_teams[team_id], "Not found", 0)</f>
        <v>1</v>
      </c>
    </row>
    <row r="2598" spans="1:12" x14ac:dyDescent="0.3">
      <c r="A2598" t="s">
        <v>684</v>
      </c>
      <c r="B2598">
        <v>2023</v>
      </c>
      <c r="C2598" t="s">
        <v>19</v>
      </c>
      <c r="D2598">
        <v>19</v>
      </c>
      <c r="E2598">
        <v>18</v>
      </c>
      <c r="F2598">
        <v>1</v>
      </c>
      <c r="G2598">
        <v>0</v>
      </c>
      <c r="H2598">
        <v>2</v>
      </c>
      <c r="I2598">
        <v>5</v>
      </c>
      <c r="J2598">
        <v>105.56</v>
      </c>
      <c r="K2598">
        <v>9.5</v>
      </c>
      <c r="L2598">
        <f>_xlfn.XLOOKUP(C2598, dim_teams[team_name], dim_teams[team_id], "Not found", 0)</f>
        <v>1</v>
      </c>
    </row>
    <row r="2599" spans="1:12" x14ac:dyDescent="0.3">
      <c r="A2599" t="s">
        <v>684</v>
      </c>
      <c r="B2599">
        <v>2024</v>
      </c>
      <c r="C2599" t="s">
        <v>29</v>
      </c>
      <c r="D2599">
        <v>12</v>
      </c>
      <c r="E2599">
        <v>15</v>
      </c>
      <c r="F2599">
        <v>0</v>
      </c>
      <c r="G2599">
        <v>1</v>
      </c>
      <c r="H2599">
        <v>1</v>
      </c>
      <c r="I2599">
        <v>2</v>
      </c>
      <c r="J2599">
        <v>80</v>
      </c>
      <c r="K2599">
        <v>12</v>
      </c>
      <c r="L2599">
        <f>_xlfn.XLOOKUP(C2599, dim_teams[team_name], dim_teams[team_id], "Not found", 0)</f>
        <v>18</v>
      </c>
    </row>
    <row r="2600" spans="1:12" x14ac:dyDescent="0.3">
      <c r="A2600" t="s">
        <v>685</v>
      </c>
      <c r="B2600">
        <v>2008</v>
      </c>
      <c r="C2600" t="s">
        <v>19</v>
      </c>
      <c r="D2600">
        <v>39</v>
      </c>
      <c r="E2600">
        <v>19</v>
      </c>
      <c r="F2600">
        <v>1</v>
      </c>
      <c r="G2600">
        <v>5</v>
      </c>
      <c r="H2600">
        <v>3</v>
      </c>
      <c r="I2600">
        <v>4</v>
      </c>
      <c r="J2600">
        <v>205.26</v>
      </c>
      <c r="K2600">
        <v>13</v>
      </c>
      <c r="L2600">
        <f>_xlfn.XLOOKUP(C2600, dim_teams[team_name], dim_teams[team_id], "Not found", 0)</f>
        <v>1</v>
      </c>
    </row>
    <row r="2601" spans="1:12" x14ac:dyDescent="0.3">
      <c r="A2601" t="s">
        <v>686</v>
      </c>
      <c r="B2601">
        <v>2022</v>
      </c>
      <c r="C2601" t="s">
        <v>13</v>
      </c>
      <c r="D2601">
        <v>4</v>
      </c>
      <c r="E2601">
        <v>8</v>
      </c>
      <c r="F2601">
        <v>0</v>
      </c>
      <c r="G2601">
        <v>0</v>
      </c>
      <c r="H2601">
        <v>1</v>
      </c>
      <c r="I2601">
        <v>4</v>
      </c>
      <c r="J2601">
        <v>50</v>
      </c>
      <c r="K2601">
        <v>4</v>
      </c>
      <c r="L2601">
        <f>_xlfn.XLOOKUP(C2601, dim_teams[team_name], dim_teams[team_id], "Not found", 0)</f>
        <v>11</v>
      </c>
    </row>
    <row r="2602" spans="1:12" x14ac:dyDescent="0.3">
      <c r="A2602" t="s">
        <v>686</v>
      </c>
      <c r="B2602">
        <v>2023</v>
      </c>
      <c r="C2602" t="s">
        <v>13</v>
      </c>
      <c r="D2602">
        <v>19</v>
      </c>
      <c r="E2602">
        <v>7</v>
      </c>
      <c r="F2602">
        <v>1</v>
      </c>
      <c r="G2602">
        <v>2</v>
      </c>
      <c r="H2602">
        <v>0</v>
      </c>
      <c r="I2602">
        <v>1</v>
      </c>
      <c r="J2602">
        <v>271.43</v>
      </c>
      <c r="L2602">
        <f>_xlfn.XLOOKUP(C2602, dim_teams[team_name], dim_teams[team_id], "Not found", 0)</f>
        <v>11</v>
      </c>
    </row>
    <row r="2603" spans="1:12" x14ac:dyDescent="0.3">
      <c r="A2603" t="s">
        <v>687</v>
      </c>
      <c r="B2603">
        <v>2025</v>
      </c>
      <c r="C2603" t="s">
        <v>25</v>
      </c>
      <c r="D2603">
        <v>68</v>
      </c>
      <c r="E2603">
        <v>32</v>
      </c>
      <c r="F2603">
        <v>5</v>
      </c>
      <c r="G2603">
        <v>6</v>
      </c>
      <c r="H2603">
        <v>3</v>
      </c>
      <c r="I2603">
        <v>3</v>
      </c>
      <c r="J2603">
        <v>212.5</v>
      </c>
      <c r="K2603">
        <v>22.67</v>
      </c>
      <c r="L2603">
        <f>_xlfn.XLOOKUP(C2603, dim_teams[team_name], dim_teams[team_id], "Not found", 0)</f>
        <v>3</v>
      </c>
    </row>
    <row r="2604" spans="1:12" x14ac:dyDescent="0.3">
      <c r="A2604" t="s">
        <v>688</v>
      </c>
      <c r="B2604">
        <v>2008</v>
      </c>
      <c r="C2604" t="s">
        <v>21</v>
      </c>
      <c r="D2604">
        <v>165</v>
      </c>
      <c r="E2604">
        <v>157</v>
      </c>
      <c r="F2604">
        <v>18</v>
      </c>
      <c r="G2604">
        <v>4</v>
      </c>
      <c r="H2604">
        <v>12</v>
      </c>
      <c r="I2604">
        <v>12</v>
      </c>
      <c r="J2604">
        <v>105.1</v>
      </c>
      <c r="K2604">
        <v>13.75</v>
      </c>
      <c r="L2604">
        <f>_xlfn.XLOOKUP(C2604, dim_teams[team_name], dim_teams[team_id], "Not found", 0)</f>
        <v>2</v>
      </c>
    </row>
    <row r="2605" spans="1:12" x14ac:dyDescent="0.3">
      <c r="A2605" t="s">
        <v>688</v>
      </c>
      <c r="B2605">
        <v>2009</v>
      </c>
      <c r="C2605" t="s">
        <v>21</v>
      </c>
      <c r="D2605">
        <v>246</v>
      </c>
      <c r="E2605">
        <v>219</v>
      </c>
      <c r="F2605">
        <v>22</v>
      </c>
      <c r="G2605">
        <v>8</v>
      </c>
      <c r="H2605">
        <v>11</v>
      </c>
      <c r="I2605">
        <v>13</v>
      </c>
      <c r="J2605">
        <v>112.33</v>
      </c>
      <c r="K2605">
        <v>22.36</v>
      </c>
      <c r="L2605">
        <f>_xlfn.XLOOKUP(C2605, dim_teams[team_name], dim_teams[team_id], "Not found", 0)</f>
        <v>2</v>
      </c>
    </row>
    <row r="2606" spans="1:12" x14ac:dyDescent="0.3">
      <c r="A2606" t="s">
        <v>688</v>
      </c>
      <c r="B2606">
        <v>2010</v>
      </c>
      <c r="C2606" t="s">
        <v>21</v>
      </c>
      <c r="D2606">
        <v>307</v>
      </c>
      <c r="E2606">
        <v>211</v>
      </c>
      <c r="F2606">
        <v>26</v>
      </c>
      <c r="G2606">
        <v>12</v>
      </c>
      <c r="H2606">
        <v>13</v>
      </c>
      <c r="I2606">
        <v>13</v>
      </c>
      <c r="J2606">
        <v>145.5</v>
      </c>
      <c r="K2606">
        <v>23.62</v>
      </c>
      <c r="L2606">
        <f>_xlfn.XLOOKUP(C2606, dim_teams[team_name], dim_teams[team_id], "Not found", 0)</f>
        <v>2</v>
      </c>
    </row>
    <row r="2607" spans="1:12" x14ac:dyDescent="0.3">
      <c r="A2607" t="s">
        <v>688</v>
      </c>
      <c r="B2607">
        <v>2011</v>
      </c>
      <c r="C2607" t="s">
        <v>21</v>
      </c>
      <c r="D2607">
        <v>557</v>
      </c>
      <c r="E2607">
        <v>459</v>
      </c>
      <c r="F2607">
        <v>55</v>
      </c>
      <c r="G2607">
        <v>16</v>
      </c>
      <c r="H2607">
        <v>13</v>
      </c>
      <c r="I2607">
        <v>16</v>
      </c>
      <c r="J2607">
        <v>121.35</v>
      </c>
      <c r="K2607">
        <v>42.85</v>
      </c>
      <c r="L2607">
        <f>_xlfn.XLOOKUP(C2607, dim_teams[team_name], dim_teams[team_id], "Not found", 0)</f>
        <v>2</v>
      </c>
    </row>
    <row r="2608" spans="1:12" x14ac:dyDescent="0.3">
      <c r="A2608" t="s">
        <v>688</v>
      </c>
      <c r="B2608">
        <v>2012</v>
      </c>
      <c r="C2608" t="s">
        <v>21</v>
      </c>
      <c r="D2608">
        <v>364</v>
      </c>
      <c r="E2608">
        <v>325</v>
      </c>
      <c r="F2608">
        <v>33</v>
      </c>
      <c r="G2608">
        <v>10</v>
      </c>
      <c r="H2608">
        <v>12</v>
      </c>
      <c r="I2608">
        <v>15</v>
      </c>
      <c r="J2608">
        <v>112</v>
      </c>
      <c r="K2608">
        <v>30.33</v>
      </c>
      <c r="L2608">
        <f>_xlfn.XLOOKUP(C2608, dim_teams[team_name], dim_teams[team_id], "Not found", 0)</f>
        <v>2</v>
      </c>
    </row>
    <row r="2609" spans="1:12" x14ac:dyDescent="0.3">
      <c r="A2609" t="s">
        <v>688</v>
      </c>
      <c r="B2609">
        <v>2013</v>
      </c>
      <c r="C2609" t="s">
        <v>21</v>
      </c>
      <c r="D2609">
        <v>639</v>
      </c>
      <c r="E2609">
        <v>454</v>
      </c>
      <c r="F2609">
        <v>65</v>
      </c>
      <c r="G2609">
        <v>22</v>
      </c>
      <c r="H2609">
        <v>14</v>
      </c>
      <c r="I2609">
        <v>16</v>
      </c>
      <c r="J2609">
        <v>140.75</v>
      </c>
      <c r="K2609">
        <v>45.64</v>
      </c>
      <c r="L2609">
        <f>_xlfn.XLOOKUP(C2609, dim_teams[team_name], dim_teams[team_id], "Not found", 0)</f>
        <v>2</v>
      </c>
    </row>
    <row r="2610" spans="1:12" x14ac:dyDescent="0.3">
      <c r="A2610" t="s">
        <v>688</v>
      </c>
      <c r="B2610">
        <v>2014</v>
      </c>
      <c r="C2610" t="s">
        <v>21</v>
      </c>
      <c r="D2610">
        <v>359</v>
      </c>
      <c r="E2610">
        <v>294</v>
      </c>
      <c r="F2610">
        <v>23</v>
      </c>
      <c r="G2610">
        <v>16</v>
      </c>
      <c r="H2610">
        <v>14</v>
      </c>
      <c r="I2610">
        <v>14</v>
      </c>
      <c r="J2610">
        <v>122.11</v>
      </c>
      <c r="K2610">
        <v>25.64</v>
      </c>
      <c r="L2610">
        <f>_xlfn.XLOOKUP(C2610, dim_teams[team_name], dim_teams[team_id], "Not found", 0)</f>
        <v>2</v>
      </c>
    </row>
    <row r="2611" spans="1:12" x14ac:dyDescent="0.3">
      <c r="A2611" t="s">
        <v>688</v>
      </c>
      <c r="B2611">
        <v>2015</v>
      </c>
      <c r="C2611" t="s">
        <v>21</v>
      </c>
      <c r="D2611">
        <v>505</v>
      </c>
      <c r="E2611">
        <v>386</v>
      </c>
      <c r="F2611">
        <v>35</v>
      </c>
      <c r="G2611">
        <v>23</v>
      </c>
      <c r="H2611">
        <v>14</v>
      </c>
      <c r="I2611">
        <v>16</v>
      </c>
      <c r="J2611">
        <v>130.83000000000001</v>
      </c>
      <c r="K2611">
        <v>36.07</v>
      </c>
      <c r="L2611">
        <f>_xlfn.XLOOKUP(C2611, dim_teams[team_name], dim_teams[team_id], "Not found", 0)</f>
        <v>2</v>
      </c>
    </row>
    <row r="2612" spans="1:12" x14ac:dyDescent="0.3">
      <c r="A2612" t="s">
        <v>688</v>
      </c>
      <c r="B2612">
        <v>2016</v>
      </c>
      <c r="C2612" t="s">
        <v>21</v>
      </c>
      <c r="D2612">
        <v>973</v>
      </c>
      <c r="E2612">
        <v>637</v>
      </c>
      <c r="F2612">
        <v>84</v>
      </c>
      <c r="G2612">
        <v>38</v>
      </c>
      <c r="H2612">
        <v>12</v>
      </c>
      <c r="I2612">
        <v>16</v>
      </c>
      <c r="J2612">
        <v>152.75</v>
      </c>
      <c r="K2612">
        <v>81.08</v>
      </c>
      <c r="L2612">
        <f>_xlfn.XLOOKUP(C2612, dim_teams[team_name], dim_teams[team_id], "Not found", 0)</f>
        <v>2</v>
      </c>
    </row>
    <row r="2613" spans="1:12" x14ac:dyDescent="0.3">
      <c r="A2613" t="s">
        <v>688</v>
      </c>
      <c r="B2613">
        <v>2017</v>
      </c>
      <c r="C2613" t="s">
        <v>21</v>
      </c>
      <c r="D2613">
        <v>308</v>
      </c>
      <c r="E2613">
        <v>252</v>
      </c>
      <c r="F2613">
        <v>23</v>
      </c>
      <c r="G2613">
        <v>11</v>
      </c>
      <c r="H2613">
        <v>11</v>
      </c>
      <c r="I2613">
        <v>10</v>
      </c>
      <c r="J2613">
        <v>122.22</v>
      </c>
      <c r="K2613">
        <v>28</v>
      </c>
      <c r="L2613">
        <f>_xlfn.XLOOKUP(C2613, dim_teams[team_name], dim_teams[team_id], "Not found", 0)</f>
        <v>2</v>
      </c>
    </row>
    <row r="2614" spans="1:12" x14ac:dyDescent="0.3">
      <c r="A2614" t="s">
        <v>688</v>
      </c>
      <c r="B2614">
        <v>2018</v>
      </c>
      <c r="C2614" t="s">
        <v>21</v>
      </c>
      <c r="D2614">
        <v>530</v>
      </c>
      <c r="E2614">
        <v>379</v>
      </c>
      <c r="F2614">
        <v>52</v>
      </c>
      <c r="G2614">
        <v>18</v>
      </c>
      <c r="H2614">
        <v>12</v>
      </c>
      <c r="I2614">
        <v>14</v>
      </c>
      <c r="J2614">
        <v>139.84</v>
      </c>
      <c r="K2614">
        <v>44.17</v>
      </c>
      <c r="L2614">
        <f>_xlfn.XLOOKUP(C2614, dim_teams[team_name], dim_teams[team_id], "Not found", 0)</f>
        <v>2</v>
      </c>
    </row>
    <row r="2615" spans="1:12" x14ac:dyDescent="0.3">
      <c r="A2615" t="s">
        <v>688</v>
      </c>
      <c r="B2615">
        <v>2019</v>
      </c>
      <c r="C2615" t="s">
        <v>21</v>
      </c>
      <c r="D2615">
        <v>464</v>
      </c>
      <c r="E2615">
        <v>327</v>
      </c>
      <c r="F2615">
        <v>46</v>
      </c>
      <c r="G2615">
        <v>13</v>
      </c>
      <c r="H2615">
        <v>14</v>
      </c>
      <c r="I2615">
        <v>14</v>
      </c>
      <c r="J2615">
        <v>141.9</v>
      </c>
      <c r="K2615">
        <v>33.14</v>
      </c>
      <c r="L2615">
        <f>_xlfn.XLOOKUP(C2615, dim_teams[team_name], dim_teams[team_id], "Not found", 0)</f>
        <v>2</v>
      </c>
    </row>
    <row r="2616" spans="1:12" x14ac:dyDescent="0.3">
      <c r="A2616" t="s">
        <v>688</v>
      </c>
      <c r="B2616">
        <v>2020</v>
      </c>
      <c r="C2616" t="s">
        <v>21</v>
      </c>
      <c r="D2616">
        <v>471</v>
      </c>
      <c r="E2616">
        <v>384</v>
      </c>
      <c r="F2616">
        <v>24</v>
      </c>
      <c r="G2616">
        <v>11</v>
      </c>
      <c r="H2616">
        <v>11</v>
      </c>
      <c r="I2616">
        <v>15</v>
      </c>
      <c r="J2616">
        <v>122.66</v>
      </c>
      <c r="K2616">
        <v>42.82</v>
      </c>
      <c r="L2616">
        <f>_xlfn.XLOOKUP(C2616, dim_teams[team_name], dim_teams[team_id], "Not found", 0)</f>
        <v>2</v>
      </c>
    </row>
    <row r="2617" spans="1:12" x14ac:dyDescent="0.3">
      <c r="A2617" t="s">
        <v>688</v>
      </c>
      <c r="B2617">
        <v>2021</v>
      </c>
      <c r="C2617" t="s">
        <v>21</v>
      </c>
      <c r="D2617">
        <v>405</v>
      </c>
      <c r="E2617">
        <v>337</v>
      </c>
      <c r="F2617">
        <v>43</v>
      </c>
      <c r="G2617">
        <v>9</v>
      </c>
      <c r="H2617">
        <v>14</v>
      </c>
      <c r="I2617">
        <v>15</v>
      </c>
      <c r="J2617">
        <v>120.18</v>
      </c>
      <c r="K2617">
        <v>28.93</v>
      </c>
      <c r="L2617">
        <f>_xlfn.XLOOKUP(C2617, dim_teams[team_name], dim_teams[team_id], "Not found", 0)</f>
        <v>2</v>
      </c>
    </row>
    <row r="2618" spans="1:12" x14ac:dyDescent="0.3">
      <c r="A2618" t="s">
        <v>688</v>
      </c>
      <c r="B2618">
        <v>2022</v>
      </c>
      <c r="C2618" t="s">
        <v>21</v>
      </c>
      <c r="D2618">
        <v>341</v>
      </c>
      <c r="E2618">
        <v>294</v>
      </c>
      <c r="F2618">
        <v>32</v>
      </c>
      <c r="G2618">
        <v>8</v>
      </c>
      <c r="H2618">
        <v>16</v>
      </c>
      <c r="I2618">
        <v>16</v>
      </c>
      <c r="J2618">
        <v>115.99</v>
      </c>
      <c r="K2618">
        <v>21.31</v>
      </c>
      <c r="L2618">
        <f>_xlfn.XLOOKUP(C2618, dim_teams[team_name], dim_teams[team_id], "Not found", 0)</f>
        <v>2</v>
      </c>
    </row>
    <row r="2619" spans="1:12" x14ac:dyDescent="0.3">
      <c r="A2619" t="s">
        <v>688</v>
      </c>
      <c r="B2619">
        <v>2023</v>
      </c>
      <c r="C2619" t="s">
        <v>21</v>
      </c>
      <c r="D2619">
        <v>639</v>
      </c>
      <c r="E2619">
        <v>457</v>
      </c>
      <c r="F2619">
        <v>65</v>
      </c>
      <c r="G2619">
        <v>16</v>
      </c>
      <c r="H2619">
        <v>12</v>
      </c>
      <c r="I2619">
        <v>14</v>
      </c>
      <c r="J2619">
        <v>139.82</v>
      </c>
      <c r="K2619">
        <v>53.25</v>
      </c>
      <c r="L2619">
        <f>_xlfn.XLOOKUP(C2619, dim_teams[team_name], dim_teams[team_id], "Not found", 0)</f>
        <v>2</v>
      </c>
    </row>
    <row r="2620" spans="1:12" x14ac:dyDescent="0.3">
      <c r="A2620" t="s">
        <v>688</v>
      </c>
      <c r="B2620">
        <v>2024</v>
      </c>
      <c r="C2620" t="s">
        <v>102</v>
      </c>
      <c r="D2620">
        <v>741</v>
      </c>
      <c r="E2620">
        <v>479</v>
      </c>
      <c r="F2620">
        <v>62</v>
      </c>
      <c r="G2620">
        <v>38</v>
      </c>
      <c r="H2620">
        <v>13</v>
      </c>
      <c r="I2620">
        <v>15</v>
      </c>
      <c r="J2620">
        <v>154.69999999999999</v>
      </c>
      <c r="K2620">
        <v>57</v>
      </c>
      <c r="L2620">
        <f>_xlfn.XLOOKUP(C2620, dim_teams[team_name], dim_teams[team_id], "Not found", 0)</f>
        <v>19</v>
      </c>
    </row>
    <row r="2621" spans="1:12" x14ac:dyDescent="0.3">
      <c r="A2621" t="s">
        <v>688</v>
      </c>
      <c r="B2621">
        <v>2025</v>
      </c>
      <c r="C2621" t="s">
        <v>102</v>
      </c>
      <c r="D2621">
        <v>657</v>
      </c>
      <c r="E2621">
        <v>454</v>
      </c>
      <c r="F2621">
        <v>66</v>
      </c>
      <c r="G2621">
        <v>19</v>
      </c>
      <c r="H2621">
        <v>13</v>
      </c>
      <c r="I2621">
        <v>15</v>
      </c>
      <c r="J2621">
        <v>144.71</v>
      </c>
      <c r="K2621">
        <v>50.54</v>
      </c>
      <c r="L2621">
        <f>_xlfn.XLOOKUP(C2621, dim_teams[team_name], dim_teams[team_id], "Not found", 0)</f>
        <v>19</v>
      </c>
    </row>
    <row r="2622" spans="1:12" x14ac:dyDescent="0.3">
      <c r="A2622" t="s">
        <v>689</v>
      </c>
      <c r="B2622">
        <v>2025</v>
      </c>
      <c r="C2622" t="s">
        <v>33</v>
      </c>
      <c r="D2622">
        <v>142</v>
      </c>
      <c r="E2622">
        <v>78</v>
      </c>
      <c r="F2622">
        <v>16</v>
      </c>
      <c r="G2622">
        <v>8</v>
      </c>
      <c r="H2622">
        <v>5</v>
      </c>
      <c r="I2622">
        <v>8</v>
      </c>
      <c r="J2622">
        <v>182.05</v>
      </c>
      <c r="K2622">
        <v>28.4</v>
      </c>
      <c r="L2622">
        <f>_xlfn.XLOOKUP(C2622, dim_teams[team_name], dim_teams[team_id], "Not found", 0)</f>
        <v>15</v>
      </c>
    </row>
    <row r="2623" spans="1:12" x14ac:dyDescent="0.3">
      <c r="A2623" t="s">
        <v>690</v>
      </c>
      <c r="B2623">
        <v>2012</v>
      </c>
      <c r="C2623" t="s">
        <v>12</v>
      </c>
      <c r="D2623">
        <v>0</v>
      </c>
      <c r="E2623">
        <v>1</v>
      </c>
      <c r="F2623">
        <v>0</v>
      </c>
      <c r="G2623">
        <v>0</v>
      </c>
      <c r="H2623">
        <v>1</v>
      </c>
      <c r="I2623">
        <v>1</v>
      </c>
      <c r="J2623">
        <v>0</v>
      </c>
      <c r="K2623">
        <v>0</v>
      </c>
      <c r="L2623">
        <f>_xlfn.XLOOKUP(C2623, dim_teams[team_name], dim_teams[team_id], "Not found", 0)</f>
        <v>8</v>
      </c>
    </row>
    <row r="2624" spans="1:12" x14ac:dyDescent="0.3">
      <c r="A2624" t="s">
        <v>691</v>
      </c>
      <c r="B2624">
        <v>2008</v>
      </c>
      <c r="C2624" t="s">
        <v>32</v>
      </c>
      <c r="D2624">
        <v>406</v>
      </c>
      <c r="E2624">
        <v>216</v>
      </c>
      <c r="F2624">
        <v>46</v>
      </c>
      <c r="G2624">
        <v>21</v>
      </c>
      <c r="H2624">
        <v>12</v>
      </c>
      <c r="I2624">
        <v>14</v>
      </c>
      <c r="J2624">
        <v>187.96</v>
      </c>
      <c r="K2624">
        <v>33.83</v>
      </c>
      <c r="L2624">
        <f>_xlfn.XLOOKUP(C2624, dim_teams[team_name], dim_teams[team_id], "Not found", 0)</f>
        <v>6</v>
      </c>
    </row>
    <row r="2625" spans="1:12" x14ac:dyDescent="0.3">
      <c r="A2625" t="s">
        <v>691</v>
      </c>
      <c r="B2625">
        <v>2009</v>
      </c>
      <c r="C2625" t="s">
        <v>32</v>
      </c>
      <c r="D2625">
        <v>198</v>
      </c>
      <c r="E2625">
        <v>134</v>
      </c>
      <c r="F2625">
        <v>24</v>
      </c>
      <c r="G2625">
        <v>7</v>
      </c>
      <c r="H2625">
        <v>10</v>
      </c>
      <c r="I2625">
        <v>11</v>
      </c>
      <c r="J2625">
        <v>147.76</v>
      </c>
      <c r="K2625">
        <v>19.8</v>
      </c>
      <c r="L2625">
        <f>_xlfn.XLOOKUP(C2625, dim_teams[team_name], dim_teams[team_id], "Not found", 0)</f>
        <v>6</v>
      </c>
    </row>
    <row r="2626" spans="1:12" x14ac:dyDescent="0.3">
      <c r="A2626" t="s">
        <v>691</v>
      </c>
      <c r="B2626">
        <v>2010</v>
      </c>
      <c r="C2626" t="s">
        <v>32</v>
      </c>
      <c r="D2626">
        <v>356</v>
      </c>
      <c r="E2626">
        <v>217</v>
      </c>
      <c r="F2626">
        <v>47</v>
      </c>
      <c r="G2626">
        <v>14</v>
      </c>
      <c r="H2626">
        <v>14</v>
      </c>
      <c r="I2626">
        <v>14</v>
      </c>
      <c r="J2626">
        <v>164.06</v>
      </c>
      <c r="K2626">
        <v>25.43</v>
      </c>
      <c r="L2626">
        <f>_xlfn.XLOOKUP(C2626, dim_teams[team_name], dim_teams[team_id], "Not found", 0)</f>
        <v>6</v>
      </c>
    </row>
    <row r="2627" spans="1:12" x14ac:dyDescent="0.3">
      <c r="A2627" t="s">
        <v>691</v>
      </c>
      <c r="B2627">
        <v>2011</v>
      </c>
      <c r="C2627" t="s">
        <v>32</v>
      </c>
      <c r="D2627">
        <v>424</v>
      </c>
      <c r="E2627">
        <v>239</v>
      </c>
      <c r="F2627">
        <v>51</v>
      </c>
      <c r="G2627">
        <v>18</v>
      </c>
      <c r="H2627">
        <v>9</v>
      </c>
      <c r="I2627">
        <v>11</v>
      </c>
      <c r="J2627">
        <v>177.41</v>
      </c>
      <c r="K2627">
        <v>47.11</v>
      </c>
      <c r="L2627">
        <f>_xlfn.XLOOKUP(C2627, dim_teams[team_name], dim_teams[team_id], "Not found", 0)</f>
        <v>6</v>
      </c>
    </row>
    <row r="2628" spans="1:12" x14ac:dyDescent="0.3">
      <c r="A2628" t="s">
        <v>691</v>
      </c>
      <c r="B2628">
        <v>2012</v>
      </c>
      <c r="C2628" t="s">
        <v>32</v>
      </c>
      <c r="D2628">
        <v>495</v>
      </c>
      <c r="E2628">
        <v>307</v>
      </c>
      <c r="F2628">
        <v>57</v>
      </c>
      <c r="G2628">
        <v>19</v>
      </c>
      <c r="H2628">
        <v>16</v>
      </c>
      <c r="I2628">
        <v>16</v>
      </c>
      <c r="J2628">
        <v>161.24</v>
      </c>
      <c r="K2628">
        <v>30.94</v>
      </c>
      <c r="L2628">
        <f>_xlfn.XLOOKUP(C2628, dim_teams[team_name], dim_teams[team_id], "Not found", 0)</f>
        <v>6</v>
      </c>
    </row>
    <row r="2629" spans="1:12" x14ac:dyDescent="0.3">
      <c r="A2629" t="s">
        <v>691</v>
      </c>
      <c r="B2629">
        <v>2013</v>
      </c>
      <c r="C2629" t="s">
        <v>32</v>
      </c>
      <c r="D2629">
        <v>295</v>
      </c>
      <c r="E2629">
        <v>229</v>
      </c>
      <c r="F2629">
        <v>41</v>
      </c>
      <c r="G2629">
        <v>6</v>
      </c>
      <c r="H2629">
        <v>12</v>
      </c>
      <c r="I2629">
        <v>13</v>
      </c>
      <c r="J2629">
        <v>128.82</v>
      </c>
      <c r="K2629">
        <v>24.58</v>
      </c>
      <c r="L2629">
        <f>_xlfn.XLOOKUP(C2629, dim_teams[team_name], dim_teams[team_id], "Not found", 0)</f>
        <v>6</v>
      </c>
    </row>
    <row r="2630" spans="1:12" x14ac:dyDescent="0.3">
      <c r="A2630" t="s">
        <v>691</v>
      </c>
      <c r="B2630">
        <v>2014</v>
      </c>
      <c r="C2630" t="s">
        <v>54</v>
      </c>
      <c r="D2630">
        <v>455</v>
      </c>
      <c r="E2630">
        <v>314</v>
      </c>
      <c r="F2630">
        <v>56</v>
      </c>
      <c r="G2630">
        <v>18</v>
      </c>
      <c r="H2630">
        <v>18</v>
      </c>
      <c r="I2630">
        <v>17</v>
      </c>
      <c r="J2630">
        <v>144.9</v>
      </c>
      <c r="K2630">
        <v>25.28</v>
      </c>
      <c r="L2630">
        <f>_xlfn.XLOOKUP(C2630, dim_teams[team_name], dim_teams[team_id], "Not found", 0)</f>
        <v>4</v>
      </c>
    </row>
    <row r="2631" spans="1:12" x14ac:dyDescent="0.3">
      <c r="A2631" t="s">
        <v>691</v>
      </c>
      <c r="B2631">
        <v>2015</v>
      </c>
      <c r="C2631" t="s">
        <v>54</v>
      </c>
      <c r="D2631">
        <v>99</v>
      </c>
      <c r="E2631">
        <v>84</v>
      </c>
      <c r="F2631">
        <v>12</v>
      </c>
      <c r="G2631">
        <v>3</v>
      </c>
      <c r="H2631">
        <v>7</v>
      </c>
      <c r="I2631">
        <v>8</v>
      </c>
      <c r="J2631">
        <v>117.86</v>
      </c>
      <c r="K2631">
        <v>14.14</v>
      </c>
      <c r="L2631">
        <f>_xlfn.XLOOKUP(C2631, dim_teams[team_name], dim_teams[team_id], "Not found", 0)</f>
        <v>4</v>
      </c>
    </row>
    <row r="2632" spans="1:12" x14ac:dyDescent="0.3">
      <c r="A2632" t="s">
        <v>692</v>
      </c>
      <c r="B2632">
        <v>2017</v>
      </c>
      <c r="C2632" t="s">
        <v>13</v>
      </c>
      <c r="D2632">
        <v>101</v>
      </c>
      <c r="E2632">
        <v>75</v>
      </c>
      <c r="F2632">
        <v>12</v>
      </c>
      <c r="G2632">
        <v>1</v>
      </c>
      <c r="H2632">
        <v>2</v>
      </c>
      <c r="I2632">
        <v>4</v>
      </c>
      <c r="J2632">
        <v>134.66999999999999</v>
      </c>
      <c r="K2632">
        <v>50.5</v>
      </c>
      <c r="L2632">
        <f>_xlfn.XLOOKUP(C2632, dim_teams[team_name], dim_teams[team_id], "Not found", 0)</f>
        <v>11</v>
      </c>
    </row>
    <row r="2633" spans="1:12" x14ac:dyDescent="0.3">
      <c r="A2633" t="s">
        <v>692</v>
      </c>
      <c r="B2633">
        <v>2018</v>
      </c>
      <c r="C2633" t="s">
        <v>32</v>
      </c>
      <c r="D2633">
        <v>212</v>
      </c>
      <c r="E2633">
        <v>147</v>
      </c>
      <c r="F2633">
        <v>11</v>
      </c>
      <c r="G2633">
        <v>11</v>
      </c>
      <c r="H2633">
        <v>4</v>
      </c>
      <c r="I2633">
        <v>9</v>
      </c>
      <c r="J2633">
        <v>144.22</v>
      </c>
      <c r="K2633">
        <v>53</v>
      </c>
      <c r="L2633">
        <f>_xlfn.XLOOKUP(C2633, dim_teams[team_name], dim_teams[team_id], "Not found", 0)</f>
        <v>6</v>
      </c>
    </row>
    <row r="2634" spans="1:12" x14ac:dyDescent="0.3">
      <c r="A2634" t="s">
        <v>692</v>
      </c>
      <c r="B2634">
        <v>2019</v>
      </c>
      <c r="C2634" t="s">
        <v>13</v>
      </c>
      <c r="D2634">
        <v>244</v>
      </c>
      <c r="E2634">
        <v>193</v>
      </c>
      <c r="F2634">
        <v>11</v>
      </c>
      <c r="G2634">
        <v>12</v>
      </c>
      <c r="H2634">
        <v>11</v>
      </c>
      <c r="I2634">
        <v>14</v>
      </c>
      <c r="J2634">
        <v>126.42</v>
      </c>
      <c r="K2634">
        <v>22.18</v>
      </c>
      <c r="L2634">
        <f>_xlfn.XLOOKUP(C2634, dim_teams[team_name], dim_teams[team_id], "Not found", 0)</f>
        <v>11</v>
      </c>
    </row>
    <row r="2635" spans="1:12" x14ac:dyDescent="0.3">
      <c r="A2635" t="s">
        <v>692</v>
      </c>
      <c r="B2635">
        <v>2020</v>
      </c>
      <c r="C2635" t="s">
        <v>13</v>
      </c>
      <c r="D2635">
        <v>97</v>
      </c>
      <c r="E2635">
        <v>96</v>
      </c>
      <c r="F2635">
        <v>10</v>
      </c>
      <c r="G2635">
        <v>1</v>
      </c>
      <c r="H2635">
        <v>4</v>
      </c>
      <c r="I2635">
        <v>5</v>
      </c>
      <c r="J2635">
        <v>101.04</v>
      </c>
      <c r="K2635">
        <v>24.25</v>
      </c>
      <c r="L2635">
        <f>_xlfn.XLOOKUP(C2635, dim_teams[team_name], dim_teams[team_id], "Not found", 0)</f>
        <v>11</v>
      </c>
    </row>
    <row r="2636" spans="1:12" x14ac:dyDescent="0.3">
      <c r="A2636" t="s">
        <v>692</v>
      </c>
      <c r="B2636">
        <v>2021</v>
      </c>
      <c r="C2636" t="s">
        <v>13</v>
      </c>
      <c r="D2636">
        <v>58</v>
      </c>
      <c r="E2636">
        <v>52</v>
      </c>
      <c r="F2636">
        <v>1</v>
      </c>
      <c r="G2636">
        <v>3</v>
      </c>
      <c r="H2636">
        <v>5</v>
      </c>
      <c r="I2636">
        <v>5</v>
      </c>
      <c r="J2636">
        <v>111.54</v>
      </c>
      <c r="K2636">
        <v>11.6</v>
      </c>
      <c r="L2636">
        <f>_xlfn.XLOOKUP(C2636, dim_teams[team_name], dim_teams[team_id], "Not found", 0)</f>
        <v>11</v>
      </c>
    </row>
    <row r="2637" spans="1:12" x14ac:dyDescent="0.3">
      <c r="A2637" t="s">
        <v>692</v>
      </c>
      <c r="B2637">
        <v>2022</v>
      </c>
      <c r="C2637" t="s">
        <v>29</v>
      </c>
      <c r="D2637">
        <v>19</v>
      </c>
      <c r="E2637">
        <v>35</v>
      </c>
      <c r="F2637">
        <v>1</v>
      </c>
      <c r="G2637">
        <v>0</v>
      </c>
      <c r="H2637">
        <v>4</v>
      </c>
      <c r="I2637">
        <v>4</v>
      </c>
      <c r="J2637">
        <v>54.29</v>
      </c>
      <c r="K2637">
        <v>4.75</v>
      </c>
      <c r="L2637">
        <f>_xlfn.XLOOKUP(C2637, dim_teams[team_name], dim_teams[team_id], "Not found", 0)</f>
        <v>18</v>
      </c>
    </row>
    <row r="2638" spans="1:12" x14ac:dyDescent="0.3">
      <c r="A2638" t="s">
        <v>692</v>
      </c>
      <c r="B2638">
        <v>2023</v>
      </c>
      <c r="C2638" t="s">
        <v>29</v>
      </c>
      <c r="D2638">
        <v>301</v>
      </c>
      <c r="E2638">
        <v>187</v>
      </c>
      <c r="F2638">
        <v>27</v>
      </c>
      <c r="G2638">
        <v>15</v>
      </c>
      <c r="H2638">
        <v>8</v>
      </c>
      <c r="I2638">
        <v>10</v>
      </c>
      <c r="J2638">
        <v>160.96</v>
      </c>
      <c r="K2638">
        <v>37.619999999999997</v>
      </c>
      <c r="L2638">
        <f>_xlfn.XLOOKUP(C2638, dim_teams[team_name], dim_teams[team_id], "Not found", 0)</f>
        <v>18</v>
      </c>
    </row>
    <row r="2639" spans="1:12" x14ac:dyDescent="0.3">
      <c r="A2639" t="s">
        <v>692</v>
      </c>
      <c r="B2639">
        <v>2024</v>
      </c>
      <c r="C2639" t="s">
        <v>29</v>
      </c>
      <c r="D2639">
        <v>83</v>
      </c>
      <c r="E2639">
        <v>72</v>
      </c>
      <c r="F2639">
        <v>7</v>
      </c>
      <c r="G2639">
        <v>2</v>
      </c>
      <c r="H2639">
        <v>5</v>
      </c>
      <c r="I2639">
        <v>7</v>
      </c>
      <c r="J2639">
        <v>115.28</v>
      </c>
      <c r="K2639">
        <v>16.600000000000001</v>
      </c>
      <c r="L2639">
        <f>_xlfn.XLOOKUP(C2639, dim_teams[team_name], dim_teams[team_id], "Not found", 0)</f>
        <v>18</v>
      </c>
    </row>
    <row r="2640" spans="1:12" x14ac:dyDescent="0.3">
      <c r="A2640" t="s">
        <v>692</v>
      </c>
      <c r="B2640">
        <v>2025</v>
      </c>
      <c r="C2640" t="s">
        <v>25</v>
      </c>
      <c r="D2640">
        <v>118</v>
      </c>
      <c r="E2640">
        <v>90</v>
      </c>
      <c r="F2640">
        <v>8</v>
      </c>
      <c r="G2640">
        <v>3</v>
      </c>
      <c r="H2640">
        <v>3</v>
      </c>
      <c r="I2640">
        <v>5</v>
      </c>
      <c r="J2640">
        <v>131.11000000000001</v>
      </c>
      <c r="K2640">
        <v>39.33</v>
      </c>
      <c r="L2640">
        <f>_xlfn.XLOOKUP(C2640, dim_teams[team_name], dim_teams[team_id], "Not found", 0)</f>
        <v>3</v>
      </c>
    </row>
    <row r="2641" spans="1:12" x14ac:dyDescent="0.3">
      <c r="A2641" t="s">
        <v>693</v>
      </c>
      <c r="B2641">
        <v>2025</v>
      </c>
      <c r="C2641" t="s">
        <v>17</v>
      </c>
      <c r="D2641">
        <v>252</v>
      </c>
      <c r="E2641">
        <v>121</v>
      </c>
      <c r="F2641">
        <v>18</v>
      </c>
      <c r="G2641">
        <v>24</v>
      </c>
      <c r="H2641">
        <v>7</v>
      </c>
      <c r="I2641">
        <v>7</v>
      </c>
      <c r="J2641">
        <v>208.26</v>
      </c>
      <c r="K2641">
        <v>36</v>
      </c>
      <c r="L2641">
        <f>_xlfn.XLOOKUP(C2641, dim_teams[team_name], dim_teams[team_id], "Not found", 0)</f>
        <v>5</v>
      </c>
    </row>
    <row r="2642" spans="1:12" x14ac:dyDescent="0.3">
      <c r="A2642" t="s">
        <v>694</v>
      </c>
      <c r="B2642">
        <v>2024</v>
      </c>
      <c r="C2642" t="s">
        <v>13</v>
      </c>
      <c r="D2642">
        <v>7</v>
      </c>
      <c r="E2642">
        <v>5</v>
      </c>
      <c r="F2642">
        <v>0</v>
      </c>
      <c r="G2642">
        <v>0</v>
      </c>
      <c r="H2642">
        <v>0</v>
      </c>
      <c r="I2642">
        <v>1</v>
      </c>
      <c r="J2642">
        <v>140</v>
      </c>
      <c r="L2642">
        <f>_xlfn.XLOOKUP(C2642, dim_teams[team_name], dim_teams[team_id], "Not found", 0)</f>
        <v>11</v>
      </c>
    </row>
    <row r="2643" spans="1:12" x14ac:dyDescent="0.3">
      <c r="A2643" t="s">
        <v>695</v>
      </c>
      <c r="B2643">
        <v>2022</v>
      </c>
      <c r="C2643" t="s">
        <v>76</v>
      </c>
      <c r="D2643">
        <v>5</v>
      </c>
      <c r="E2643">
        <v>13</v>
      </c>
      <c r="F2643">
        <v>0</v>
      </c>
      <c r="G2643">
        <v>0</v>
      </c>
      <c r="H2643">
        <v>2</v>
      </c>
      <c r="I2643">
        <v>4</v>
      </c>
      <c r="J2643">
        <v>38.46</v>
      </c>
      <c r="K2643">
        <v>2.5</v>
      </c>
      <c r="L2643">
        <f>_xlfn.XLOOKUP(C2643, dim_teams[team_name], dim_teams[team_id], "Not found", 0)</f>
        <v>16</v>
      </c>
    </row>
    <row r="2644" spans="1:12" x14ac:dyDescent="0.3">
      <c r="A2644" t="s">
        <v>695</v>
      </c>
      <c r="B2644">
        <v>2023</v>
      </c>
      <c r="C2644" t="s">
        <v>19</v>
      </c>
      <c r="D2644">
        <v>3</v>
      </c>
      <c r="E2644">
        <v>2</v>
      </c>
      <c r="F2644">
        <v>0</v>
      </c>
      <c r="G2644">
        <v>0</v>
      </c>
      <c r="H2644">
        <v>0</v>
      </c>
      <c r="I2644">
        <v>2</v>
      </c>
      <c r="J2644">
        <v>150</v>
      </c>
      <c r="L2644">
        <f>_xlfn.XLOOKUP(C2644, dim_teams[team_name], dim_teams[team_id], "Not found", 0)</f>
        <v>1</v>
      </c>
    </row>
    <row r="2645" spans="1:12" x14ac:dyDescent="0.3">
      <c r="A2645" t="s">
        <v>695</v>
      </c>
      <c r="B2645">
        <v>2024</v>
      </c>
      <c r="C2645" t="s">
        <v>19</v>
      </c>
      <c r="D2645">
        <v>1</v>
      </c>
      <c r="E2645">
        <v>1</v>
      </c>
      <c r="F2645">
        <v>0</v>
      </c>
      <c r="G2645">
        <v>0</v>
      </c>
      <c r="H2645">
        <v>0</v>
      </c>
      <c r="I2645">
        <v>1</v>
      </c>
      <c r="J2645">
        <v>100</v>
      </c>
      <c r="L2645">
        <f>_xlfn.XLOOKUP(C2645, dim_teams[team_name], dim_teams[team_id], "Not found", 0)</f>
        <v>1</v>
      </c>
    </row>
    <row r="2646" spans="1:12" x14ac:dyDescent="0.3">
      <c r="A2646" t="s">
        <v>695</v>
      </c>
      <c r="B2646">
        <v>2025</v>
      </c>
      <c r="C2646" t="s">
        <v>19</v>
      </c>
      <c r="D2646">
        <v>0</v>
      </c>
      <c r="E2646">
        <v>8</v>
      </c>
      <c r="F2646">
        <v>0</v>
      </c>
      <c r="G2646">
        <v>0</v>
      </c>
      <c r="H2646">
        <v>2</v>
      </c>
      <c r="I2646">
        <v>2</v>
      </c>
      <c r="J2646">
        <v>0</v>
      </c>
      <c r="K2646">
        <v>0</v>
      </c>
      <c r="L2646">
        <f>_xlfn.XLOOKUP(C2646, dim_teams[team_name], dim_teams[team_id], "Not found", 0)</f>
        <v>1</v>
      </c>
    </row>
    <row r="2647" spans="1:12" x14ac:dyDescent="0.3">
      <c r="A2647" t="s">
        <v>696</v>
      </c>
      <c r="B2647">
        <v>2014</v>
      </c>
      <c r="C2647" t="s">
        <v>21</v>
      </c>
      <c r="D2647">
        <v>29</v>
      </c>
      <c r="E2647">
        <v>26</v>
      </c>
      <c r="F2647">
        <v>3</v>
      </c>
      <c r="G2647">
        <v>1</v>
      </c>
      <c r="H2647">
        <v>2</v>
      </c>
      <c r="I2647">
        <v>2</v>
      </c>
      <c r="J2647">
        <v>111.54</v>
      </c>
      <c r="K2647">
        <v>14.5</v>
      </c>
      <c r="L2647">
        <f>_xlfn.XLOOKUP(C2647, dim_teams[team_name], dim_teams[team_id], "Not found", 0)</f>
        <v>2</v>
      </c>
    </row>
    <row r="2648" spans="1:12" x14ac:dyDescent="0.3">
      <c r="A2648" t="s">
        <v>697</v>
      </c>
      <c r="B2648">
        <v>2011</v>
      </c>
      <c r="C2648" t="s">
        <v>32</v>
      </c>
      <c r="D2648">
        <v>0</v>
      </c>
      <c r="E2648">
        <v>5</v>
      </c>
      <c r="F2648">
        <v>0</v>
      </c>
      <c r="G2648">
        <v>0</v>
      </c>
      <c r="H2648">
        <v>0</v>
      </c>
      <c r="I2648">
        <v>1</v>
      </c>
      <c r="J2648">
        <v>0</v>
      </c>
      <c r="L2648">
        <f>_xlfn.XLOOKUP(C2648, dim_teams[team_name], dim_teams[team_id], "Not found", 0)</f>
        <v>6</v>
      </c>
    </row>
    <row r="2649" spans="1:12" x14ac:dyDescent="0.3">
      <c r="A2649" t="s">
        <v>697</v>
      </c>
      <c r="B2649">
        <v>2012</v>
      </c>
      <c r="C2649" t="s">
        <v>32</v>
      </c>
      <c r="D2649">
        <v>1</v>
      </c>
      <c r="E2649">
        <v>3</v>
      </c>
      <c r="F2649">
        <v>0</v>
      </c>
      <c r="G2649">
        <v>0</v>
      </c>
      <c r="H2649">
        <v>1</v>
      </c>
      <c r="I2649">
        <v>2</v>
      </c>
      <c r="J2649">
        <v>33.33</v>
      </c>
      <c r="K2649">
        <v>1</v>
      </c>
      <c r="L2649">
        <f>_xlfn.XLOOKUP(C2649, dim_teams[team_name], dim_teams[team_id], "Not found", 0)</f>
        <v>6</v>
      </c>
    </row>
    <row r="2650" spans="1:12" x14ac:dyDescent="0.3">
      <c r="A2650" t="s">
        <v>697</v>
      </c>
      <c r="B2650">
        <v>2014</v>
      </c>
      <c r="C2650" t="s">
        <v>21</v>
      </c>
      <c r="D2650">
        <v>35</v>
      </c>
      <c r="E2650">
        <v>33</v>
      </c>
      <c r="F2650">
        <v>2</v>
      </c>
      <c r="G2650">
        <v>1</v>
      </c>
      <c r="H2650">
        <v>0</v>
      </c>
      <c r="I2650">
        <v>3</v>
      </c>
      <c r="J2650">
        <v>106.06</v>
      </c>
      <c r="L2650">
        <f>_xlfn.XLOOKUP(C2650, dim_teams[team_name], dim_teams[team_id], "Not found", 0)</f>
        <v>2</v>
      </c>
    </row>
    <row r="2651" spans="1:12" x14ac:dyDescent="0.3">
      <c r="A2651" t="s">
        <v>697</v>
      </c>
      <c r="B2651">
        <v>2015</v>
      </c>
      <c r="C2651" t="s">
        <v>21</v>
      </c>
      <c r="D2651">
        <v>6</v>
      </c>
      <c r="E2651">
        <v>3</v>
      </c>
      <c r="F2651">
        <v>0</v>
      </c>
      <c r="G2651">
        <v>1</v>
      </c>
      <c r="H2651">
        <v>1</v>
      </c>
      <c r="I2651">
        <v>1</v>
      </c>
      <c r="J2651">
        <v>200</v>
      </c>
      <c r="K2651">
        <v>6</v>
      </c>
      <c r="L2651">
        <f>_xlfn.XLOOKUP(C2651, dim_teams[team_name], dim_teams[team_id], "Not found", 0)</f>
        <v>2</v>
      </c>
    </row>
    <row r="2652" spans="1:12" x14ac:dyDescent="0.3">
      <c r="A2652" t="s">
        <v>697</v>
      </c>
      <c r="B2652">
        <v>2017</v>
      </c>
      <c r="C2652" t="s">
        <v>54</v>
      </c>
      <c r="D2652">
        <v>4</v>
      </c>
      <c r="E2652">
        <v>10</v>
      </c>
      <c r="F2652">
        <v>0</v>
      </c>
      <c r="G2652">
        <v>0</v>
      </c>
      <c r="H2652">
        <v>1</v>
      </c>
      <c r="I2652">
        <v>2</v>
      </c>
      <c r="J2652">
        <v>40</v>
      </c>
      <c r="K2652">
        <v>4</v>
      </c>
      <c r="L2652">
        <f>_xlfn.XLOOKUP(C2652, dim_teams[team_name], dim_teams[team_id], "Not found", 0)</f>
        <v>4</v>
      </c>
    </row>
    <row r="2653" spans="1:12" x14ac:dyDescent="0.3">
      <c r="A2653" t="s">
        <v>697</v>
      </c>
      <c r="B2653">
        <v>2019</v>
      </c>
      <c r="C2653" t="s">
        <v>17</v>
      </c>
      <c r="D2653">
        <v>3</v>
      </c>
      <c r="E2653">
        <v>7</v>
      </c>
      <c r="F2653">
        <v>0</v>
      </c>
      <c r="G2653">
        <v>0</v>
      </c>
      <c r="H2653">
        <v>0</v>
      </c>
      <c r="I2653">
        <v>1</v>
      </c>
      <c r="J2653">
        <v>42.86</v>
      </c>
      <c r="L2653">
        <f>_xlfn.XLOOKUP(C2653, dim_teams[team_name], dim_teams[team_id], "Not found", 0)</f>
        <v>5</v>
      </c>
    </row>
    <row r="2654" spans="1:12" x14ac:dyDescent="0.3">
      <c r="A2654" t="s">
        <v>697</v>
      </c>
      <c r="B2654">
        <v>2020</v>
      </c>
      <c r="C2654" t="s">
        <v>17</v>
      </c>
      <c r="D2654">
        <v>1</v>
      </c>
      <c r="E2654">
        <v>10</v>
      </c>
      <c r="F2654">
        <v>0</v>
      </c>
      <c r="G2654">
        <v>0</v>
      </c>
      <c r="H2654">
        <v>1</v>
      </c>
      <c r="I2654">
        <v>2</v>
      </c>
      <c r="J2654">
        <v>10</v>
      </c>
      <c r="K2654">
        <v>1</v>
      </c>
      <c r="L2654">
        <f>_xlfn.XLOOKUP(C2654, dim_teams[team_name], dim_teams[team_id], "Not found", 0)</f>
        <v>5</v>
      </c>
    </row>
    <row r="2655" spans="1:12" x14ac:dyDescent="0.3">
      <c r="A2655" t="s">
        <v>698</v>
      </c>
      <c r="B2655">
        <v>2021</v>
      </c>
      <c r="C2655" t="s">
        <v>19</v>
      </c>
      <c r="D2655">
        <v>370</v>
      </c>
      <c r="E2655">
        <v>288</v>
      </c>
      <c r="F2655">
        <v>37</v>
      </c>
      <c r="G2655">
        <v>14</v>
      </c>
      <c r="H2655">
        <v>9</v>
      </c>
      <c r="I2655">
        <v>10</v>
      </c>
      <c r="J2655">
        <v>128.47</v>
      </c>
      <c r="K2655">
        <v>41.11</v>
      </c>
      <c r="L2655">
        <f>_xlfn.XLOOKUP(C2655, dim_teams[team_name], dim_teams[team_id], "Not found", 0)</f>
        <v>1</v>
      </c>
    </row>
    <row r="2656" spans="1:12" x14ac:dyDescent="0.3">
      <c r="A2656" t="s">
        <v>698</v>
      </c>
      <c r="B2656">
        <v>2022</v>
      </c>
      <c r="C2656" t="s">
        <v>19</v>
      </c>
      <c r="D2656">
        <v>182</v>
      </c>
      <c r="E2656">
        <v>169</v>
      </c>
      <c r="F2656">
        <v>17</v>
      </c>
      <c r="G2656">
        <v>7</v>
      </c>
      <c r="H2656">
        <v>11</v>
      </c>
      <c r="I2656">
        <v>12</v>
      </c>
      <c r="J2656">
        <v>107.69</v>
      </c>
      <c r="K2656">
        <v>16.55</v>
      </c>
      <c r="L2656">
        <f>_xlfn.XLOOKUP(C2656, dim_teams[team_name], dim_teams[team_id], "Not found", 0)</f>
        <v>1</v>
      </c>
    </row>
    <row r="2657" spans="1:12" x14ac:dyDescent="0.3">
      <c r="A2657" t="s">
        <v>698</v>
      </c>
      <c r="B2657">
        <v>2023</v>
      </c>
      <c r="C2657" t="s">
        <v>19</v>
      </c>
      <c r="D2657">
        <v>404</v>
      </c>
      <c r="E2657">
        <v>276</v>
      </c>
      <c r="F2657">
        <v>32</v>
      </c>
      <c r="G2657">
        <v>21</v>
      </c>
      <c r="H2657">
        <v>14</v>
      </c>
      <c r="I2657">
        <v>14</v>
      </c>
      <c r="J2657">
        <v>146.38</v>
      </c>
      <c r="K2657">
        <v>28.86</v>
      </c>
      <c r="L2657">
        <f>_xlfn.XLOOKUP(C2657, dim_teams[team_name], dim_teams[team_id], "Not found", 0)</f>
        <v>1</v>
      </c>
    </row>
    <row r="2658" spans="1:12" x14ac:dyDescent="0.3">
      <c r="A2658" t="s">
        <v>698</v>
      </c>
      <c r="B2658">
        <v>2024</v>
      </c>
      <c r="C2658" t="s">
        <v>19</v>
      </c>
      <c r="D2658">
        <v>370</v>
      </c>
      <c r="E2658">
        <v>233</v>
      </c>
      <c r="F2658">
        <v>35</v>
      </c>
      <c r="G2658">
        <v>19</v>
      </c>
      <c r="H2658">
        <v>9</v>
      </c>
      <c r="I2658">
        <v>13</v>
      </c>
      <c r="J2658">
        <v>158.80000000000001</v>
      </c>
      <c r="K2658">
        <v>41.11</v>
      </c>
      <c r="L2658">
        <f>_xlfn.XLOOKUP(C2658, dim_teams[team_name], dim_teams[team_id], "Not found", 0)</f>
        <v>1</v>
      </c>
    </row>
    <row r="2659" spans="1:12" x14ac:dyDescent="0.3">
      <c r="A2659" t="s">
        <v>698</v>
      </c>
      <c r="B2659">
        <v>2025</v>
      </c>
      <c r="C2659" t="s">
        <v>19</v>
      </c>
      <c r="D2659">
        <v>142</v>
      </c>
      <c r="E2659">
        <v>102</v>
      </c>
      <c r="F2659">
        <v>15</v>
      </c>
      <c r="G2659">
        <v>4</v>
      </c>
      <c r="H2659">
        <v>7</v>
      </c>
      <c r="I2659">
        <v>7</v>
      </c>
      <c r="J2659">
        <v>139.22</v>
      </c>
      <c r="K2659">
        <v>20.29</v>
      </c>
      <c r="L2659">
        <f>_xlfn.XLOOKUP(C2659, dim_teams[team_name], dim_teams[team_id], "Not found", 0)</f>
        <v>1</v>
      </c>
    </row>
    <row r="2660" spans="1:12" x14ac:dyDescent="0.3">
      <c r="A2660" t="s">
        <v>699</v>
      </c>
      <c r="B2660">
        <v>2008</v>
      </c>
      <c r="C2660" t="s">
        <v>54</v>
      </c>
      <c r="D2660">
        <v>4</v>
      </c>
      <c r="E2660">
        <v>3</v>
      </c>
      <c r="F2660">
        <v>1</v>
      </c>
      <c r="G2660">
        <v>0</v>
      </c>
      <c r="H2660">
        <v>1</v>
      </c>
      <c r="I2660">
        <v>2</v>
      </c>
      <c r="J2660">
        <v>133.33000000000001</v>
      </c>
      <c r="K2660">
        <v>4</v>
      </c>
      <c r="L2660">
        <f>_xlfn.XLOOKUP(C2660, dim_teams[team_name], dim_teams[team_id], "Not found", 0)</f>
        <v>4</v>
      </c>
    </row>
    <row r="2661" spans="1:12" x14ac:dyDescent="0.3">
      <c r="A2661" t="s">
        <v>700</v>
      </c>
      <c r="B2661">
        <v>2010</v>
      </c>
      <c r="C2661" t="s">
        <v>54</v>
      </c>
      <c r="D2661">
        <v>6</v>
      </c>
      <c r="E2661">
        <v>5</v>
      </c>
      <c r="F2661">
        <v>1</v>
      </c>
      <c r="G2661">
        <v>0</v>
      </c>
      <c r="H2661">
        <v>1</v>
      </c>
      <c r="I2661">
        <v>1</v>
      </c>
      <c r="J2661">
        <v>120</v>
      </c>
      <c r="K2661">
        <v>6</v>
      </c>
      <c r="L2661">
        <f>_xlfn.XLOOKUP(C2661, dim_teams[team_name], dim_teams[team_id], "Not found", 0)</f>
        <v>4</v>
      </c>
    </row>
    <row r="2662" spans="1:12" x14ac:dyDescent="0.3">
      <c r="A2662" t="s">
        <v>700</v>
      </c>
      <c r="B2662">
        <v>2014</v>
      </c>
      <c r="C2662" t="s">
        <v>17</v>
      </c>
      <c r="D2662">
        <v>1</v>
      </c>
      <c r="E2662">
        <v>2</v>
      </c>
      <c r="F2662">
        <v>0</v>
      </c>
      <c r="G2662">
        <v>0</v>
      </c>
      <c r="H2662">
        <v>0</v>
      </c>
      <c r="I2662">
        <v>1</v>
      </c>
      <c r="J2662">
        <v>50</v>
      </c>
      <c r="L2662">
        <f>_xlfn.XLOOKUP(C2662, dim_teams[team_name], dim_teams[team_id], "Not found", 0)</f>
        <v>5</v>
      </c>
    </row>
    <row r="2663" spans="1:12" x14ac:dyDescent="0.3">
      <c r="A2663" t="s">
        <v>701</v>
      </c>
      <c r="B2663">
        <v>2008</v>
      </c>
      <c r="C2663" t="s">
        <v>23</v>
      </c>
      <c r="D2663">
        <v>2</v>
      </c>
      <c r="E2663">
        <v>2</v>
      </c>
      <c r="F2663">
        <v>0</v>
      </c>
      <c r="G2663">
        <v>0</v>
      </c>
      <c r="H2663">
        <v>1</v>
      </c>
      <c r="I2663">
        <v>1</v>
      </c>
      <c r="J2663">
        <v>100</v>
      </c>
      <c r="K2663">
        <v>2</v>
      </c>
      <c r="L2663">
        <f>_xlfn.XLOOKUP(C2663, dim_teams[team_name], dim_teams[team_id], "Not found", 0)</f>
        <v>7</v>
      </c>
    </row>
    <row r="2664" spans="1:12" x14ac:dyDescent="0.3">
      <c r="A2664" t="s">
        <v>702</v>
      </c>
      <c r="B2664">
        <v>2008</v>
      </c>
      <c r="C2664" t="s">
        <v>12</v>
      </c>
      <c r="D2664">
        <v>155</v>
      </c>
      <c r="E2664">
        <v>132</v>
      </c>
      <c r="F2664">
        <v>22</v>
      </c>
      <c r="G2664">
        <v>1</v>
      </c>
      <c r="H2664">
        <v>5</v>
      </c>
      <c r="I2664">
        <v>6</v>
      </c>
      <c r="J2664">
        <v>117.42</v>
      </c>
      <c r="K2664">
        <v>31</v>
      </c>
      <c r="L2664">
        <f>_xlfn.XLOOKUP(C2664, dim_teams[team_name], dim_teams[team_id], "Not found", 0)</f>
        <v>8</v>
      </c>
    </row>
    <row r="2665" spans="1:12" x14ac:dyDescent="0.3">
      <c r="A2665" t="s">
        <v>702</v>
      </c>
      <c r="B2665">
        <v>2009</v>
      </c>
      <c r="C2665" t="s">
        <v>12</v>
      </c>
      <c r="D2665">
        <v>19</v>
      </c>
      <c r="E2665">
        <v>33</v>
      </c>
      <c r="F2665">
        <v>1</v>
      </c>
      <c r="G2665">
        <v>1</v>
      </c>
      <c r="H2665">
        <v>5</v>
      </c>
      <c r="I2665">
        <v>5</v>
      </c>
      <c r="J2665">
        <v>57.58</v>
      </c>
      <c r="K2665">
        <v>3.8</v>
      </c>
      <c r="L2665">
        <f>_xlfn.XLOOKUP(C2665, dim_teams[team_name], dim_teams[team_id], "Not found", 0)</f>
        <v>8</v>
      </c>
    </row>
    <row r="2666" spans="1:12" x14ac:dyDescent="0.3">
      <c r="A2666" t="s">
        <v>702</v>
      </c>
      <c r="B2666">
        <v>2010</v>
      </c>
      <c r="C2666" t="s">
        <v>12</v>
      </c>
      <c r="D2666">
        <v>64</v>
      </c>
      <c r="E2666">
        <v>60</v>
      </c>
      <c r="F2666">
        <v>7</v>
      </c>
      <c r="G2666">
        <v>1</v>
      </c>
      <c r="H2666">
        <v>4</v>
      </c>
      <c r="I2666">
        <v>6</v>
      </c>
      <c r="J2666">
        <v>106.67</v>
      </c>
      <c r="K2666">
        <v>16</v>
      </c>
      <c r="L2666">
        <f>_xlfn.XLOOKUP(C2666, dim_teams[team_name], dim_teams[team_id], "Not found", 0)</f>
        <v>8</v>
      </c>
    </row>
    <row r="2667" spans="1:12" x14ac:dyDescent="0.3">
      <c r="A2667" t="s">
        <v>702</v>
      </c>
      <c r="B2667">
        <v>2011</v>
      </c>
      <c r="C2667" t="s">
        <v>122</v>
      </c>
      <c r="D2667">
        <v>44</v>
      </c>
      <c r="E2667">
        <v>41</v>
      </c>
      <c r="F2667">
        <v>3</v>
      </c>
      <c r="G2667">
        <v>2</v>
      </c>
      <c r="H2667">
        <v>2</v>
      </c>
      <c r="I2667">
        <v>3</v>
      </c>
      <c r="J2667">
        <v>107.32</v>
      </c>
      <c r="K2667">
        <v>22</v>
      </c>
      <c r="L2667">
        <f>_xlfn.XLOOKUP(C2667, dim_teams[team_name], dim_teams[team_id], "Not found", 0)</f>
        <v>9</v>
      </c>
    </row>
    <row r="2668" spans="1:12" x14ac:dyDescent="0.3">
      <c r="A2668" t="s">
        <v>703</v>
      </c>
      <c r="B2668">
        <v>2008</v>
      </c>
      <c r="C2668" t="s">
        <v>32</v>
      </c>
      <c r="D2668">
        <v>15</v>
      </c>
      <c r="E2668">
        <v>27</v>
      </c>
      <c r="F2668">
        <v>0</v>
      </c>
      <c r="G2668">
        <v>0</v>
      </c>
      <c r="H2668">
        <v>2</v>
      </c>
      <c r="I2668">
        <v>5</v>
      </c>
      <c r="J2668">
        <v>55.56</v>
      </c>
      <c r="K2668">
        <v>7.5</v>
      </c>
      <c r="L2668">
        <f>_xlfn.XLOOKUP(C2668, dim_teams[team_name], dim_teams[team_id], "Not found", 0)</f>
        <v>6</v>
      </c>
    </row>
    <row r="2669" spans="1:12" x14ac:dyDescent="0.3">
      <c r="A2669" t="s">
        <v>704</v>
      </c>
      <c r="B2669">
        <v>2023</v>
      </c>
      <c r="C2669" t="s">
        <v>21</v>
      </c>
      <c r="D2669">
        <v>13</v>
      </c>
      <c r="E2669">
        <v>9</v>
      </c>
      <c r="F2669">
        <v>0</v>
      </c>
      <c r="G2669">
        <v>1</v>
      </c>
      <c r="H2669">
        <v>1</v>
      </c>
      <c r="I2669">
        <v>2</v>
      </c>
      <c r="J2669">
        <v>144.44</v>
      </c>
      <c r="K2669">
        <v>13</v>
      </c>
      <c r="L2669">
        <f>_xlfn.XLOOKUP(C2669, dim_teams[team_name], dim_teams[team_id], "Not found", 0)</f>
        <v>2</v>
      </c>
    </row>
    <row r="2670" spans="1:12" x14ac:dyDescent="0.3">
      <c r="A2670" t="s">
        <v>704</v>
      </c>
      <c r="B2670">
        <v>2024</v>
      </c>
      <c r="C2670" t="s">
        <v>102</v>
      </c>
      <c r="D2670">
        <v>1</v>
      </c>
      <c r="E2670">
        <v>3</v>
      </c>
      <c r="F2670">
        <v>0</v>
      </c>
      <c r="G2670">
        <v>0</v>
      </c>
      <c r="H2670">
        <v>1</v>
      </c>
      <c r="I2670">
        <v>2</v>
      </c>
      <c r="J2670">
        <v>33.33</v>
      </c>
      <c r="K2670">
        <v>1</v>
      </c>
      <c r="L2670">
        <f>_xlfn.XLOOKUP(C2670, dim_teams[team_name], dim_teams[team_id], "Not found", 0)</f>
        <v>19</v>
      </c>
    </row>
    <row r="2671" spans="1:12" x14ac:dyDescent="0.3">
      <c r="A2671" t="s">
        <v>705</v>
      </c>
      <c r="B2671">
        <v>2021</v>
      </c>
      <c r="C2671" t="s">
        <v>13</v>
      </c>
      <c r="D2671">
        <v>15</v>
      </c>
      <c r="E2671">
        <v>26</v>
      </c>
      <c r="F2671">
        <v>1</v>
      </c>
      <c r="G2671">
        <v>0</v>
      </c>
      <c r="H2671">
        <v>3</v>
      </c>
      <c r="I2671">
        <v>2</v>
      </c>
      <c r="J2671">
        <v>57.69</v>
      </c>
      <c r="K2671">
        <v>5</v>
      </c>
      <c r="L2671">
        <f>_xlfn.XLOOKUP(C2671, dim_teams[team_name], dim_teams[team_id], "Not found", 0)</f>
        <v>11</v>
      </c>
    </row>
    <row r="2672" spans="1:12" x14ac:dyDescent="0.3">
      <c r="A2672" t="s">
        <v>706</v>
      </c>
      <c r="B2672">
        <v>2017</v>
      </c>
      <c r="C2672" t="s">
        <v>21</v>
      </c>
      <c r="D2672">
        <v>19</v>
      </c>
      <c r="E2672">
        <v>26</v>
      </c>
      <c r="F2672">
        <v>1</v>
      </c>
      <c r="G2672">
        <v>1</v>
      </c>
      <c r="H2672">
        <v>3</v>
      </c>
      <c r="I2672">
        <v>3</v>
      </c>
      <c r="J2672">
        <v>73.08</v>
      </c>
      <c r="K2672">
        <v>6.33</v>
      </c>
      <c r="L2672">
        <f>_xlfn.XLOOKUP(C2672, dim_teams[team_name], dim_teams[team_id], "Not found", 0)</f>
        <v>2</v>
      </c>
    </row>
    <row r="2673" spans="1:12" x14ac:dyDescent="0.3">
      <c r="A2673" t="s">
        <v>706</v>
      </c>
      <c r="B2673">
        <v>2023</v>
      </c>
      <c r="C2673" t="s">
        <v>23</v>
      </c>
      <c r="D2673">
        <v>37</v>
      </c>
      <c r="E2673">
        <v>30</v>
      </c>
      <c r="F2673">
        <v>2</v>
      </c>
      <c r="G2673">
        <v>2</v>
      </c>
      <c r="H2673">
        <v>3</v>
      </c>
      <c r="I2673">
        <v>3</v>
      </c>
      <c r="J2673">
        <v>123.33</v>
      </c>
      <c r="K2673">
        <v>12.33</v>
      </c>
      <c r="L2673">
        <f>_xlfn.XLOOKUP(C2673, dim_teams[team_name], dim_teams[team_id], "Not found", 0)</f>
        <v>7</v>
      </c>
    </row>
    <row r="2674" spans="1:12" x14ac:dyDescent="0.3">
      <c r="A2674" t="s">
        <v>707</v>
      </c>
      <c r="B2674">
        <v>2023</v>
      </c>
      <c r="C2674" t="s">
        <v>13</v>
      </c>
      <c r="D2674">
        <v>69</v>
      </c>
      <c r="E2674">
        <v>47</v>
      </c>
      <c r="F2674">
        <v>9</v>
      </c>
      <c r="G2674">
        <v>2</v>
      </c>
      <c r="H2674">
        <v>1</v>
      </c>
      <c r="I2674">
        <v>1</v>
      </c>
      <c r="J2674">
        <v>146.81</v>
      </c>
      <c r="K2674">
        <v>69</v>
      </c>
      <c r="L2674">
        <f>_xlfn.XLOOKUP(C2674, dim_teams[team_name], dim_teams[team_id], "Not found", 0)</f>
        <v>11</v>
      </c>
    </row>
    <row r="2675" spans="1:12" x14ac:dyDescent="0.3">
      <c r="A2675" t="s">
        <v>708</v>
      </c>
      <c r="B2675">
        <v>2008</v>
      </c>
      <c r="C2675" t="s">
        <v>21</v>
      </c>
      <c r="D2675">
        <v>115</v>
      </c>
      <c r="E2675">
        <v>104</v>
      </c>
      <c r="F2675">
        <v>12</v>
      </c>
      <c r="G2675">
        <v>3</v>
      </c>
      <c r="H2675">
        <v>5</v>
      </c>
      <c r="I2675">
        <v>6</v>
      </c>
      <c r="J2675">
        <v>110.58</v>
      </c>
      <c r="K2675">
        <v>23</v>
      </c>
      <c r="L2675">
        <f>_xlfn.XLOOKUP(C2675, dim_teams[team_name], dim_teams[team_id], "Not found", 0)</f>
        <v>2</v>
      </c>
    </row>
    <row r="2676" spans="1:12" x14ac:dyDescent="0.3">
      <c r="A2676" t="s">
        <v>708</v>
      </c>
      <c r="B2676">
        <v>2009</v>
      </c>
      <c r="C2676" t="s">
        <v>21</v>
      </c>
      <c r="D2676">
        <v>15</v>
      </c>
      <c r="E2676">
        <v>17</v>
      </c>
      <c r="F2676">
        <v>2</v>
      </c>
      <c r="G2676">
        <v>0</v>
      </c>
      <c r="H2676">
        <v>2</v>
      </c>
      <c r="I2676">
        <v>2</v>
      </c>
      <c r="J2676">
        <v>88.24</v>
      </c>
      <c r="K2676">
        <v>7.5</v>
      </c>
      <c r="L2676">
        <f>_xlfn.XLOOKUP(C2676, dim_teams[team_name], dim_teams[team_id], "Not found", 0)</f>
        <v>2</v>
      </c>
    </row>
    <row r="2677" spans="1:12" x14ac:dyDescent="0.3">
      <c r="A2677" t="s">
        <v>709</v>
      </c>
      <c r="B2677">
        <v>2008</v>
      </c>
      <c r="C2677" t="s">
        <v>54</v>
      </c>
      <c r="D2677">
        <v>26</v>
      </c>
      <c r="E2677">
        <v>27</v>
      </c>
      <c r="F2677">
        <v>2</v>
      </c>
      <c r="G2677">
        <v>0</v>
      </c>
      <c r="H2677">
        <v>1</v>
      </c>
      <c r="I2677">
        <v>2</v>
      </c>
      <c r="J2677">
        <v>96.3</v>
      </c>
      <c r="K2677">
        <v>26</v>
      </c>
      <c r="L2677">
        <f>_xlfn.XLOOKUP(C2677, dim_teams[team_name], dim_teams[team_id], "Not found", 0)</f>
        <v>4</v>
      </c>
    </row>
    <row r="2678" spans="1:12" x14ac:dyDescent="0.3">
      <c r="A2678" t="s">
        <v>709</v>
      </c>
      <c r="B2678">
        <v>2009</v>
      </c>
      <c r="C2678" t="s">
        <v>54</v>
      </c>
      <c r="D2678">
        <v>30</v>
      </c>
      <c r="E2678">
        <v>48</v>
      </c>
      <c r="F2678">
        <v>0</v>
      </c>
      <c r="G2678">
        <v>0</v>
      </c>
      <c r="H2678">
        <v>4</v>
      </c>
      <c r="I2678">
        <v>6</v>
      </c>
      <c r="J2678">
        <v>62.5</v>
      </c>
      <c r="K2678">
        <v>7.5</v>
      </c>
      <c r="L2678">
        <f>_xlfn.XLOOKUP(C2678, dim_teams[team_name], dim_teams[team_id], "Not found", 0)</f>
        <v>4</v>
      </c>
    </row>
    <row r="2679" spans="1:12" x14ac:dyDescent="0.3">
      <c r="A2679" t="s">
        <v>710</v>
      </c>
      <c r="B2679">
        <v>2011</v>
      </c>
      <c r="C2679" t="s">
        <v>37</v>
      </c>
      <c r="D2679">
        <v>37</v>
      </c>
      <c r="E2679">
        <v>39</v>
      </c>
      <c r="F2679">
        <v>2</v>
      </c>
      <c r="G2679">
        <v>1</v>
      </c>
      <c r="H2679">
        <v>3</v>
      </c>
      <c r="I2679">
        <v>5</v>
      </c>
      <c r="J2679">
        <v>94.87</v>
      </c>
      <c r="K2679">
        <v>12.33</v>
      </c>
      <c r="L2679">
        <f>_xlfn.XLOOKUP(C2679, dim_teams[team_name], dim_teams[team_id], "Not found", 0)</f>
        <v>10</v>
      </c>
    </row>
    <row r="2680" spans="1:12" x14ac:dyDescent="0.3">
      <c r="A2680" t="s">
        <v>710</v>
      </c>
      <c r="B2680">
        <v>2012</v>
      </c>
      <c r="C2680" t="s">
        <v>37</v>
      </c>
      <c r="D2680">
        <v>19</v>
      </c>
      <c r="E2680">
        <v>27</v>
      </c>
      <c r="F2680">
        <v>2</v>
      </c>
      <c r="G2680">
        <v>0</v>
      </c>
      <c r="H2680">
        <v>4</v>
      </c>
      <c r="I2680">
        <v>5</v>
      </c>
      <c r="J2680">
        <v>70.37</v>
      </c>
      <c r="K2680">
        <v>4.75</v>
      </c>
      <c r="L2680">
        <f>_xlfn.XLOOKUP(C2680, dim_teams[team_name], dim_teams[team_id], "Not found", 0)</f>
        <v>10</v>
      </c>
    </row>
    <row r="2681" spans="1:12" x14ac:dyDescent="0.3">
      <c r="A2681" t="s">
        <v>710</v>
      </c>
      <c r="B2681">
        <v>2013</v>
      </c>
      <c r="C2681" t="s">
        <v>37</v>
      </c>
      <c r="D2681">
        <v>5</v>
      </c>
      <c r="E2681">
        <v>7</v>
      </c>
      <c r="F2681">
        <v>0</v>
      </c>
      <c r="G2681">
        <v>0</v>
      </c>
      <c r="H2681">
        <v>1</v>
      </c>
      <c r="I2681">
        <v>1</v>
      </c>
      <c r="J2681">
        <v>71.430000000000007</v>
      </c>
      <c r="K2681">
        <v>5</v>
      </c>
      <c r="L2681">
        <f>_xlfn.XLOOKUP(C2681, dim_teams[team_name], dim_teams[team_id], "Not found", 0)</f>
        <v>10</v>
      </c>
    </row>
    <row r="2682" spans="1:12" x14ac:dyDescent="0.3">
      <c r="A2682" t="s">
        <v>710</v>
      </c>
      <c r="B2682">
        <v>2014</v>
      </c>
      <c r="C2682" t="s">
        <v>32</v>
      </c>
      <c r="D2682">
        <v>2</v>
      </c>
      <c r="E2682">
        <v>2</v>
      </c>
      <c r="F2682">
        <v>0</v>
      </c>
      <c r="G2682">
        <v>0</v>
      </c>
      <c r="H2682">
        <v>1</v>
      </c>
      <c r="I2682">
        <v>1</v>
      </c>
      <c r="J2682">
        <v>100</v>
      </c>
      <c r="K2682">
        <v>2</v>
      </c>
      <c r="L2682">
        <f>_xlfn.XLOOKUP(C2682, dim_teams[team_name], dim_teams[team_id], "Not found", 0)</f>
        <v>6</v>
      </c>
    </row>
    <row r="2683" spans="1:12" x14ac:dyDescent="0.3">
      <c r="A2683" t="s">
        <v>710</v>
      </c>
      <c r="B2683">
        <v>2023</v>
      </c>
      <c r="C2683" t="s">
        <v>21</v>
      </c>
      <c r="D2683">
        <v>2</v>
      </c>
      <c r="E2683">
        <v>5</v>
      </c>
      <c r="F2683">
        <v>0</v>
      </c>
      <c r="G2683">
        <v>0</v>
      </c>
      <c r="H2683">
        <v>1</v>
      </c>
      <c r="I2683">
        <v>1</v>
      </c>
      <c r="J2683">
        <v>40</v>
      </c>
      <c r="K2683">
        <v>2</v>
      </c>
      <c r="L2683">
        <f>_xlfn.XLOOKUP(C2683, dim_teams[team_name], dim_teams[team_id], "Not found", 0)</f>
        <v>2</v>
      </c>
    </row>
    <row r="2684" spans="1:12" x14ac:dyDescent="0.3">
      <c r="A2684" t="s">
        <v>711</v>
      </c>
      <c r="B2684">
        <v>2024</v>
      </c>
      <c r="C2684" t="s">
        <v>102</v>
      </c>
      <c r="D2684">
        <v>230</v>
      </c>
      <c r="E2684">
        <v>130</v>
      </c>
      <c r="F2684">
        <v>16</v>
      </c>
      <c r="G2684">
        <v>18</v>
      </c>
      <c r="H2684">
        <v>6</v>
      </c>
      <c r="I2684">
        <v>8</v>
      </c>
      <c r="J2684">
        <v>176.92</v>
      </c>
      <c r="K2684">
        <v>38.33</v>
      </c>
      <c r="L2684">
        <f>_xlfn.XLOOKUP(C2684, dim_teams[team_name], dim_teams[team_id], "Not found", 0)</f>
        <v>19</v>
      </c>
    </row>
    <row r="2685" spans="1:12" x14ac:dyDescent="0.3">
      <c r="A2685" t="s">
        <v>711</v>
      </c>
      <c r="B2685">
        <v>2025</v>
      </c>
      <c r="C2685" t="s">
        <v>23</v>
      </c>
      <c r="D2685">
        <v>233</v>
      </c>
      <c r="E2685">
        <v>172</v>
      </c>
      <c r="F2685">
        <v>22</v>
      </c>
      <c r="G2685">
        <v>11</v>
      </c>
      <c r="H2685">
        <v>10</v>
      </c>
      <c r="I2685">
        <v>11</v>
      </c>
      <c r="J2685">
        <v>135.47</v>
      </c>
      <c r="K2685">
        <v>23.3</v>
      </c>
      <c r="L2685">
        <f>_xlfn.XLOOKUP(C2685, dim_teams[team_name], dim_teams[team_id], "Not found", 0)</f>
        <v>7</v>
      </c>
    </row>
    <row r="2686" spans="1:12" x14ac:dyDescent="0.3">
      <c r="A2686" t="s">
        <v>712</v>
      </c>
      <c r="B2686">
        <v>2008</v>
      </c>
      <c r="C2686" t="s">
        <v>19</v>
      </c>
      <c r="D2686">
        <v>159</v>
      </c>
      <c r="E2686">
        <v>119</v>
      </c>
      <c r="F2686">
        <v>12</v>
      </c>
      <c r="G2686">
        <v>7</v>
      </c>
      <c r="H2686">
        <v>6</v>
      </c>
      <c r="I2686">
        <v>10</v>
      </c>
      <c r="J2686">
        <v>133.61000000000001</v>
      </c>
      <c r="K2686">
        <v>26.5</v>
      </c>
      <c r="L2686">
        <f>_xlfn.XLOOKUP(C2686, dim_teams[team_name], dim_teams[team_id], "Not found", 0)</f>
        <v>1</v>
      </c>
    </row>
    <row r="2687" spans="1:12" x14ac:dyDescent="0.3">
      <c r="A2687" t="s">
        <v>712</v>
      </c>
      <c r="B2687">
        <v>2009</v>
      </c>
      <c r="C2687" t="s">
        <v>19</v>
      </c>
      <c r="D2687">
        <v>72</v>
      </c>
      <c r="E2687">
        <v>41</v>
      </c>
      <c r="F2687">
        <v>3</v>
      </c>
      <c r="G2687">
        <v>4</v>
      </c>
      <c r="H2687">
        <v>3</v>
      </c>
      <c r="I2687">
        <v>7</v>
      </c>
      <c r="J2687">
        <v>175.61</v>
      </c>
      <c r="K2687">
        <v>24</v>
      </c>
      <c r="L2687">
        <f>_xlfn.XLOOKUP(C2687, dim_teams[team_name], dim_teams[team_id], "Not found", 0)</f>
        <v>1</v>
      </c>
    </row>
    <row r="2688" spans="1:12" x14ac:dyDescent="0.3">
      <c r="A2688" t="s">
        <v>712</v>
      </c>
      <c r="B2688">
        <v>2010</v>
      </c>
      <c r="C2688" t="s">
        <v>19</v>
      </c>
      <c r="D2688">
        <v>67</v>
      </c>
      <c r="E2688">
        <v>53</v>
      </c>
      <c r="F2688">
        <v>9</v>
      </c>
      <c r="G2688">
        <v>1</v>
      </c>
      <c r="H2688">
        <v>3</v>
      </c>
      <c r="I2688">
        <v>6</v>
      </c>
      <c r="J2688">
        <v>126.42</v>
      </c>
      <c r="K2688">
        <v>22.33</v>
      </c>
      <c r="L2688">
        <f>_xlfn.XLOOKUP(C2688, dim_teams[team_name], dim_teams[team_id], "Not found", 0)</f>
        <v>1</v>
      </c>
    </row>
    <row r="2689" spans="1:12" x14ac:dyDescent="0.3">
      <c r="A2689" t="s">
        <v>712</v>
      </c>
      <c r="B2689">
        <v>2011</v>
      </c>
      <c r="C2689" t="s">
        <v>25</v>
      </c>
      <c r="D2689">
        <v>68</v>
      </c>
      <c r="E2689">
        <v>63</v>
      </c>
      <c r="F2689">
        <v>2</v>
      </c>
      <c r="G2689">
        <v>4</v>
      </c>
      <c r="H2689">
        <v>1</v>
      </c>
      <c r="I2689">
        <v>2</v>
      </c>
      <c r="J2689">
        <v>107.94</v>
      </c>
      <c r="K2689">
        <v>68</v>
      </c>
      <c r="L2689">
        <f>_xlfn.XLOOKUP(C2689, dim_teams[team_name], dim_teams[team_id], "Not found", 0)</f>
        <v>3</v>
      </c>
    </row>
    <row r="2690" spans="1:12" x14ac:dyDescent="0.3">
      <c r="A2690" t="s">
        <v>712</v>
      </c>
      <c r="B2690">
        <v>2012</v>
      </c>
      <c r="C2690" t="s">
        <v>25</v>
      </c>
      <c r="D2690">
        <v>6</v>
      </c>
      <c r="E2690">
        <v>14</v>
      </c>
      <c r="F2690">
        <v>0</v>
      </c>
      <c r="G2690">
        <v>0</v>
      </c>
      <c r="H2690">
        <v>1</v>
      </c>
      <c r="I2690">
        <v>1</v>
      </c>
      <c r="J2690">
        <v>42.86</v>
      </c>
      <c r="K2690">
        <v>6</v>
      </c>
      <c r="L2690">
        <f>_xlfn.XLOOKUP(C2690, dim_teams[team_name], dim_teams[team_id], "Not found", 0)</f>
        <v>3</v>
      </c>
    </row>
    <row r="2691" spans="1:12" x14ac:dyDescent="0.3">
      <c r="A2691" t="s">
        <v>712</v>
      </c>
      <c r="B2691">
        <v>2013</v>
      </c>
      <c r="C2691" t="s">
        <v>25</v>
      </c>
      <c r="D2691">
        <v>70</v>
      </c>
      <c r="E2691">
        <v>56</v>
      </c>
      <c r="F2691">
        <v>6</v>
      </c>
      <c r="G2691">
        <v>4</v>
      </c>
      <c r="H2691">
        <v>3</v>
      </c>
      <c r="I2691">
        <v>3</v>
      </c>
      <c r="J2691">
        <v>125</v>
      </c>
      <c r="K2691">
        <v>23.33</v>
      </c>
      <c r="L2691">
        <f>_xlfn.XLOOKUP(C2691, dim_teams[team_name], dim_teams[team_id], "Not found", 0)</f>
        <v>3</v>
      </c>
    </row>
    <row r="2692" spans="1:12" x14ac:dyDescent="0.3">
      <c r="A2692" t="s">
        <v>712</v>
      </c>
      <c r="B2692">
        <v>2014</v>
      </c>
      <c r="C2692" t="s">
        <v>54</v>
      </c>
      <c r="D2692">
        <v>362</v>
      </c>
      <c r="E2692">
        <v>249</v>
      </c>
      <c r="F2692">
        <v>33</v>
      </c>
      <c r="G2692">
        <v>18</v>
      </c>
      <c r="H2692">
        <v>12</v>
      </c>
      <c r="I2692">
        <v>13</v>
      </c>
      <c r="J2692">
        <v>145.38</v>
      </c>
      <c r="K2692">
        <v>30.17</v>
      </c>
      <c r="L2692">
        <f>_xlfn.XLOOKUP(C2692, dim_teams[team_name], dim_teams[team_id], "Not found", 0)</f>
        <v>4</v>
      </c>
    </row>
    <row r="2693" spans="1:12" x14ac:dyDescent="0.3">
      <c r="A2693" t="s">
        <v>712</v>
      </c>
      <c r="B2693">
        <v>2015</v>
      </c>
      <c r="C2693" t="s">
        <v>54</v>
      </c>
      <c r="D2693">
        <v>249</v>
      </c>
      <c r="E2693">
        <v>197</v>
      </c>
      <c r="F2693">
        <v>16</v>
      </c>
      <c r="G2693">
        <v>10</v>
      </c>
      <c r="H2693">
        <v>13</v>
      </c>
      <c r="I2693">
        <v>13</v>
      </c>
      <c r="J2693">
        <v>126.4</v>
      </c>
      <c r="K2693">
        <v>19.149999999999999</v>
      </c>
      <c r="L2693">
        <f>_xlfn.XLOOKUP(C2693, dim_teams[team_name], dim_teams[team_id], "Not found", 0)</f>
        <v>4</v>
      </c>
    </row>
    <row r="2694" spans="1:12" x14ac:dyDescent="0.3">
      <c r="A2694" t="s">
        <v>712</v>
      </c>
      <c r="B2694">
        <v>2016</v>
      </c>
      <c r="C2694" t="s">
        <v>54</v>
      </c>
      <c r="D2694">
        <v>270</v>
      </c>
      <c r="E2694">
        <v>212</v>
      </c>
      <c r="F2694">
        <v>29</v>
      </c>
      <c r="G2694">
        <v>1</v>
      </c>
      <c r="H2694">
        <v>11</v>
      </c>
      <c r="I2694">
        <v>12</v>
      </c>
      <c r="J2694">
        <v>127.36</v>
      </c>
      <c r="K2694">
        <v>24.55</v>
      </c>
      <c r="L2694">
        <f>_xlfn.XLOOKUP(C2694, dim_teams[team_name], dim_teams[team_id], "Not found", 0)</f>
        <v>4</v>
      </c>
    </row>
    <row r="2695" spans="1:12" x14ac:dyDescent="0.3">
      <c r="A2695" t="s">
        <v>712</v>
      </c>
      <c r="B2695">
        <v>2017</v>
      </c>
      <c r="C2695" t="s">
        <v>54</v>
      </c>
      <c r="D2695">
        <v>234</v>
      </c>
      <c r="E2695">
        <v>186</v>
      </c>
      <c r="F2695">
        <v>20</v>
      </c>
      <c r="G2695">
        <v>8</v>
      </c>
      <c r="H2695">
        <v>10</v>
      </c>
      <c r="I2695">
        <v>11</v>
      </c>
      <c r="J2695">
        <v>125.81</v>
      </c>
      <c r="K2695">
        <v>23.4</v>
      </c>
      <c r="L2695">
        <f>_xlfn.XLOOKUP(C2695, dim_teams[team_name], dim_teams[team_id], "Not found", 0)</f>
        <v>4</v>
      </c>
    </row>
    <row r="2696" spans="1:12" x14ac:dyDescent="0.3">
      <c r="A2696" t="s">
        <v>712</v>
      </c>
      <c r="B2696">
        <v>2018</v>
      </c>
      <c r="C2696" t="s">
        <v>13</v>
      </c>
      <c r="D2696">
        <v>122</v>
      </c>
      <c r="E2696">
        <v>102</v>
      </c>
      <c r="F2696">
        <v>17</v>
      </c>
      <c r="G2696">
        <v>1</v>
      </c>
      <c r="H2696">
        <v>8</v>
      </c>
      <c r="I2696">
        <v>10</v>
      </c>
      <c r="J2696">
        <v>119.61</v>
      </c>
      <c r="K2696">
        <v>15.25</v>
      </c>
      <c r="L2696">
        <f>_xlfn.XLOOKUP(C2696, dim_teams[team_name], dim_teams[team_id], "Not found", 0)</f>
        <v>11</v>
      </c>
    </row>
    <row r="2697" spans="1:12" x14ac:dyDescent="0.3">
      <c r="A2697" t="s">
        <v>712</v>
      </c>
      <c r="B2697">
        <v>2019</v>
      </c>
      <c r="C2697" t="s">
        <v>13</v>
      </c>
      <c r="D2697">
        <v>86</v>
      </c>
      <c r="E2697">
        <v>53</v>
      </c>
      <c r="F2697">
        <v>13</v>
      </c>
      <c r="G2697">
        <v>1</v>
      </c>
      <c r="H2697">
        <v>5</v>
      </c>
      <c r="I2697">
        <v>5</v>
      </c>
      <c r="J2697">
        <v>162.26</v>
      </c>
      <c r="K2697">
        <v>17.2</v>
      </c>
      <c r="L2697">
        <f>_xlfn.XLOOKUP(C2697, dim_teams[team_name], dim_teams[team_id], "Not found", 0)</f>
        <v>11</v>
      </c>
    </row>
    <row r="2698" spans="1:12" x14ac:dyDescent="0.3">
      <c r="A2698" t="s">
        <v>712</v>
      </c>
      <c r="B2698">
        <v>2020</v>
      </c>
      <c r="C2698" t="s">
        <v>13</v>
      </c>
      <c r="D2698">
        <v>214</v>
      </c>
      <c r="E2698">
        <v>153</v>
      </c>
      <c r="F2698">
        <v>24</v>
      </c>
      <c r="G2698">
        <v>5</v>
      </c>
      <c r="H2698">
        <v>2</v>
      </c>
      <c r="I2698">
        <v>4</v>
      </c>
      <c r="J2698">
        <v>139.87</v>
      </c>
      <c r="K2698">
        <v>107</v>
      </c>
      <c r="L2698">
        <f>_xlfn.XLOOKUP(C2698, dim_teams[team_name], dim_teams[team_id], "Not found", 0)</f>
        <v>11</v>
      </c>
    </row>
    <row r="2699" spans="1:12" x14ac:dyDescent="0.3">
      <c r="A2699" t="s">
        <v>712</v>
      </c>
      <c r="B2699">
        <v>2021</v>
      </c>
      <c r="C2699" t="s">
        <v>13</v>
      </c>
      <c r="D2699">
        <v>131</v>
      </c>
      <c r="E2699">
        <v>139</v>
      </c>
      <c r="F2699">
        <v>7</v>
      </c>
      <c r="G2699">
        <v>5</v>
      </c>
      <c r="H2699">
        <v>9</v>
      </c>
      <c r="I2699">
        <v>9</v>
      </c>
      <c r="J2699">
        <v>94.24</v>
      </c>
      <c r="K2699">
        <v>14.56</v>
      </c>
      <c r="L2699">
        <f>_xlfn.XLOOKUP(C2699, dim_teams[team_name], dim_teams[team_id], "Not found", 0)</f>
        <v>11</v>
      </c>
    </row>
    <row r="2700" spans="1:12" x14ac:dyDescent="0.3">
      <c r="A2700" t="s">
        <v>712</v>
      </c>
      <c r="B2700">
        <v>2022</v>
      </c>
      <c r="C2700" t="s">
        <v>29</v>
      </c>
      <c r="D2700">
        <v>317</v>
      </c>
      <c r="E2700">
        <v>259</v>
      </c>
      <c r="F2700">
        <v>40</v>
      </c>
      <c r="G2700">
        <v>7</v>
      </c>
      <c r="H2700">
        <v>9</v>
      </c>
      <c r="I2700">
        <v>11</v>
      </c>
      <c r="J2700">
        <v>122.39</v>
      </c>
      <c r="K2700">
        <v>35.22</v>
      </c>
      <c r="L2700">
        <f>_xlfn.XLOOKUP(C2700, dim_teams[team_name], dim_teams[team_id], "Not found", 0)</f>
        <v>18</v>
      </c>
    </row>
    <row r="2701" spans="1:12" x14ac:dyDescent="0.3">
      <c r="A2701" t="s">
        <v>712</v>
      </c>
      <c r="B2701">
        <v>2023</v>
      </c>
      <c r="C2701" t="s">
        <v>29</v>
      </c>
      <c r="D2701">
        <v>371</v>
      </c>
      <c r="E2701">
        <v>285</v>
      </c>
      <c r="F2701">
        <v>47</v>
      </c>
      <c r="G2701">
        <v>8</v>
      </c>
      <c r="H2701">
        <v>16</v>
      </c>
      <c r="I2701">
        <v>17</v>
      </c>
      <c r="J2701">
        <v>130.18</v>
      </c>
      <c r="K2701">
        <v>23.19</v>
      </c>
      <c r="L2701">
        <f>_xlfn.XLOOKUP(C2701, dim_teams[team_name], dim_teams[team_id], "Not found", 0)</f>
        <v>18</v>
      </c>
    </row>
    <row r="2702" spans="1:12" x14ac:dyDescent="0.3">
      <c r="A2702" t="s">
        <v>712</v>
      </c>
      <c r="B2702">
        <v>2024</v>
      </c>
      <c r="C2702" t="s">
        <v>29</v>
      </c>
      <c r="D2702">
        <v>136</v>
      </c>
      <c r="E2702">
        <v>115</v>
      </c>
      <c r="F2702">
        <v>18</v>
      </c>
      <c r="G2702">
        <v>3</v>
      </c>
      <c r="H2702">
        <v>9</v>
      </c>
      <c r="I2702">
        <v>9</v>
      </c>
      <c r="J2702">
        <v>118.26</v>
      </c>
      <c r="K2702">
        <v>15.11</v>
      </c>
      <c r="L2702">
        <f>_xlfn.XLOOKUP(C2702, dim_teams[team_name], dim_teams[team_id], "Not found", 0)</f>
        <v>18</v>
      </c>
    </row>
    <row r="2703" spans="1:12" x14ac:dyDescent="0.3">
      <c r="A2703" t="s">
        <v>713</v>
      </c>
      <c r="B2703">
        <v>2008</v>
      </c>
      <c r="C2703" t="s">
        <v>12</v>
      </c>
      <c r="D2703">
        <v>21</v>
      </c>
      <c r="E2703">
        <v>17</v>
      </c>
      <c r="F2703">
        <v>0</v>
      </c>
      <c r="G2703">
        <v>1</v>
      </c>
      <c r="H2703">
        <v>2</v>
      </c>
      <c r="I2703">
        <v>4</v>
      </c>
      <c r="J2703">
        <v>123.53</v>
      </c>
      <c r="K2703">
        <v>10.5</v>
      </c>
      <c r="L2703">
        <f>_xlfn.XLOOKUP(C2703, dim_teams[team_name], dim_teams[team_id], "Not found", 0)</f>
        <v>8</v>
      </c>
    </row>
    <row r="2704" spans="1:12" x14ac:dyDescent="0.3">
      <c r="A2704" t="s">
        <v>713</v>
      </c>
      <c r="B2704">
        <v>2009</v>
      </c>
      <c r="C2704" t="s">
        <v>12</v>
      </c>
      <c r="D2704">
        <v>30</v>
      </c>
      <c r="E2704">
        <v>21</v>
      </c>
      <c r="F2704">
        <v>1</v>
      </c>
      <c r="G2704">
        <v>1</v>
      </c>
      <c r="H2704">
        <v>1</v>
      </c>
      <c r="I2704">
        <v>2</v>
      </c>
      <c r="J2704">
        <v>142.86000000000001</v>
      </c>
      <c r="K2704">
        <v>30</v>
      </c>
      <c r="L2704">
        <f>_xlfn.XLOOKUP(C2704, dim_teams[team_name], dim_teams[team_id], "Not found", 0)</f>
        <v>8</v>
      </c>
    </row>
    <row r="2705" spans="1:12" x14ac:dyDescent="0.3">
      <c r="A2705" t="s">
        <v>713</v>
      </c>
      <c r="B2705">
        <v>2010</v>
      </c>
      <c r="C2705" t="s">
        <v>12</v>
      </c>
      <c r="D2705">
        <v>30</v>
      </c>
      <c r="E2705">
        <v>34</v>
      </c>
      <c r="F2705">
        <v>1</v>
      </c>
      <c r="G2705">
        <v>1</v>
      </c>
      <c r="H2705">
        <v>4</v>
      </c>
      <c r="I2705">
        <v>5</v>
      </c>
      <c r="J2705">
        <v>88.24</v>
      </c>
      <c r="K2705">
        <v>7.5</v>
      </c>
      <c r="L2705">
        <f>_xlfn.XLOOKUP(C2705, dim_teams[team_name], dim_teams[team_id], "Not found", 0)</f>
        <v>8</v>
      </c>
    </row>
    <row r="2706" spans="1:12" x14ac:dyDescent="0.3">
      <c r="A2706" t="s">
        <v>714</v>
      </c>
      <c r="B2706">
        <v>2017</v>
      </c>
      <c r="C2706" t="s">
        <v>46</v>
      </c>
      <c r="D2706">
        <v>9</v>
      </c>
      <c r="E2706">
        <v>12</v>
      </c>
      <c r="F2706">
        <v>0</v>
      </c>
      <c r="G2706">
        <v>0</v>
      </c>
      <c r="H2706">
        <v>0</v>
      </c>
      <c r="I2706">
        <v>5</v>
      </c>
      <c r="J2706">
        <v>75</v>
      </c>
      <c r="L2706">
        <f>_xlfn.XLOOKUP(C2706, dim_teams[team_name], dim_teams[team_id], "Not found", 0)</f>
        <v>14</v>
      </c>
    </row>
    <row r="2707" spans="1:12" x14ac:dyDescent="0.3">
      <c r="A2707" t="s">
        <v>714</v>
      </c>
      <c r="B2707">
        <v>2018</v>
      </c>
      <c r="C2707" t="s">
        <v>21</v>
      </c>
      <c r="D2707">
        <v>65</v>
      </c>
      <c r="E2707">
        <v>38</v>
      </c>
      <c r="F2707">
        <v>5</v>
      </c>
      <c r="G2707">
        <v>4</v>
      </c>
      <c r="H2707">
        <v>4</v>
      </c>
      <c r="I2707">
        <v>5</v>
      </c>
      <c r="J2707">
        <v>171.05</v>
      </c>
      <c r="K2707">
        <v>16.25</v>
      </c>
      <c r="L2707">
        <f>_xlfn.XLOOKUP(C2707, dim_teams[team_name], dim_teams[team_id], "Not found", 0)</f>
        <v>2</v>
      </c>
    </row>
    <row r="2708" spans="1:12" x14ac:dyDescent="0.3">
      <c r="A2708" t="s">
        <v>714</v>
      </c>
      <c r="B2708">
        <v>2019</v>
      </c>
      <c r="C2708" t="s">
        <v>21</v>
      </c>
      <c r="D2708">
        <v>1</v>
      </c>
      <c r="E2708">
        <v>3</v>
      </c>
      <c r="F2708">
        <v>0</v>
      </c>
      <c r="G2708">
        <v>0</v>
      </c>
      <c r="H2708">
        <v>2</v>
      </c>
      <c r="I2708">
        <v>2</v>
      </c>
      <c r="J2708">
        <v>33.33</v>
      </c>
      <c r="K2708">
        <v>0.5</v>
      </c>
      <c r="L2708">
        <f>_xlfn.XLOOKUP(C2708, dim_teams[team_name], dim_teams[team_id], "Not found", 0)</f>
        <v>2</v>
      </c>
    </row>
    <row r="2709" spans="1:12" x14ac:dyDescent="0.3">
      <c r="A2709" t="s">
        <v>714</v>
      </c>
      <c r="B2709">
        <v>2020</v>
      </c>
      <c r="C2709" t="s">
        <v>21</v>
      </c>
      <c r="D2709">
        <v>111</v>
      </c>
      <c r="E2709">
        <v>95</v>
      </c>
      <c r="F2709">
        <v>10</v>
      </c>
      <c r="G2709">
        <v>2</v>
      </c>
      <c r="H2709">
        <v>6</v>
      </c>
      <c r="I2709">
        <v>9</v>
      </c>
      <c r="J2709">
        <v>116.84</v>
      </c>
      <c r="K2709">
        <v>18.5</v>
      </c>
      <c r="L2709">
        <f>_xlfn.XLOOKUP(C2709, dim_teams[team_name], dim_teams[team_id], "Not found", 0)</f>
        <v>2</v>
      </c>
    </row>
    <row r="2710" spans="1:12" x14ac:dyDescent="0.3">
      <c r="A2710" t="s">
        <v>714</v>
      </c>
      <c r="B2710">
        <v>2021</v>
      </c>
      <c r="C2710" t="s">
        <v>21</v>
      </c>
      <c r="D2710">
        <v>31</v>
      </c>
      <c r="E2710">
        <v>46</v>
      </c>
      <c r="F2710">
        <v>2</v>
      </c>
      <c r="G2710">
        <v>0</v>
      </c>
      <c r="H2710">
        <v>4</v>
      </c>
      <c r="I2710">
        <v>4</v>
      </c>
      <c r="J2710">
        <v>67.39</v>
      </c>
      <c r="K2710">
        <v>7.75</v>
      </c>
      <c r="L2710">
        <f>_xlfn.XLOOKUP(C2710, dim_teams[team_name], dim_teams[team_id], "Not found", 0)</f>
        <v>2</v>
      </c>
    </row>
    <row r="2711" spans="1:12" x14ac:dyDescent="0.3">
      <c r="A2711" t="s">
        <v>714</v>
      </c>
      <c r="B2711">
        <v>2022</v>
      </c>
      <c r="C2711" t="s">
        <v>13</v>
      </c>
      <c r="D2711">
        <v>101</v>
      </c>
      <c r="E2711">
        <v>69</v>
      </c>
      <c r="F2711">
        <v>9</v>
      </c>
      <c r="G2711">
        <v>3</v>
      </c>
      <c r="H2711">
        <v>7</v>
      </c>
      <c r="I2711">
        <v>7</v>
      </c>
      <c r="J2711">
        <v>146.38</v>
      </c>
      <c r="K2711">
        <v>14.43</v>
      </c>
      <c r="L2711">
        <f>_xlfn.XLOOKUP(C2711, dim_teams[team_name], dim_teams[team_id], "Not found", 0)</f>
        <v>11</v>
      </c>
    </row>
    <row r="2712" spans="1:12" x14ac:dyDescent="0.3">
      <c r="A2712" t="s">
        <v>714</v>
      </c>
      <c r="B2712">
        <v>2023</v>
      </c>
      <c r="C2712" t="s">
        <v>13</v>
      </c>
      <c r="D2712">
        <v>60</v>
      </c>
      <c r="E2712">
        <v>60</v>
      </c>
      <c r="F2712">
        <v>6</v>
      </c>
      <c r="G2712">
        <v>0</v>
      </c>
      <c r="H2712">
        <v>3</v>
      </c>
      <c r="I2712">
        <v>5</v>
      </c>
      <c r="J2712">
        <v>100</v>
      </c>
      <c r="K2712">
        <v>20</v>
      </c>
      <c r="L2712">
        <f>_xlfn.XLOOKUP(C2712, dim_teams[team_name], dim_teams[team_id], "Not found", 0)</f>
        <v>11</v>
      </c>
    </row>
    <row r="2713" spans="1:12" x14ac:dyDescent="0.3">
      <c r="A2713" t="s">
        <v>714</v>
      </c>
      <c r="B2713">
        <v>2024</v>
      </c>
      <c r="C2713" t="s">
        <v>13</v>
      </c>
      <c r="D2713">
        <v>0</v>
      </c>
      <c r="E2713">
        <v>1</v>
      </c>
      <c r="F2713">
        <v>0</v>
      </c>
      <c r="G2713">
        <v>0</v>
      </c>
      <c r="H2713">
        <v>1</v>
      </c>
      <c r="I2713">
        <v>1</v>
      </c>
      <c r="J2713">
        <v>0</v>
      </c>
      <c r="K2713">
        <v>0</v>
      </c>
      <c r="L2713">
        <f>_xlfn.XLOOKUP(C2713, dim_teams[team_name], dim_teams[team_id], "Not found", 0)</f>
        <v>11</v>
      </c>
    </row>
    <row r="2714" spans="1:12" x14ac:dyDescent="0.3">
      <c r="A2714" t="s">
        <v>714</v>
      </c>
      <c r="B2714">
        <v>2025</v>
      </c>
      <c r="C2714" t="s">
        <v>29</v>
      </c>
      <c r="D2714">
        <v>133</v>
      </c>
      <c r="E2714">
        <v>80</v>
      </c>
      <c r="F2714">
        <v>10</v>
      </c>
      <c r="G2714">
        <v>7</v>
      </c>
      <c r="H2714">
        <v>5</v>
      </c>
      <c r="I2714">
        <v>5</v>
      </c>
      <c r="J2714">
        <v>166.25</v>
      </c>
      <c r="K2714">
        <v>26.6</v>
      </c>
      <c r="L2714">
        <f>_xlfn.XLOOKUP(C2714, dim_teams[team_name], dim_teams[team_id], "Not found", 0)</f>
        <v>18</v>
      </c>
    </row>
    <row r="2715" spans="1:12" x14ac:dyDescent="0.3">
      <c r="A2715" t="s">
        <v>715</v>
      </c>
      <c r="B2715">
        <v>2013</v>
      </c>
      <c r="C2715" t="s">
        <v>13</v>
      </c>
      <c r="D2715">
        <v>10</v>
      </c>
      <c r="E2715">
        <v>17</v>
      </c>
      <c r="F2715">
        <v>0</v>
      </c>
      <c r="G2715">
        <v>0</v>
      </c>
      <c r="H2715">
        <v>1</v>
      </c>
      <c r="I2715">
        <v>1</v>
      </c>
      <c r="J2715">
        <v>58.82</v>
      </c>
      <c r="K2715">
        <v>10</v>
      </c>
      <c r="L2715">
        <f>_xlfn.XLOOKUP(C2715, dim_teams[team_name], dim_teams[team_id], "Not found", 0)</f>
        <v>11</v>
      </c>
    </row>
    <row r="2716" spans="1:12" x14ac:dyDescent="0.3">
      <c r="A2716" t="s">
        <v>716</v>
      </c>
      <c r="B2716">
        <v>2025</v>
      </c>
      <c r="C2716" t="s">
        <v>76</v>
      </c>
      <c r="D2716">
        <v>11</v>
      </c>
      <c r="E2716">
        <v>15</v>
      </c>
      <c r="F2716">
        <v>1</v>
      </c>
      <c r="G2716">
        <v>0</v>
      </c>
      <c r="H2716">
        <v>1</v>
      </c>
      <c r="I2716">
        <v>1</v>
      </c>
      <c r="J2716">
        <v>73.33</v>
      </c>
      <c r="K2716">
        <v>11</v>
      </c>
      <c r="L2716">
        <f>_xlfn.XLOOKUP(C2716, dim_teams[team_name], dim_teams[team_id], "Not found", 0)</f>
        <v>16</v>
      </c>
    </row>
    <row r="2717" spans="1:12" x14ac:dyDescent="0.3">
      <c r="A2717" t="s">
        <v>717</v>
      </c>
      <c r="B2717">
        <v>2011</v>
      </c>
      <c r="C2717" t="s">
        <v>122</v>
      </c>
      <c r="D2717">
        <v>19</v>
      </c>
      <c r="E2717">
        <v>17</v>
      </c>
      <c r="F2717">
        <v>3</v>
      </c>
      <c r="G2717">
        <v>0</v>
      </c>
      <c r="H2717">
        <v>1</v>
      </c>
      <c r="I2717">
        <v>1</v>
      </c>
      <c r="J2717">
        <v>111.76</v>
      </c>
      <c r="K2717">
        <v>19</v>
      </c>
      <c r="L2717">
        <f>_xlfn.XLOOKUP(C2717, dim_teams[team_name], dim_teams[team_id], "Not found", 0)</f>
        <v>9</v>
      </c>
    </row>
    <row r="2718" spans="1:12" x14ac:dyDescent="0.3">
      <c r="A2718" t="s">
        <v>718</v>
      </c>
      <c r="B2718">
        <v>2009</v>
      </c>
      <c r="C2718" t="s">
        <v>32</v>
      </c>
      <c r="D2718">
        <v>20</v>
      </c>
      <c r="E2718">
        <v>20</v>
      </c>
      <c r="F2718">
        <v>1</v>
      </c>
      <c r="G2718">
        <v>0</v>
      </c>
      <c r="H2718">
        <v>1</v>
      </c>
      <c r="I2718">
        <v>1</v>
      </c>
      <c r="J2718">
        <v>100</v>
      </c>
      <c r="K2718">
        <v>20</v>
      </c>
      <c r="L2718">
        <f>_xlfn.XLOOKUP(C2718, dim_teams[team_name], dim_teams[team_id], "Not found", 0)</f>
        <v>6</v>
      </c>
    </row>
    <row r="2719" spans="1:12" x14ac:dyDescent="0.3">
      <c r="A2719" t="s">
        <v>718</v>
      </c>
      <c r="B2719">
        <v>2010</v>
      </c>
      <c r="C2719" t="s">
        <v>32</v>
      </c>
      <c r="D2719">
        <v>1</v>
      </c>
      <c r="E2719">
        <v>6</v>
      </c>
      <c r="F2719">
        <v>0</v>
      </c>
      <c r="G2719">
        <v>0</v>
      </c>
      <c r="H2719">
        <v>1</v>
      </c>
      <c r="I2719">
        <v>1</v>
      </c>
      <c r="J2719">
        <v>16.670000000000002</v>
      </c>
      <c r="K2719">
        <v>1</v>
      </c>
      <c r="L2719">
        <f>_xlfn.XLOOKUP(C2719, dim_teams[team_name], dim_teams[team_id], "Not found", 0)</f>
        <v>6</v>
      </c>
    </row>
    <row r="2720" spans="1:12" x14ac:dyDescent="0.3">
      <c r="A2720" t="s">
        <v>718</v>
      </c>
      <c r="B2720">
        <v>2011</v>
      </c>
      <c r="C2720" t="s">
        <v>32</v>
      </c>
      <c r="D2720">
        <v>111</v>
      </c>
      <c r="E2720">
        <v>100</v>
      </c>
      <c r="F2720">
        <v>6</v>
      </c>
      <c r="G2720">
        <v>6</v>
      </c>
      <c r="H2720">
        <v>8</v>
      </c>
      <c r="I2720">
        <v>10</v>
      </c>
      <c r="J2720">
        <v>111</v>
      </c>
      <c r="K2720">
        <v>13.88</v>
      </c>
      <c r="L2720">
        <f>_xlfn.XLOOKUP(C2720, dim_teams[team_name], dim_teams[team_id], "Not found", 0)</f>
        <v>6</v>
      </c>
    </row>
    <row r="2721" spans="1:12" x14ac:dyDescent="0.3">
      <c r="A2721" t="s">
        <v>718</v>
      </c>
      <c r="B2721">
        <v>2012</v>
      </c>
      <c r="C2721" t="s">
        <v>32</v>
      </c>
      <c r="D2721">
        <v>153</v>
      </c>
      <c r="E2721">
        <v>133</v>
      </c>
      <c r="F2721">
        <v>13</v>
      </c>
      <c r="G2721">
        <v>3</v>
      </c>
      <c r="H2721">
        <v>5</v>
      </c>
      <c r="I2721">
        <v>8</v>
      </c>
      <c r="J2721">
        <v>115.04</v>
      </c>
      <c r="K2721">
        <v>30.6</v>
      </c>
      <c r="L2721">
        <f>_xlfn.XLOOKUP(C2721, dim_teams[team_name], dim_teams[team_id], "Not found", 0)</f>
        <v>6</v>
      </c>
    </row>
    <row r="2722" spans="1:12" x14ac:dyDescent="0.3">
      <c r="A2722" t="s">
        <v>719</v>
      </c>
      <c r="B2722">
        <v>2019</v>
      </c>
      <c r="C2722" t="s">
        <v>19</v>
      </c>
      <c r="D2722">
        <v>0</v>
      </c>
      <c r="E2722">
        <v>1</v>
      </c>
      <c r="F2722">
        <v>0</v>
      </c>
      <c r="G2722">
        <v>0</v>
      </c>
      <c r="H2722">
        <v>0</v>
      </c>
      <c r="I2722">
        <v>1</v>
      </c>
      <c r="J2722">
        <v>0</v>
      </c>
      <c r="L2722">
        <f>_xlfn.XLOOKUP(C2722, dim_teams[team_name], dim_teams[team_id], "Not found", 0)</f>
        <v>1</v>
      </c>
    </row>
    <row r="2723" spans="1:12" x14ac:dyDescent="0.3">
      <c r="A2723" t="s">
        <v>720</v>
      </c>
      <c r="B2723">
        <v>2008</v>
      </c>
      <c r="C2723" t="s">
        <v>12</v>
      </c>
      <c r="D2723">
        <v>288</v>
      </c>
      <c r="E2723">
        <v>207</v>
      </c>
      <c r="F2723">
        <v>22</v>
      </c>
      <c r="G2723">
        <v>15</v>
      </c>
      <c r="H2723">
        <v>8</v>
      </c>
      <c r="I2723">
        <v>10</v>
      </c>
      <c r="J2723">
        <v>139.13</v>
      </c>
      <c r="K2723">
        <v>36</v>
      </c>
      <c r="L2723">
        <f>_xlfn.XLOOKUP(C2723, dim_teams[team_name], dim_teams[team_id], "Not found", 0)</f>
        <v>8</v>
      </c>
    </row>
    <row r="2724" spans="1:12" x14ac:dyDescent="0.3">
      <c r="A2724" t="s">
        <v>720</v>
      </c>
      <c r="B2724">
        <v>2009</v>
      </c>
      <c r="C2724" t="s">
        <v>12</v>
      </c>
      <c r="D2724">
        <v>124</v>
      </c>
      <c r="E2724">
        <v>114</v>
      </c>
      <c r="F2724">
        <v>6</v>
      </c>
      <c r="G2724">
        <v>3</v>
      </c>
      <c r="H2724">
        <v>10</v>
      </c>
      <c r="I2724">
        <v>12</v>
      </c>
      <c r="J2724">
        <v>108.77</v>
      </c>
      <c r="K2724">
        <v>12.4</v>
      </c>
      <c r="L2724">
        <f>_xlfn.XLOOKUP(C2724, dim_teams[team_name], dim_teams[team_id], "Not found", 0)</f>
        <v>8</v>
      </c>
    </row>
    <row r="2725" spans="1:12" x14ac:dyDescent="0.3">
      <c r="A2725" t="s">
        <v>720</v>
      </c>
      <c r="B2725">
        <v>2010</v>
      </c>
      <c r="C2725" t="s">
        <v>12</v>
      </c>
      <c r="D2725">
        <v>34</v>
      </c>
      <c r="E2725">
        <v>43</v>
      </c>
      <c r="F2725">
        <v>3</v>
      </c>
      <c r="G2725">
        <v>1</v>
      </c>
      <c r="H2725">
        <v>4</v>
      </c>
      <c r="I2725">
        <v>4</v>
      </c>
      <c r="J2725">
        <v>79.069999999999993</v>
      </c>
      <c r="K2725">
        <v>8.5</v>
      </c>
      <c r="L2725">
        <f>_xlfn.XLOOKUP(C2725, dim_teams[team_name], dim_teams[team_id], "Not found", 0)</f>
        <v>8</v>
      </c>
    </row>
    <row r="2726" spans="1:12" x14ac:dyDescent="0.3">
      <c r="A2726" t="s">
        <v>720</v>
      </c>
      <c r="B2726">
        <v>2011</v>
      </c>
      <c r="C2726" t="s">
        <v>32</v>
      </c>
      <c r="D2726">
        <v>336</v>
      </c>
      <c r="E2726">
        <v>279</v>
      </c>
      <c r="F2726">
        <v>30</v>
      </c>
      <c r="G2726">
        <v>13</v>
      </c>
      <c r="H2726">
        <v>12</v>
      </c>
      <c r="I2726">
        <v>14</v>
      </c>
      <c r="J2726">
        <v>120.43</v>
      </c>
      <c r="K2726">
        <v>28</v>
      </c>
      <c r="L2726">
        <f>_xlfn.XLOOKUP(C2726, dim_teams[team_name], dim_teams[team_id], "Not found", 0)</f>
        <v>6</v>
      </c>
    </row>
    <row r="2727" spans="1:12" x14ac:dyDescent="0.3">
      <c r="A2727" t="s">
        <v>720</v>
      </c>
      <c r="B2727">
        <v>2012</v>
      </c>
      <c r="C2727" t="s">
        <v>32</v>
      </c>
      <c r="D2727">
        <v>132</v>
      </c>
      <c r="E2727">
        <v>126</v>
      </c>
      <c r="F2727">
        <v>8</v>
      </c>
      <c r="G2727">
        <v>5</v>
      </c>
      <c r="H2727">
        <v>5</v>
      </c>
      <c r="I2727">
        <v>7</v>
      </c>
      <c r="J2727">
        <v>104.76</v>
      </c>
      <c r="K2727">
        <v>26.4</v>
      </c>
      <c r="L2727">
        <f>_xlfn.XLOOKUP(C2727, dim_teams[team_name], dim_teams[team_id], "Not found", 0)</f>
        <v>6</v>
      </c>
    </row>
    <row r="2728" spans="1:12" x14ac:dyDescent="0.3">
      <c r="A2728" t="s">
        <v>720</v>
      </c>
      <c r="B2728">
        <v>2014</v>
      </c>
      <c r="C2728" t="s">
        <v>13</v>
      </c>
      <c r="D2728">
        <v>71</v>
      </c>
      <c r="E2728">
        <v>63</v>
      </c>
      <c r="F2728">
        <v>8</v>
      </c>
      <c r="G2728">
        <v>0</v>
      </c>
      <c r="H2728">
        <v>3</v>
      </c>
      <c r="I2728">
        <v>5</v>
      </c>
      <c r="J2728">
        <v>112.7</v>
      </c>
      <c r="K2728">
        <v>23.67</v>
      </c>
      <c r="L2728">
        <f>_xlfn.XLOOKUP(C2728, dim_teams[team_name], dim_teams[team_id], "Not found", 0)</f>
        <v>11</v>
      </c>
    </row>
    <row r="2729" spans="1:12" x14ac:dyDescent="0.3">
      <c r="A2729" t="s">
        <v>721</v>
      </c>
      <c r="B2729">
        <v>2010</v>
      </c>
      <c r="C2729" t="s">
        <v>54</v>
      </c>
      <c r="D2729">
        <v>0</v>
      </c>
      <c r="E2729">
        <v>1</v>
      </c>
      <c r="F2729">
        <v>0</v>
      </c>
      <c r="G2729">
        <v>0</v>
      </c>
      <c r="H2729">
        <v>0</v>
      </c>
      <c r="I2729">
        <v>1</v>
      </c>
      <c r="J2729">
        <v>0</v>
      </c>
      <c r="L2729">
        <f>_xlfn.XLOOKUP(C2729, dim_teams[team_name], dim_teams[team_id], "Not found", 0)</f>
        <v>4</v>
      </c>
    </row>
    <row r="2730" spans="1:12" x14ac:dyDescent="0.3">
      <c r="A2730" t="s">
        <v>722</v>
      </c>
      <c r="B2730">
        <v>2020</v>
      </c>
      <c r="C2730" t="s">
        <v>17</v>
      </c>
      <c r="D2730">
        <v>40</v>
      </c>
      <c r="E2730">
        <v>44</v>
      </c>
      <c r="F2730">
        <v>2</v>
      </c>
      <c r="G2730">
        <v>2</v>
      </c>
      <c r="H2730">
        <v>3</v>
      </c>
      <c r="I2730">
        <v>3</v>
      </c>
      <c r="J2730">
        <v>90.91</v>
      </c>
      <c r="K2730">
        <v>13.33</v>
      </c>
      <c r="L2730">
        <f>_xlfn.XLOOKUP(C2730, dim_teams[team_name], dim_teams[team_id], "Not found", 0)</f>
        <v>5</v>
      </c>
    </row>
    <row r="2731" spans="1:12" x14ac:dyDescent="0.3">
      <c r="A2731" t="s">
        <v>722</v>
      </c>
      <c r="B2731">
        <v>2021</v>
      </c>
      <c r="C2731" t="s">
        <v>17</v>
      </c>
      <c r="D2731">
        <v>249</v>
      </c>
      <c r="E2731">
        <v>168</v>
      </c>
      <c r="F2731">
        <v>32</v>
      </c>
      <c r="G2731">
        <v>10</v>
      </c>
      <c r="H2731">
        <v>10</v>
      </c>
      <c r="I2731">
        <v>10</v>
      </c>
      <c r="J2731">
        <v>148.21</v>
      </c>
      <c r="K2731">
        <v>24.9</v>
      </c>
      <c r="L2731">
        <f>_xlfn.XLOOKUP(C2731, dim_teams[team_name], dim_teams[team_id], "Not found", 0)</f>
        <v>5</v>
      </c>
    </row>
    <row r="2732" spans="1:12" x14ac:dyDescent="0.3">
      <c r="A2732" t="s">
        <v>722</v>
      </c>
      <c r="B2732">
        <v>2022</v>
      </c>
      <c r="C2732" t="s">
        <v>17</v>
      </c>
      <c r="D2732">
        <v>258</v>
      </c>
      <c r="E2732">
        <v>191</v>
      </c>
      <c r="F2732">
        <v>28</v>
      </c>
      <c r="G2732">
        <v>10</v>
      </c>
      <c r="H2732">
        <v>10</v>
      </c>
      <c r="I2732">
        <v>10</v>
      </c>
      <c r="J2732">
        <v>135.08000000000001</v>
      </c>
      <c r="K2732">
        <v>25.8</v>
      </c>
      <c r="L2732">
        <f>_xlfn.XLOOKUP(C2732, dim_teams[team_name], dim_teams[team_id], "Not found", 0)</f>
        <v>5</v>
      </c>
    </row>
    <row r="2733" spans="1:12" x14ac:dyDescent="0.3">
      <c r="A2733" t="s">
        <v>722</v>
      </c>
      <c r="B2733">
        <v>2023</v>
      </c>
      <c r="C2733" t="s">
        <v>17</v>
      </c>
      <c r="D2733">
        <v>625</v>
      </c>
      <c r="E2733">
        <v>381</v>
      </c>
      <c r="F2733">
        <v>83</v>
      </c>
      <c r="G2733">
        <v>26</v>
      </c>
      <c r="H2733">
        <v>12</v>
      </c>
      <c r="I2733">
        <v>14</v>
      </c>
      <c r="J2733">
        <v>164.04</v>
      </c>
      <c r="K2733">
        <v>52.08</v>
      </c>
      <c r="L2733">
        <f>_xlfn.XLOOKUP(C2733, dim_teams[team_name], dim_teams[team_id], "Not found", 0)</f>
        <v>5</v>
      </c>
    </row>
    <row r="2734" spans="1:12" x14ac:dyDescent="0.3">
      <c r="A2734" t="s">
        <v>722</v>
      </c>
      <c r="B2734">
        <v>2024</v>
      </c>
      <c r="C2734" t="s">
        <v>17</v>
      </c>
      <c r="D2734">
        <v>435</v>
      </c>
      <c r="E2734">
        <v>278</v>
      </c>
      <c r="F2734">
        <v>54</v>
      </c>
      <c r="G2734">
        <v>16</v>
      </c>
      <c r="H2734">
        <v>14</v>
      </c>
      <c r="I2734">
        <v>15</v>
      </c>
      <c r="J2734">
        <v>156.47</v>
      </c>
      <c r="K2734">
        <v>31.07</v>
      </c>
      <c r="L2734">
        <f>_xlfn.XLOOKUP(C2734, dim_teams[team_name], dim_teams[team_id], "Not found", 0)</f>
        <v>5</v>
      </c>
    </row>
    <row r="2735" spans="1:12" x14ac:dyDescent="0.3">
      <c r="A2735" t="s">
        <v>722</v>
      </c>
      <c r="B2735">
        <v>2025</v>
      </c>
      <c r="C2735" t="s">
        <v>17</v>
      </c>
      <c r="D2735">
        <v>559</v>
      </c>
      <c r="E2735">
        <v>350</v>
      </c>
      <c r="F2735">
        <v>60</v>
      </c>
      <c r="G2735">
        <v>28</v>
      </c>
      <c r="H2735">
        <v>13</v>
      </c>
      <c r="I2735">
        <v>14</v>
      </c>
      <c r="J2735">
        <v>159.71</v>
      </c>
      <c r="K2735">
        <v>43</v>
      </c>
      <c r="L2735">
        <f>_xlfn.XLOOKUP(C2735, dim_teams[team_name], dim_teams[team_id], "Not found", 0)</f>
        <v>5</v>
      </c>
    </row>
    <row r="2736" spans="1:12" x14ac:dyDescent="0.3">
      <c r="A2736" t="s">
        <v>723</v>
      </c>
      <c r="B2736">
        <v>2008</v>
      </c>
      <c r="C2736" t="s">
        <v>17</v>
      </c>
      <c r="D2736">
        <v>435</v>
      </c>
      <c r="E2736">
        <v>239</v>
      </c>
      <c r="F2736">
        <v>43</v>
      </c>
      <c r="G2736">
        <v>25</v>
      </c>
      <c r="H2736">
        <v>12</v>
      </c>
      <c r="I2736">
        <v>15</v>
      </c>
      <c r="J2736">
        <v>182.01</v>
      </c>
      <c r="K2736">
        <v>36.25</v>
      </c>
      <c r="L2736">
        <f>_xlfn.XLOOKUP(C2736, dim_teams[team_name], dim_teams[team_id], "Not found", 0)</f>
        <v>5</v>
      </c>
    </row>
    <row r="2737" spans="1:12" x14ac:dyDescent="0.3">
      <c r="A2737" t="s">
        <v>723</v>
      </c>
      <c r="B2737">
        <v>2009</v>
      </c>
      <c r="C2737" t="s">
        <v>17</v>
      </c>
      <c r="D2737">
        <v>261</v>
      </c>
      <c r="E2737">
        <v>187</v>
      </c>
      <c r="F2737">
        <v>25</v>
      </c>
      <c r="G2737">
        <v>14</v>
      </c>
      <c r="H2737">
        <v>12</v>
      </c>
      <c r="I2737">
        <v>13</v>
      </c>
      <c r="J2737">
        <v>139.57</v>
      </c>
      <c r="K2737">
        <v>21.75</v>
      </c>
      <c r="L2737">
        <f>_xlfn.XLOOKUP(C2737, dim_teams[team_name], dim_teams[team_id], "Not found", 0)</f>
        <v>5</v>
      </c>
    </row>
    <row r="2738" spans="1:12" x14ac:dyDescent="0.3">
      <c r="A2738" t="s">
        <v>723</v>
      </c>
      <c r="B2738">
        <v>2010</v>
      </c>
      <c r="C2738" t="s">
        <v>17</v>
      </c>
      <c r="D2738">
        <v>333</v>
      </c>
      <c r="E2738">
        <v>200</v>
      </c>
      <c r="F2738">
        <v>22</v>
      </c>
      <c r="G2738">
        <v>24</v>
      </c>
      <c r="H2738">
        <v>11</v>
      </c>
      <c r="I2738">
        <v>14</v>
      </c>
      <c r="J2738">
        <v>166.5</v>
      </c>
      <c r="K2738">
        <v>30.27</v>
      </c>
      <c r="L2738">
        <f>_xlfn.XLOOKUP(C2738, dim_teams[team_name], dim_teams[team_id], "Not found", 0)</f>
        <v>5</v>
      </c>
    </row>
    <row r="2739" spans="1:12" x14ac:dyDescent="0.3">
      <c r="A2739" t="s">
        <v>723</v>
      </c>
      <c r="B2739">
        <v>2011</v>
      </c>
      <c r="C2739" t="s">
        <v>19</v>
      </c>
      <c r="D2739">
        <v>283</v>
      </c>
      <c r="E2739">
        <v>200</v>
      </c>
      <c r="F2739">
        <v>24</v>
      </c>
      <c r="G2739">
        <v>13</v>
      </c>
      <c r="H2739">
        <v>9</v>
      </c>
      <c r="I2739">
        <v>11</v>
      </c>
      <c r="J2739">
        <v>141.5</v>
      </c>
      <c r="K2739">
        <v>31.44</v>
      </c>
      <c r="L2739">
        <f>_xlfn.XLOOKUP(C2739, dim_teams[team_name], dim_teams[team_id], "Not found", 0)</f>
        <v>1</v>
      </c>
    </row>
    <row r="2740" spans="1:12" x14ac:dyDescent="0.3">
      <c r="A2740" t="s">
        <v>723</v>
      </c>
      <c r="B2740">
        <v>2012</v>
      </c>
      <c r="C2740" t="s">
        <v>19</v>
      </c>
      <c r="D2740">
        <v>194</v>
      </c>
      <c r="E2740">
        <v>166</v>
      </c>
      <c r="F2740">
        <v>10</v>
      </c>
      <c r="G2740">
        <v>7</v>
      </c>
      <c r="H2740">
        <v>11</v>
      </c>
      <c r="I2740">
        <v>16</v>
      </c>
      <c r="J2740">
        <v>116.87</v>
      </c>
      <c r="K2740">
        <v>17.64</v>
      </c>
      <c r="L2740">
        <f>_xlfn.XLOOKUP(C2740, dim_teams[team_name], dim_teams[team_id], "Not found", 0)</f>
        <v>1</v>
      </c>
    </row>
    <row r="2741" spans="1:12" x14ac:dyDescent="0.3">
      <c r="A2741" t="s">
        <v>723</v>
      </c>
      <c r="B2741">
        <v>2013</v>
      </c>
      <c r="C2741" t="s">
        <v>19</v>
      </c>
      <c r="D2741">
        <v>332</v>
      </c>
      <c r="E2741">
        <v>239</v>
      </c>
      <c r="F2741">
        <v>30</v>
      </c>
      <c r="G2741">
        <v>15</v>
      </c>
      <c r="H2741">
        <v>12</v>
      </c>
      <c r="I2741">
        <v>16</v>
      </c>
      <c r="J2741">
        <v>138.91</v>
      </c>
      <c r="K2741">
        <v>27.67</v>
      </c>
      <c r="L2741">
        <f>_xlfn.XLOOKUP(C2741, dim_teams[team_name], dim_teams[team_id], "Not found", 0)</f>
        <v>1</v>
      </c>
    </row>
    <row r="2742" spans="1:12" x14ac:dyDescent="0.3">
      <c r="A2742" t="s">
        <v>723</v>
      </c>
      <c r="B2742">
        <v>2014</v>
      </c>
      <c r="C2742" t="s">
        <v>19</v>
      </c>
      <c r="D2742">
        <v>268</v>
      </c>
      <c r="E2742">
        <v>165</v>
      </c>
      <c r="F2742">
        <v>15</v>
      </c>
      <c r="G2742">
        <v>20</v>
      </c>
      <c r="H2742">
        <v>9</v>
      </c>
      <c r="I2742">
        <v>12</v>
      </c>
      <c r="J2742">
        <v>162.41999999999999</v>
      </c>
      <c r="K2742">
        <v>29.78</v>
      </c>
      <c r="L2742">
        <f>_xlfn.XLOOKUP(C2742, dim_teams[team_name], dim_teams[team_id], "Not found", 0)</f>
        <v>1</v>
      </c>
    </row>
    <row r="2743" spans="1:12" x14ac:dyDescent="0.3">
      <c r="A2743" t="s">
        <v>723</v>
      </c>
      <c r="B2743">
        <v>2015</v>
      </c>
      <c r="C2743" t="s">
        <v>19</v>
      </c>
      <c r="D2743">
        <v>312</v>
      </c>
      <c r="E2743">
        <v>229</v>
      </c>
      <c r="F2743">
        <v>29</v>
      </c>
      <c r="G2743">
        <v>12</v>
      </c>
      <c r="H2743">
        <v>7</v>
      </c>
      <c r="I2743">
        <v>12</v>
      </c>
      <c r="J2743">
        <v>136.24</v>
      </c>
      <c r="K2743">
        <v>44.57</v>
      </c>
      <c r="L2743">
        <f>_xlfn.XLOOKUP(C2743, dim_teams[team_name], dim_teams[team_id], "Not found", 0)</f>
        <v>1</v>
      </c>
    </row>
    <row r="2744" spans="1:12" x14ac:dyDescent="0.3">
      <c r="A2744" t="s">
        <v>723</v>
      </c>
      <c r="B2744">
        <v>2016</v>
      </c>
      <c r="C2744" t="s">
        <v>19</v>
      </c>
      <c r="D2744">
        <v>361</v>
      </c>
      <c r="E2744">
        <v>248</v>
      </c>
      <c r="F2744">
        <v>33</v>
      </c>
      <c r="G2744">
        <v>13</v>
      </c>
      <c r="H2744">
        <v>7</v>
      </c>
      <c r="I2744">
        <v>13</v>
      </c>
      <c r="J2744">
        <v>145.56</v>
      </c>
      <c r="K2744">
        <v>51.57</v>
      </c>
      <c r="L2744">
        <f>_xlfn.XLOOKUP(C2744, dim_teams[team_name], dim_teams[team_id], "Not found", 0)</f>
        <v>1</v>
      </c>
    </row>
    <row r="2745" spans="1:12" x14ac:dyDescent="0.3">
      <c r="A2745" t="s">
        <v>723</v>
      </c>
      <c r="B2745">
        <v>2017</v>
      </c>
      <c r="C2745" t="s">
        <v>19</v>
      </c>
      <c r="D2745">
        <v>143</v>
      </c>
      <c r="E2745">
        <v>115</v>
      </c>
      <c r="F2745">
        <v>9</v>
      </c>
      <c r="G2745">
        <v>6</v>
      </c>
      <c r="H2745">
        <v>9</v>
      </c>
      <c r="I2745">
        <v>11</v>
      </c>
      <c r="J2745">
        <v>124.35</v>
      </c>
      <c r="K2745">
        <v>15.89</v>
      </c>
      <c r="L2745">
        <f>_xlfn.XLOOKUP(C2745, dim_teams[team_name], dim_teams[team_id], "Not found", 0)</f>
        <v>1</v>
      </c>
    </row>
    <row r="2746" spans="1:12" x14ac:dyDescent="0.3">
      <c r="A2746" t="s">
        <v>723</v>
      </c>
      <c r="B2746">
        <v>2018</v>
      </c>
      <c r="C2746" t="s">
        <v>13</v>
      </c>
      <c r="D2746">
        <v>260</v>
      </c>
      <c r="E2746">
        <v>200</v>
      </c>
      <c r="F2746">
        <v>22</v>
      </c>
      <c r="G2746">
        <v>11</v>
      </c>
      <c r="H2746">
        <v>9</v>
      </c>
      <c r="I2746">
        <v>13</v>
      </c>
      <c r="J2746">
        <v>130</v>
      </c>
      <c r="K2746">
        <v>28.89</v>
      </c>
      <c r="L2746">
        <f>_xlfn.XLOOKUP(C2746, dim_teams[team_name], dim_teams[team_id], "Not found", 0)</f>
        <v>11</v>
      </c>
    </row>
    <row r="2747" spans="1:12" x14ac:dyDescent="0.3">
      <c r="A2747" t="s">
        <v>723</v>
      </c>
      <c r="B2747">
        <v>2019</v>
      </c>
      <c r="C2747" t="s">
        <v>13</v>
      </c>
      <c r="D2747">
        <v>40</v>
      </c>
      <c r="E2747">
        <v>45</v>
      </c>
      <c r="F2747">
        <v>1</v>
      </c>
      <c r="G2747">
        <v>1</v>
      </c>
      <c r="H2747">
        <v>3</v>
      </c>
      <c r="I2747">
        <v>7</v>
      </c>
      <c r="J2747">
        <v>88.89</v>
      </c>
      <c r="K2747">
        <v>13.33</v>
      </c>
      <c r="L2747">
        <f>_xlfn.XLOOKUP(C2747, dim_teams[team_name], dim_teams[team_id], "Not found", 0)</f>
        <v>11</v>
      </c>
    </row>
    <row r="2748" spans="1:12" x14ac:dyDescent="0.3">
      <c r="A2748" t="s">
        <v>724</v>
      </c>
      <c r="B2748">
        <v>2014</v>
      </c>
      <c r="C2748" t="s">
        <v>21</v>
      </c>
      <c r="D2748">
        <v>1</v>
      </c>
      <c r="E2748">
        <v>1</v>
      </c>
      <c r="F2748">
        <v>0</v>
      </c>
      <c r="G2748">
        <v>0</v>
      </c>
      <c r="H2748">
        <v>0</v>
      </c>
      <c r="I2748">
        <v>1</v>
      </c>
      <c r="J2748">
        <v>100</v>
      </c>
      <c r="L2748">
        <f>_xlfn.XLOOKUP(C2748, dim_teams[team_name], dim_teams[team_id], "Not found", 0)</f>
        <v>2</v>
      </c>
    </row>
    <row r="2749" spans="1:12" x14ac:dyDescent="0.3">
      <c r="A2749" t="s">
        <v>724</v>
      </c>
      <c r="B2749">
        <v>2015</v>
      </c>
      <c r="C2749" t="s">
        <v>21</v>
      </c>
      <c r="D2749">
        <v>1</v>
      </c>
      <c r="E2749">
        <v>1</v>
      </c>
      <c r="F2749">
        <v>0</v>
      </c>
      <c r="G2749">
        <v>0</v>
      </c>
      <c r="H2749">
        <v>0</v>
      </c>
      <c r="I2749">
        <v>1</v>
      </c>
      <c r="J2749">
        <v>100</v>
      </c>
      <c r="L2749">
        <f>_xlfn.XLOOKUP(C2749, dim_teams[team_name], dim_teams[team_id], "Not found", 0)</f>
        <v>2</v>
      </c>
    </row>
    <row r="2750" spans="1:12" x14ac:dyDescent="0.3">
      <c r="A2750" t="s">
        <v>724</v>
      </c>
      <c r="B2750">
        <v>2017</v>
      </c>
      <c r="C2750" t="s">
        <v>21</v>
      </c>
      <c r="D2750">
        <v>13</v>
      </c>
      <c r="E2750">
        <v>26</v>
      </c>
      <c r="F2750">
        <v>0</v>
      </c>
      <c r="G2750">
        <v>0</v>
      </c>
      <c r="H2750">
        <v>2</v>
      </c>
      <c r="I2750">
        <v>6</v>
      </c>
      <c r="J2750">
        <v>50</v>
      </c>
      <c r="K2750">
        <v>6.5</v>
      </c>
      <c r="L2750">
        <f>_xlfn.XLOOKUP(C2750, dim_teams[team_name], dim_teams[team_id], "Not found", 0)</f>
        <v>2</v>
      </c>
    </row>
    <row r="2751" spans="1:12" x14ac:dyDescent="0.3">
      <c r="A2751" t="s">
        <v>724</v>
      </c>
      <c r="B2751">
        <v>2018</v>
      </c>
      <c r="C2751" t="s">
        <v>21</v>
      </c>
      <c r="D2751">
        <v>0</v>
      </c>
      <c r="E2751">
        <v>4</v>
      </c>
      <c r="F2751">
        <v>0</v>
      </c>
      <c r="G2751">
        <v>0</v>
      </c>
      <c r="H2751">
        <v>0</v>
      </c>
      <c r="I2751">
        <v>1</v>
      </c>
      <c r="J2751">
        <v>0</v>
      </c>
      <c r="L2751">
        <f>_xlfn.XLOOKUP(C2751, dim_teams[team_name], dim_teams[team_id], "Not found", 0)</f>
        <v>2</v>
      </c>
    </row>
    <row r="2752" spans="1:12" x14ac:dyDescent="0.3">
      <c r="A2752" t="s">
        <v>724</v>
      </c>
      <c r="B2752">
        <v>2019</v>
      </c>
      <c r="C2752" t="s">
        <v>21</v>
      </c>
      <c r="D2752">
        <v>6</v>
      </c>
      <c r="E2752">
        <v>16</v>
      </c>
      <c r="F2752">
        <v>0</v>
      </c>
      <c r="G2752">
        <v>0</v>
      </c>
      <c r="H2752">
        <v>2</v>
      </c>
      <c r="I2752">
        <v>3</v>
      </c>
      <c r="J2752">
        <v>37.5</v>
      </c>
      <c r="K2752">
        <v>3</v>
      </c>
      <c r="L2752">
        <f>_xlfn.XLOOKUP(C2752, dim_teams[team_name], dim_teams[team_id], "Not found", 0)</f>
        <v>2</v>
      </c>
    </row>
    <row r="2753" spans="1:12" x14ac:dyDescent="0.3">
      <c r="A2753" t="s">
        <v>724</v>
      </c>
      <c r="B2753">
        <v>2020</v>
      </c>
      <c r="C2753" t="s">
        <v>21</v>
      </c>
      <c r="D2753">
        <v>1</v>
      </c>
      <c r="E2753">
        <v>3</v>
      </c>
      <c r="F2753">
        <v>0</v>
      </c>
      <c r="G2753">
        <v>0</v>
      </c>
      <c r="H2753">
        <v>1</v>
      </c>
      <c r="I2753">
        <v>2</v>
      </c>
      <c r="J2753">
        <v>33.33</v>
      </c>
      <c r="K2753">
        <v>1</v>
      </c>
      <c r="L2753">
        <f>_xlfn.XLOOKUP(C2753, dim_teams[team_name], dim_teams[team_id], "Not found", 0)</f>
        <v>2</v>
      </c>
    </row>
    <row r="2754" spans="1:12" x14ac:dyDescent="0.3">
      <c r="A2754" t="s">
        <v>724</v>
      </c>
      <c r="B2754">
        <v>2021</v>
      </c>
      <c r="C2754" t="s">
        <v>21</v>
      </c>
      <c r="D2754">
        <v>10</v>
      </c>
      <c r="E2754">
        <v>27</v>
      </c>
      <c r="F2754">
        <v>0</v>
      </c>
      <c r="G2754">
        <v>0</v>
      </c>
      <c r="H2754">
        <v>0</v>
      </c>
      <c r="I2754">
        <v>2</v>
      </c>
      <c r="J2754">
        <v>37.04</v>
      </c>
      <c r="L2754">
        <f>_xlfn.XLOOKUP(C2754, dim_teams[team_name], dim_teams[team_id], "Not found", 0)</f>
        <v>2</v>
      </c>
    </row>
    <row r="2755" spans="1:12" x14ac:dyDescent="0.3">
      <c r="A2755" t="s">
        <v>724</v>
      </c>
      <c r="B2755">
        <v>2022</v>
      </c>
      <c r="C2755" t="s">
        <v>17</v>
      </c>
      <c r="D2755">
        <v>5</v>
      </c>
      <c r="E2755">
        <v>8</v>
      </c>
      <c r="F2755">
        <v>0</v>
      </c>
      <c r="G2755">
        <v>0</v>
      </c>
      <c r="H2755">
        <v>1</v>
      </c>
      <c r="I2755">
        <v>1</v>
      </c>
      <c r="J2755">
        <v>62.5</v>
      </c>
      <c r="K2755">
        <v>5</v>
      </c>
      <c r="L2755">
        <f>_xlfn.XLOOKUP(C2755, dim_teams[team_name], dim_teams[team_id], "Not found", 0)</f>
        <v>5</v>
      </c>
    </row>
    <row r="2756" spans="1:12" x14ac:dyDescent="0.3">
      <c r="A2756" t="s">
        <v>725</v>
      </c>
      <c r="B2756">
        <v>2023</v>
      </c>
      <c r="C2756" t="s">
        <v>33</v>
      </c>
      <c r="D2756">
        <v>16</v>
      </c>
      <c r="E2756">
        <v>23</v>
      </c>
      <c r="F2756">
        <v>1</v>
      </c>
      <c r="G2756">
        <v>0</v>
      </c>
      <c r="H2756">
        <v>3</v>
      </c>
      <c r="I2756">
        <v>3</v>
      </c>
      <c r="J2756">
        <v>69.569999999999993</v>
      </c>
      <c r="K2756">
        <v>5.33</v>
      </c>
      <c r="L2756">
        <f>_xlfn.XLOOKUP(C2756, dim_teams[team_name], dim_teams[team_id], "Not found", 0)</f>
        <v>15</v>
      </c>
    </row>
    <row r="2757" spans="1:12" x14ac:dyDescent="0.3">
      <c r="A2757" t="s">
        <v>726</v>
      </c>
      <c r="B2757">
        <v>2008</v>
      </c>
      <c r="C2757" t="s">
        <v>23</v>
      </c>
      <c r="D2757">
        <v>70</v>
      </c>
      <c r="E2757">
        <v>64</v>
      </c>
      <c r="F2757">
        <v>7</v>
      </c>
      <c r="G2757">
        <v>2</v>
      </c>
      <c r="H2757">
        <v>2</v>
      </c>
      <c r="I2757">
        <v>4</v>
      </c>
      <c r="J2757">
        <v>109.38</v>
      </c>
      <c r="K2757">
        <v>35</v>
      </c>
      <c r="L2757">
        <f>_xlfn.XLOOKUP(C2757, dim_teams[team_name], dim_teams[team_id], "Not found", 0)</f>
        <v>7</v>
      </c>
    </row>
    <row r="2758" spans="1:12" x14ac:dyDescent="0.3">
      <c r="A2758" t="s">
        <v>726</v>
      </c>
      <c r="B2758">
        <v>2009</v>
      </c>
      <c r="C2758" t="s">
        <v>23</v>
      </c>
      <c r="D2758">
        <v>18</v>
      </c>
      <c r="E2758">
        <v>22</v>
      </c>
      <c r="F2758">
        <v>2</v>
      </c>
      <c r="G2758">
        <v>0</v>
      </c>
      <c r="H2758">
        <v>1</v>
      </c>
      <c r="I2758">
        <v>1</v>
      </c>
      <c r="J2758">
        <v>81.819999999999993</v>
      </c>
      <c r="K2758">
        <v>18</v>
      </c>
      <c r="L2758">
        <f>_xlfn.XLOOKUP(C2758, dim_teams[team_name], dim_teams[team_id], "Not found", 0)</f>
        <v>7</v>
      </c>
    </row>
    <row r="2759" spans="1:12" x14ac:dyDescent="0.3">
      <c r="A2759" t="s">
        <v>726</v>
      </c>
      <c r="B2759">
        <v>2014</v>
      </c>
      <c r="C2759" t="s">
        <v>21</v>
      </c>
      <c r="D2759">
        <v>104</v>
      </c>
      <c r="E2759">
        <v>91</v>
      </c>
      <c r="F2759">
        <v>17</v>
      </c>
      <c r="G2759">
        <v>1</v>
      </c>
      <c r="H2759">
        <v>5</v>
      </c>
      <c r="I2759">
        <v>5</v>
      </c>
      <c r="J2759">
        <v>114.29</v>
      </c>
      <c r="K2759">
        <v>20.8</v>
      </c>
      <c r="L2759">
        <f>_xlfn.XLOOKUP(C2759, dim_teams[team_name], dim_teams[team_id], "Not found", 0)</f>
        <v>2</v>
      </c>
    </row>
    <row r="2760" spans="1:12" x14ac:dyDescent="0.3">
      <c r="A2760" t="s">
        <v>727</v>
      </c>
      <c r="B2760">
        <v>2022</v>
      </c>
      <c r="C2760" t="s">
        <v>29</v>
      </c>
      <c r="D2760">
        <v>0</v>
      </c>
      <c r="E2760">
        <v>1</v>
      </c>
      <c r="F2760">
        <v>0</v>
      </c>
      <c r="G2760">
        <v>0</v>
      </c>
      <c r="H2760">
        <v>1</v>
      </c>
      <c r="I2760">
        <v>1</v>
      </c>
      <c r="J2760">
        <v>0</v>
      </c>
      <c r="K2760">
        <v>0</v>
      </c>
      <c r="L2760">
        <f>_xlfn.XLOOKUP(C2760, dim_teams[team_name], dim_teams[team_id], "Not found", 0)</f>
        <v>18</v>
      </c>
    </row>
    <row r="2761" spans="1:12" x14ac:dyDescent="0.3">
      <c r="A2761" t="s">
        <v>727</v>
      </c>
      <c r="B2761">
        <v>2025</v>
      </c>
      <c r="C2761" t="s">
        <v>102</v>
      </c>
      <c r="D2761">
        <v>4</v>
      </c>
      <c r="E2761">
        <v>8</v>
      </c>
      <c r="F2761">
        <v>0</v>
      </c>
      <c r="G2761">
        <v>0</v>
      </c>
      <c r="H2761">
        <v>2</v>
      </c>
      <c r="I2761">
        <v>3</v>
      </c>
      <c r="J2761">
        <v>50</v>
      </c>
      <c r="K2761">
        <v>2</v>
      </c>
      <c r="L2761">
        <f>_xlfn.XLOOKUP(C2761, dim_teams[team_name], dim_teams[team_id], "Not found", 0)</f>
        <v>19</v>
      </c>
    </row>
    <row r="2762" spans="1:12" x14ac:dyDescent="0.3">
      <c r="A2762" t="s">
        <v>728</v>
      </c>
      <c r="B2762">
        <v>2009</v>
      </c>
      <c r="C2762" t="s">
        <v>19</v>
      </c>
      <c r="D2762">
        <v>47</v>
      </c>
      <c r="E2762">
        <v>65</v>
      </c>
      <c r="F2762">
        <v>5</v>
      </c>
      <c r="G2762">
        <v>0</v>
      </c>
      <c r="H2762">
        <v>4</v>
      </c>
      <c r="I2762">
        <v>4</v>
      </c>
      <c r="J2762">
        <v>72.31</v>
      </c>
      <c r="K2762">
        <v>11.75</v>
      </c>
      <c r="L2762">
        <f>_xlfn.XLOOKUP(C2762, dim_teams[team_name], dim_teams[team_id], "Not found", 0)</f>
        <v>1</v>
      </c>
    </row>
    <row r="2763" spans="1:12" x14ac:dyDescent="0.3">
      <c r="A2763" t="s">
        <v>729</v>
      </c>
      <c r="B2763">
        <v>2008</v>
      </c>
      <c r="C2763" t="s">
        <v>17</v>
      </c>
      <c r="D2763">
        <v>3</v>
      </c>
      <c r="E2763">
        <v>7</v>
      </c>
      <c r="F2763">
        <v>0</v>
      </c>
      <c r="G2763">
        <v>0</v>
      </c>
      <c r="H2763">
        <v>1</v>
      </c>
      <c r="I2763">
        <v>1</v>
      </c>
      <c r="J2763">
        <v>42.86</v>
      </c>
      <c r="K2763">
        <v>3</v>
      </c>
      <c r="L2763">
        <f>_xlfn.XLOOKUP(C2763, dim_teams[team_name], dim_teams[team_id], "Not found", 0)</f>
        <v>5</v>
      </c>
    </row>
    <row r="2764" spans="1:12" x14ac:dyDescent="0.3">
      <c r="A2764" t="s">
        <v>730</v>
      </c>
      <c r="B2764">
        <v>2023</v>
      </c>
      <c r="C2764" t="s">
        <v>15</v>
      </c>
      <c r="D2764">
        <v>1</v>
      </c>
      <c r="E2764">
        <v>2</v>
      </c>
      <c r="F2764">
        <v>0</v>
      </c>
      <c r="G2764">
        <v>0</v>
      </c>
      <c r="H2764">
        <v>2</v>
      </c>
      <c r="I2764">
        <v>2</v>
      </c>
      <c r="J2764">
        <v>50</v>
      </c>
      <c r="K2764">
        <v>0.5</v>
      </c>
      <c r="L2764">
        <f>_xlfn.XLOOKUP(C2764, dim_teams[team_name], dim_teams[team_id], "Not found", 0)</f>
        <v>17</v>
      </c>
    </row>
    <row r="2765" spans="1:12" x14ac:dyDescent="0.3">
      <c r="A2765" t="s">
        <v>730</v>
      </c>
      <c r="B2765">
        <v>2024</v>
      </c>
      <c r="C2765" t="s">
        <v>15</v>
      </c>
      <c r="D2765">
        <v>21</v>
      </c>
      <c r="E2765">
        <v>14</v>
      </c>
      <c r="F2765">
        <v>1</v>
      </c>
      <c r="G2765">
        <v>2</v>
      </c>
      <c r="H2765">
        <v>2</v>
      </c>
      <c r="I2765">
        <v>2</v>
      </c>
      <c r="J2765">
        <v>150</v>
      </c>
      <c r="K2765">
        <v>10.5</v>
      </c>
      <c r="L2765">
        <f>_xlfn.XLOOKUP(C2765, dim_teams[team_name], dim_teams[team_id], "Not found", 0)</f>
        <v>17</v>
      </c>
    </row>
    <row r="2766" spans="1:12" x14ac:dyDescent="0.3">
      <c r="A2766" t="s">
        <v>731</v>
      </c>
      <c r="B2766">
        <v>2008</v>
      </c>
      <c r="C2766" t="s">
        <v>54</v>
      </c>
      <c r="D2766">
        <v>299</v>
      </c>
      <c r="E2766">
        <v>184</v>
      </c>
      <c r="F2766">
        <v>24</v>
      </c>
      <c r="G2766">
        <v>19</v>
      </c>
      <c r="H2766">
        <v>12</v>
      </c>
      <c r="I2766">
        <v>14</v>
      </c>
      <c r="J2766">
        <v>162.5</v>
      </c>
      <c r="K2766">
        <v>24.92</v>
      </c>
      <c r="L2766">
        <f>_xlfn.XLOOKUP(C2766, dim_teams[team_name], dim_teams[team_id], "Not found", 0)</f>
        <v>4</v>
      </c>
    </row>
    <row r="2767" spans="1:12" x14ac:dyDescent="0.3">
      <c r="A2767" t="s">
        <v>731</v>
      </c>
      <c r="B2767">
        <v>2009</v>
      </c>
      <c r="C2767" t="s">
        <v>54</v>
      </c>
      <c r="D2767">
        <v>340</v>
      </c>
      <c r="E2767">
        <v>294</v>
      </c>
      <c r="F2767">
        <v>25</v>
      </c>
      <c r="G2767">
        <v>16</v>
      </c>
      <c r="H2767">
        <v>12</v>
      </c>
      <c r="I2767">
        <v>14</v>
      </c>
      <c r="J2767">
        <v>115.65</v>
      </c>
      <c r="K2767">
        <v>28.33</v>
      </c>
      <c r="L2767">
        <f>_xlfn.XLOOKUP(C2767, dim_teams[team_name], dim_teams[team_id], "Not found", 0)</f>
        <v>4</v>
      </c>
    </row>
    <row r="2768" spans="1:12" x14ac:dyDescent="0.3">
      <c r="A2768" t="s">
        <v>731</v>
      </c>
      <c r="B2768">
        <v>2010</v>
      </c>
      <c r="C2768" t="s">
        <v>54</v>
      </c>
      <c r="D2768">
        <v>259</v>
      </c>
      <c r="E2768">
        <v>200</v>
      </c>
      <c r="F2768">
        <v>21</v>
      </c>
      <c r="G2768">
        <v>14</v>
      </c>
      <c r="H2768">
        <v>12</v>
      </c>
      <c r="I2768">
        <v>14</v>
      </c>
      <c r="J2768">
        <v>129.5</v>
      </c>
      <c r="K2768">
        <v>21.58</v>
      </c>
      <c r="L2768">
        <f>_xlfn.XLOOKUP(C2768, dim_teams[team_name], dim_teams[team_id], "Not found", 0)</f>
        <v>4</v>
      </c>
    </row>
    <row r="2769" spans="1:12" x14ac:dyDescent="0.3">
      <c r="A2769" t="s">
        <v>731</v>
      </c>
      <c r="B2769">
        <v>2011</v>
      </c>
      <c r="C2769" t="s">
        <v>37</v>
      </c>
      <c r="D2769">
        <v>343</v>
      </c>
      <c r="E2769">
        <v>261</v>
      </c>
      <c r="F2769">
        <v>24</v>
      </c>
      <c r="G2769">
        <v>18</v>
      </c>
      <c r="H2769">
        <v>9</v>
      </c>
      <c r="I2769">
        <v>13</v>
      </c>
      <c r="J2769">
        <v>131.41999999999999</v>
      </c>
      <c r="K2769">
        <v>38.11</v>
      </c>
      <c r="L2769">
        <f>_xlfn.XLOOKUP(C2769, dim_teams[team_name], dim_teams[team_id], "Not found", 0)</f>
        <v>10</v>
      </c>
    </row>
    <row r="2770" spans="1:12" x14ac:dyDescent="0.3">
      <c r="A2770" t="s">
        <v>731</v>
      </c>
      <c r="B2770">
        <v>2013</v>
      </c>
      <c r="C2770" t="s">
        <v>37</v>
      </c>
      <c r="D2770">
        <v>238</v>
      </c>
      <c r="E2770">
        <v>190</v>
      </c>
      <c r="F2770">
        <v>14</v>
      </c>
      <c r="G2770">
        <v>15</v>
      </c>
      <c r="H2770">
        <v>12</v>
      </c>
      <c r="I2770">
        <v>13</v>
      </c>
      <c r="J2770">
        <v>125.26</v>
      </c>
      <c r="K2770">
        <v>19.829999999999998</v>
      </c>
      <c r="L2770">
        <f>_xlfn.XLOOKUP(C2770, dim_teams[team_name], dim_teams[team_id], "Not found", 0)</f>
        <v>10</v>
      </c>
    </row>
    <row r="2771" spans="1:12" x14ac:dyDescent="0.3">
      <c r="A2771" t="s">
        <v>731</v>
      </c>
      <c r="B2771">
        <v>2014</v>
      </c>
      <c r="C2771" t="s">
        <v>21</v>
      </c>
      <c r="D2771">
        <v>376</v>
      </c>
      <c r="E2771">
        <v>274</v>
      </c>
      <c r="F2771">
        <v>22</v>
      </c>
      <c r="G2771">
        <v>28</v>
      </c>
      <c r="H2771">
        <v>10</v>
      </c>
      <c r="I2771">
        <v>14</v>
      </c>
      <c r="J2771">
        <v>137.22999999999999</v>
      </c>
      <c r="K2771">
        <v>37.6</v>
      </c>
      <c r="L2771">
        <f>_xlfn.XLOOKUP(C2771, dim_teams[team_name], dim_teams[team_id], "Not found", 0)</f>
        <v>2</v>
      </c>
    </row>
    <row r="2772" spans="1:12" x14ac:dyDescent="0.3">
      <c r="A2772" t="s">
        <v>731</v>
      </c>
      <c r="B2772">
        <v>2015</v>
      </c>
      <c r="C2772" t="s">
        <v>32</v>
      </c>
      <c r="D2772">
        <v>248</v>
      </c>
      <c r="E2772">
        <v>209</v>
      </c>
      <c r="F2772">
        <v>23</v>
      </c>
      <c r="G2772">
        <v>10</v>
      </c>
      <c r="H2772">
        <v>13</v>
      </c>
      <c r="I2772">
        <v>13</v>
      </c>
      <c r="J2772">
        <v>118.66</v>
      </c>
      <c r="K2772">
        <v>19.079999999999998</v>
      </c>
      <c r="L2772">
        <f>_xlfn.XLOOKUP(C2772, dim_teams[team_name], dim_teams[team_id], "Not found", 0)</f>
        <v>6</v>
      </c>
    </row>
    <row r="2773" spans="1:12" x14ac:dyDescent="0.3">
      <c r="A2773" t="s">
        <v>731</v>
      </c>
      <c r="B2773">
        <v>2016</v>
      </c>
      <c r="C2773" t="s">
        <v>13</v>
      </c>
      <c r="D2773">
        <v>236</v>
      </c>
      <c r="E2773">
        <v>179</v>
      </c>
      <c r="F2773">
        <v>22</v>
      </c>
      <c r="G2773">
        <v>13</v>
      </c>
      <c r="H2773">
        <v>10</v>
      </c>
      <c r="I2773">
        <v>10</v>
      </c>
      <c r="J2773">
        <v>131.84</v>
      </c>
      <c r="K2773">
        <v>23.6</v>
      </c>
      <c r="L2773">
        <f>_xlfn.XLOOKUP(C2773, dim_teams[team_name], dim_teams[team_id], "Not found", 0)</f>
        <v>11</v>
      </c>
    </row>
    <row r="2774" spans="1:12" x14ac:dyDescent="0.3">
      <c r="A2774" t="s">
        <v>731</v>
      </c>
      <c r="B2774">
        <v>2017</v>
      </c>
      <c r="C2774" t="s">
        <v>13</v>
      </c>
      <c r="D2774">
        <v>252</v>
      </c>
      <c r="E2774">
        <v>176</v>
      </c>
      <c r="F2774">
        <v>30</v>
      </c>
      <c r="G2774">
        <v>8</v>
      </c>
      <c r="H2774">
        <v>10</v>
      </c>
      <c r="I2774">
        <v>11</v>
      </c>
      <c r="J2774">
        <v>143.18</v>
      </c>
      <c r="K2774">
        <v>25.2</v>
      </c>
      <c r="L2774">
        <f>_xlfn.XLOOKUP(C2774, dim_teams[team_name], dim_teams[team_id], "Not found", 0)</f>
        <v>11</v>
      </c>
    </row>
    <row r="2775" spans="1:12" x14ac:dyDescent="0.3">
      <c r="A2775" t="s">
        <v>731</v>
      </c>
      <c r="B2775">
        <v>2018</v>
      </c>
      <c r="C2775" t="s">
        <v>54</v>
      </c>
      <c r="D2775">
        <v>65</v>
      </c>
      <c r="E2775">
        <v>73</v>
      </c>
      <c r="F2775">
        <v>6</v>
      </c>
      <c r="G2775">
        <v>2</v>
      </c>
      <c r="H2775">
        <v>5</v>
      </c>
      <c r="I2775">
        <v>6</v>
      </c>
      <c r="J2775">
        <v>89.04</v>
      </c>
      <c r="K2775">
        <v>13</v>
      </c>
      <c r="L2775">
        <f>_xlfn.XLOOKUP(C2775, dim_teams[team_name], dim_teams[team_id], "Not found", 0)</f>
        <v>4</v>
      </c>
    </row>
    <row r="2776" spans="1:12" x14ac:dyDescent="0.3">
      <c r="A2776" t="s">
        <v>731</v>
      </c>
      <c r="B2776">
        <v>2019</v>
      </c>
      <c r="C2776" t="s">
        <v>23</v>
      </c>
      <c r="D2776">
        <v>98</v>
      </c>
      <c r="E2776">
        <v>75</v>
      </c>
      <c r="F2776">
        <v>7</v>
      </c>
      <c r="G2776">
        <v>6</v>
      </c>
      <c r="H2776">
        <v>4</v>
      </c>
      <c r="I2776">
        <v>4</v>
      </c>
      <c r="J2776">
        <v>130.66999999999999</v>
      </c>
      <c r="K2776">
        <v>24.5</v>
      </c>
      <c r="L2776">
        <f>_xlfn.XLOOKUP(C2776, dim_teams[team_name], dim_teams[team_id], "Not found", 0)</f>
        <v>7</v>
      </c>
    </row>
    <row r="2777" spans="1:12" x14ac:dyDescent="0.3">
      <c r="A2777" t="s">
        <v>732</v>
      </c>
      <c r="B2777">
        <v>2008</v>
      </c>
      <c r="C2777" t="s">
        <v>21</v>
      </c>
      <c r="D2777">
        <v>34</v>
      </c>
      <c r="E2777">
        <v>42</v>
      </c>
      <c r="F2777">
        <v>4</v>
      </c>
      <c r="G2777">
        <v>0</v>
      </c>
      <c r="H2777">
        <v>4</v>
      </c>
      <c r="I2777">
        <v>7</v>
      </c>
      <c r="J2777">
        <v>80.95</v>
      </c>
      <c r="K2777">
        <v>8.5</v>
      </c>
      <c r="L2777">
        <f>_xlfn.XLOOKUP(C2777, dim_teams[team_name], dim_teams[team_id], "Not found", 0)</f>
        <v>2</v>
      </c>
    </row>
    <row r="2778" spans="1:12" x14ac:dyDescent="0.3">
      <c r="A2778" t="s">
        <v>732</v>
      </c>
      <c r="B2778">
        <v>2009</v>
      </c>
      <c r="C2778" t="s">
        <v>23</v>
      </c>
      <c r="D2778">
        <v>8</v>
      </c>
      <c r="E2778">
        <v>11</v>
      </c>
      <c r="F2778">
        <v>0</v>
      </c>
      <c r="G2778">
        <v>0</v>
      </c>
      <c r="H2778">
        <v>1</v>
      </c>
      <c r="I2778">
        <v>3</v>
      </c>
      <c r="J2778">
        <v>72.73</v>
      </c>
      <c r="K2778">
        <v>8</v>
      </c>
      <c r="L2778">
        <f>_xlfn.XLOOKUP(C2778, dim_teams[team_name], dim_teams[team_id], "Not found", 0)</f>
        <v>7</v>
      </c>
    </row>
    <row r="2779" spans="1:12" x14ac:dyDescent="0.3">
      <c r="A2779" t="s">
        <v>732</v>
      </c>
      <c r="B2779">
        <v>2010</v>
      </c>
      <c r="C2779" t="s">
        <v>23</v>
      </c>
      <c r="D2779">
        <v>24</v>
      </c>
      <c r="E2779">
        <v>13</v>
      </c>
      <c r="F2779">
        <v>3</v>
      </c>
      <c r="G2779">
        <v>1</v>
      </c>
      <c r="H2779">
        <v>2</v>
      </c>
      <c r="I2779">
        <v>3</v>
      </c>
      <c r="J2779">
        <v>184.62</v>
      </c>
      <c r="K2779">
        <v>12</v>
      </c>
      <c r="L2779">
        <f>_xlfn.XLOOKUP(C2779, dim_teams[team_name], dim_teams[team_id], "Not found", 0)</f>
        <v>7</v>
      </c>
    </row>
    <row r="2780" spans="1:12" x14ac:dyDescent="0.3">
      <c r="A2780" t="s">
        <v>732</v>
      </c>
      <c r="B2780">
        <v>2011</v>
      </c>
      <c r="C2780" t="s">
        <v>21</v>
      </c>
      <c r="D2780">
        <v>21</v>
      </c>
      <c r="E2780">
        <v>24</v>
      </c>
      <c r="F2780">
        <v>2</v>
      </c>
      <c r="G2780">
        <v>0</v>
      </c>
      <c r="H2780">
        <v>2</v>
      </c>
      <c r="I2780">
        <v>2</v>
      </c>
      <c r="J2780">
        <v>87.5</v>
      </c>
      <c r="K2780">
        <v>10.5</v>
      </c>
      <c r="L2780">
        <f>_xlfn.XLOOKUP(C2780, dim_teams[team_name], dim_teams[team_id], "Not found", 0)</f>
        <v>2</v>
      </c>
    </row>
    <row r="2781" spans="1:12" x14ac:dyDescent="0.3">
      <c r="A2781" t="s">
        <v>732</v>
      </c>
      <c r="B2781">
        <v>2012</v>
      </c>
      <c r="C2781" t="s">
        <v>21</v>
      </c>
      <c r="D2781">
        <v>12</v>
      </c>
      <c r="E2781">
        <v>17</v>
      </c>
      <c r="F2781">
        <v>1</v>
      </c>
      <c r="G2781">
        <v>0</v>
      </c>
      <c r="H2781">
        <v>2</v>
      </c>
      <c r="I2781">
        <v>4</v>
      </c>
      <c r="J2781">
        <v>70.59</v>
      </c>
      <c r="K2781">
        <v>6</v>
      </c>
      <c r="L2781">
        <f>_xlfn.XLOOKUP(C2781, dim_teams[team_name], dim_teams[team_id], "Not found", 0)</f>
        <v>2</v>
      </c>
    </row>
    <row r="2782" spans="1:12" x14ac:dyDescent="0.3">
      <c r="A2782" t="s">
        <v>732</v>
      </c>
      <c r="B2782">
        <v>2014</v>
      </c>
      <c r="C2782" t="s">
        <v>23</v>
      </c>
      <c r="D2782">
        <v>8</v>
      </c>
      <c r="E2782">
        <v>7</v>
      </c>
      <c r="F2782">
        <v>0</v>
      </c>
      <c r="G2782">
        <v>1</v>
      </c>
      <c r="H2782">
        <v>1</v>
      </c>
      <c r="I2782">
        <v>3</v>
      </c>
      <c r="J2782">
        <v>114.29</v>
      </c>
      <c r="K2782">
        <v>8</v>
      </c>
      <c r="L2782">
        <f>_xlfn.XLOOKUP(C2782, dim_teams[team_name], dim_teams[team_id], "Not found", 0)</f>
        <v>7</v>
      </c>
    </row>
    <row r="2783" spans="1:12" x14ac:dyDescent="0.3">
      <c r="A2783" t="s">
        <v>732</v>
      </c>
      <c r="B2783">
        <v>2016</v>
      </c>
      <c r="C2783" t="s">
        <v>32</v>
      </c>
      <c r="D2783">
        <v>6</v>
      </c>
      <c r="E2783">
        <v>13</v>
      </c>
      <c r="F2783">
        <v>1</v>
      </c>
      <c r="G2783">
        <v>0</v>
      </c>
      <c r="H2783">
        <v>2</v>
      </c>
      <c r="I2783">
        <v>2</v>
      </c>
      <c r="J2783">
        <v>46.15</v>
      </c>
      <c r="K2783">
        <v>3</v>
      </c>
      <c r="L2783">
        <f>_xlfn.XLOOKUP(C2783, dim_teams[team_name], dim_teams[team_id], "Not found", 0)</f>
        <v>6</v>
      </c>
    </row>
    <row r="2784" spans="1:12" x14ac:dyDescent="0.3">
      <c r="A2784" t="s">
        <v>732</v>
      </c>
      <c r="B2784">
        <v>2017</v>
      </c>
      <c r="C2784" t="s">
        <v>32</v>
      </c>
      <c r="D2784">
        <v>4</v>
      </c>
      <c r="E2784">
        <v>13</v>
      </c>
      <c r="F2784">
        <v>0</v>
      </c>
      <c r="G2784">
        <v>0</v>
      </c>
      <c r="H2784">
        <v>1</v>
      </c>
      <c r="I2784">
        <v>3</v>
      </c>
      <c r="J2784">
        <v>30.77</v>
      </c>
      <c r="K2784">
        <v>4</v>
      </c>
      <c r="L2784">
        <f>_xlfn.XLOOKUP(C2784, dim_teams[team_name], dim_teams[team_id], "Not found", 0)</f>
        <v>6</v>
      </c>
    </row>
  </sheetData>
  <conditionalFormatting sqref="J2:J2784">
    <cfRule type="colorScale" priority="1">
      <colorScale>
        <cfvo type="min"/>
        <cfvo type="percentile" val="50"/>
        <cfvo type="max"/>
        <color rgb="FFF8696B"/>
        <color rgb="FFFFEB84"/>
        <color rgb="FF63BE7B"/>
      </colorScale>
    </cfRule>
  </conditionalFormatting>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E98F16-D823-4964-B5D6-9053541772B4}">
  <dimension ref="A1:G25"/>
  <sheetViews>
    <sheetView workbookViewId="0">
      <selection activeCell="N10" sqref="N10"/>
    </sheetView>
  </sheetViews>
  <sheetFormatPr defaultRowHeight="14.4" x14ac:dyDescent="0.3"/>
  <cols>
    <col min="1" max="1" width="12.5546875" bestFit="1" customWidth="1"/>
    <col min="2" max="2" width="16.109375" bestFit="1" customWidth="1"/>
  </cols>
  <sheetData>
    <row r="1" spans="1:7" x14ac:dyDescent="0.3">
      <c r="A1" s="6" t="s">
        <v>736</v>
      </c>
      <c r="B1" s="6"/>
      <c r="C1" s="6"/>
      <c r="D1" s="6"/>
      <c r="E1" s="6"/>
      <c r="F1" s="6"/>
      <c r="G1" s="6"/>
    </row>
    <row r="2" spans="1:7" x14ac:dyDescent="0.3">
      <c r="A2" s="6"/>
      <c r="B2" s="6"/>
      <c r="C2" s="6"/>
      <c r="D2" s="6"/>
      <c r="E2" s="6"/>
      <c r="F2" s="6"/>
      <c r="G2" s="6"/>
    </row>
    <row r="4" spans="1:7" x14ac:dyDescent="0.3">
      <c r="A4" s="1" t="s">
        <v>0</v>
      </c>
      <c r="B4" t="s">
        <v>419</v>
      </c>
    </row>
    <row r="6" spans="1:7" x14ac:dyDescent="0.3">
      <c r="A6" s="1" t="s">
        <v>733</v>
      </c>
      <c r="B6" t="s">
        <v>735</v>
      </c>
    </row>
    <row r="7" spans="1:7" x14ac:dyDescent="0.3">
      <c r="A7" s="2">
        <v>2008</v>
      </c>
      <c r="B7">
        <v>414</v>
      </c>
    </row>
    <row r="8" spans="1:7" x14ac:dyDescent="0.3">
      <c r="A8" s="2">
        <v>2009</v>
      </c>
      <c r="B8">
        <v>332</v>
      </c>
    </row>
    <row r="9" spans="1:7" x14ac:dyDescent="0.3">
      <c r="A9" s="2">
        <v>2010</v>
      </c>
      <c r="B9">
        <v>287</v>
      </c>
    </row>
    <row r="10" spans="1:7" x14ac:dyDescent="0.3">
      <c r="A10" s="2">
        <v>2011</v>
      </c>
      <c r="B10">
        <v>392</v>
      </c>
    </row>
    <row r="11" spans="1:7" x14ac:dyDescent="0.3">
      <c r="A11" s="2">
        <v>2012</v>
      </c>
      <c r="B11">
        <v>358</v>
      </c>
    </row>
    <row r="12" spans="1:7" x14ac:dyDescent="0.3">
      <c r="A12" s="2">
        <v>2013</v>
      </c>
      <c r="B12">
        <v>461</v>
      </c>
    </row>
    <row r="13" spans="1:7" x14ac:dyDescent="0.3">
      <c r="A13" s="2">
        <v>2014</v>
      </c>
      <c r="B13">
        <v>371</v>
      </c>
    </row>
    <row r="14" spans="1:7" x14ac:dyDescent="0.3">
      <c r="A14" s="2">
        <v>2015</v>
      </c>
      <c r="B14">
        <v>372</v>
      </c>
    </row>
    <row r="15" spans="1:7" x14ac:dyDescent="0.3">
      <c r="A15" s="2">
        <v>2016</v>
      </c>
      <c r="B15">
        <v>284</v>
      </c>
    </row>
    <row r="16" spans="1:7" x14ac:dyDescent="0.3">
      <c r="A16" s="2">
        <v>2017</v>
      </c>
      <c r="B16">
        <v>290</v>
      </c>
    </row>
    <row r="17" spans="1:2" x14ac:dyDescent="0.3">
      <c r="A17" s="2">
        <v>2018</v>
      </c>
      <c r="B17">
        <v>455</v>
      </c>
    </row>
    <row r="18" spans="1:2" x14ac:dyDescent="0.3">
      <c r="A18" s="2">
        <v>2019</v>
      </c>
      <c r="B18">
        <v>416</v>
      </c>
    </row>
    <row r="19" spans="1:2" x14ac:dyDescent="0.3">
      <c r="A19" s="2">
        <v>2020</v>
      </c>
      <c r="B19">
        <v>200</v>
      </c>
    </row>
    <row r="20" spans="1:2" x14ac:dyDescent="0.3">
      <c r="A20" s="2">
        <v>2021</v>
      </c>
      <c r="B20">
        <v>114</v>
      </c>
    </row>
    <row r="21" spans="1:2" x14ac:dyDescent="0.3">
      <c r="A21" s="2">
        <v>2022</v>
      </c>
      <c r="B21">
        <v>232</v>
      </c>
    </row>
    <row r="22" spans="1:2" x14ac:dyDescent="0.3">
      <c r="A22" s="2">
        <v>2023</v>
      </c>
      <c r="B22">
        <v>104</v>
      </c>
    </row>
    <row r="23" spans="1:2" x14ac:dyDescent="0.3">
      <c r="A23" s="2">
        <v>2024</v>
      </c>
      <c r="B23">
        <v>161</v>
      </c>
    </row>
    <row r="24" spans="1:2" x14ac:dyDescent="0.3">
      <c r="A24" s="2">
        <v>2025</v>
      </c>
      <c r="B24">
        <v>196</v>
      </c>
    </row>
    <row r="25" spans="1:2" x14ac:dyDescent="0.3">
      <c r="A25" s="2" t="s">
        <v>734</v>
      </c>
      <c r="B25">
        <v>5439</v>
      </c>
    </row>
  </sheetData>
  <mergeCells count="1">
    <mergeCell ref="A1:G2"/>
  </mergeCells>
  <pageMargins left="0.7" right="0.7" top="0.75" bottom="0.75" header="0.3" footer="0.3"/>
  <pageSetup orientation="portrait" r:id="rId2"/>
  <drawing r:id="rId3"/>
  <extLst>
    <ext xmlns:x14="http://schemas.microsoft.com/office/spreadsheetml/2009/9/main" uri="{A8765BA9-456A-4dab-B4F3-ACF838C121DE}">
      <x14:slicerList>
        <x14:slicer r:id="rId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3194C2-6E2F-45D7-AA2E-038BD2BCEEC1}">
  <dimension ref="A1:B20"/>
  <sheetViews>
    <sheetView workbookViewId="0"/>
  </sheetViews>
  <sheetFormatPr defaultRowHeight="14.4" x14ac:dyDescent="0.3"/>
  <cols>
    <col min="1" max="1" width="10.109375" bestFit="1" customWidth="1"/>
    <col min="2" max="2" width="24.33203125" bestFit="1" customWidth="1"/>
  </cols>
  <sheetData>
    <row r="1" spans="1:2" x14ac:dyDescent="0.3">
      <c r="A1" t="s">
        <v>737</v>
      </c>
      <c r="B1" t="s">
        <v>738</v>
      </c>
    </row>
    <row r="2" spans="1:2" x14ac:dyDescent="0.3">
      <c r="A2">
        <v>1</v>
      </c>
      <c r="B2" t="s">
        <v>19</v>
      </c>
    </row>
    <row r="3" spans="1:2" x14ac:dyDescent="0.3">
      <c r="A3">
        <v>2</v>
      </c>
      <c r="B3" t="s">
        <v>21</v>
      </c>
    </row>
    <row r="4" spans="1:2" x14ac:dyDescent="0.3">
      <c r="A4">
        <v>3</v>
      </c>
      <c r="B4" t="s">
        <v>25</v>
      </c>
    </row>
    <row r="5" spans="1:2" x14ac:dyDescent="0.3">
      <c r="A5">
        <v>4</v>
      </c>
      <c r="B5" t="s">
        <v>54</v>
      </c>
    </row>
    <row r="6" spans="1:2" x14ac:dyDescent="0.3">
      <c r="A6">
        <v>5</v>
      </c>
      <c r="B6" t="s">
        <v>17</v>
      </c>
    </row>
    <row r="7" spans="1:2" x14ac:dyDescent="0.3">
      <c r="A7">
        <v>6</v>
      </c>
      <c r="B7" t="s">
        <v>32</v>
      </c>
    </row>
    <row r="8" spans="1:2" x14ac:dyDescent="0.3">
      <c r="A8">
        <v>7</v>
      </c>
      <c r="B8" t="s">
        <v>23</v>
      </c>
    </row>
    <row r="9" spans="1:2" x14ac:dyDescent="0.3">
      <c r="A9">
        <v>8</v>
      </c>
      <c r="B9" t="s">
        <v>12</v>
      </c>
    </row>
    <row r="10" spans="1:2" x14ac:dyDescent="0.3">
      <c r="A10">
        <v>9</v>
      </c>
      <c r="B10" t="s">
        <v>122</v>
      </c>
    </row>
    <row r="11" spans="1:2" x14ac:dyDescent="0.3">
      <c r="A11">
        <v>10</v>
      </c>
      <c r="B11" t="s">
        <v>37</v>
      </c>
    </row>
    <row r="12" spans="1:2" x14ac:dyDescent="0.3">
      <c r="A12">
        <v>11</v>
      </c>
      <c r="B12" t="s">
        <v>13</v>
      </c>
    </row>
    <row r="13" spans="1:2" x14ac:dyDescent="0.3">
      <c r="A13">
        <v>12</v>
      </c>
      <c r="B13" t="s">
        <v>45</v>
      </c>
    </row>
    <row r="14" spans="1:2" x14ac:dyDescent="0.3">
      <c r="A14">
        <v>13</v>
      </c>
      <c r="B14" t="s">
        <v>66</v>
      </c>
    </row>
    <row r="15" spans="1:2" x14ac:dyDescent="0.3">
      <c r="A15">
        <v>14</v>
      </c>
      <c r="B15" t="s">
        <v>46</v>
      </c>
    </row>
    <row r="16" spans="1:2" x14ac:dyDescent="0.3">
      <c r="A16">
        <v>15</v>
      </c>
      <c r="B16" t="s">
        <v>33</v>
      </c>
    </row>
    <row r="17" spans="1:2" x14ac:dyDescent="0.3">
      <c r="A17">
        <v>16</v>
      </c>
      <c r="B17" t="s">
        <v>76</v>
      </c>
    </row>
    <row r="18" spans="1:2" x14ac:dyDescent="0.3">
      <c r="A18">
        <v>17</v>
      </c>
      <c r="B18" t="s">
        <v>15</v>
      </c>
    </row>
    <row r="19" spans="1:2" x14ac:dyDescent="0.3">
      <c r="A19">
        <v>18</v>
      </c>
      <c r="B19" t="s">
        <v>29</v>
      </c>
    </row>
    <row r="20" spans="1:2" x14ac:dyDescent="0.3">
      <c r="A20">
        <v>19</v>
      </c>
      <c r="B20" t="s">
        <v>102</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58A3CFE1-92FD-4C63-8895-082D228EA3B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batter_summary</vt:lpstr>
      <vt:lpstr>pivot_analysis</vt:lpstr>
      <vt:lpstr>dim_teams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shahil srivastav</cp:lastModifiedBy>
  <dcterms:created xsi:type="dcterms:W3CDTF">2026-04-10T11:35:28Z</dcterms:created>
  <dcterms:modified xsi:type="dcterms:W3CDTF">2026-04-10T14:50:13Z</dcterms:modified>
</cp:coreProperties>
</file>